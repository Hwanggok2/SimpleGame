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SimpleGame\outputs\aim-filth-20260731\"/>
    </mc:Choice>
  </mc:AlternateContent>
  <xr:revisionPtr revIDLastSave="0" documentId="11_B83BD877A35B6134AACDAF827FFB3D44AD590725" xr6:coauthVersionLast="47" xr6:coauthVersionMax="47" xr10:uidLastSave="{00000000-0000-0000-0000-000000000000}"/>
  <bookViews>
    <workbookView xWindow="5260" yWindow="1080" windowWidth="19200" windowHeight="13180" xr2:uid="{00000000-000D-0000-FFFF-FFFF00000000}"/>
  </bookViews>
  <sheets>
    <sheet name="README" sheetId="1" r:id="rId1"/>
    <sheet name="EnemyBalance" sheetId="3" r:id="rId2"/>
    <sheet name="StageSpawn" sheetId="2" r:id="rId3"/>
    <sheet name="PlayerBalance" sheetId="8" r:id="rId4"/>
    <sheet name="PlayerLevelExp" sheetId="4" r:id="rId5"/>
    <sheet name="AccountLevelExp" sheetId="5" r:id="rId6"/>
    <sheet name="GlobalBalance" sheetId="6" r:id="rId7"/>
    <sheet name="LevelUpCard" sheetId="7" r:id="rId8"/>
    <sheet name="WavePlan" sheetId="9" r:id="rId9"/>
    <sheet name="CardMath" sheetId="10" r:id="rId10"/>
    <sheet name="Balance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1" l="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B10" i="11"/>
  <c r="B9" i="11"/>
  <c r="B8" i="11"/>
  <c r="B7" i="11"/>
  <c r="B5" i="11"/>
  <c r="B4" i="11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D14" i="10" s="1"/>
  <c r="B14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D13" i="10" s="1"/>
  <c r="B13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D12" i="10" s="1"/>
  <c r="B12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D11" i="10" s="1"/>
  <c r="B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D10" i="10" s="1"/>
  <c r="B10" i="10"/>
  <c r="H65" i="9"/>
  <c r="G65" i="9"/>
  <c r="F65" i="9"/>
  <c r="E65" i="9"/>
  <c r="D65" i="9"/>
  <c r="C65" i="9"/>
  <c r="H64" i="9"/>
  <c r="G64" i="9"/>
  <c r="F64" i="9"/>
  <c r="E64" i="9"/>
  <c r="D64" i="9"/>
  <c r="C64" i="9"/>
  <c r="H63" i="9"/>
  <c r="G63" i="9"/>
  <c r="F63" i="9"/>
  <c r="E63" i="9"/>
  <c r="D63" i="9"/>
  <c r="C63" i="9"/>
  <c r="H62" i="9"/>
  <c r="G62" i="9"/>
  <c r="F62" i="9"/>
  <c r="E62" i="9"/>
  <c r="D62" i="9"/>
  <c r="C62" i="9"/>
  <c r="H61" i="9"/>
  <c r="G61" i="9"/>
  <c r="F61" i="9"/>
  <c r="E61" i="9"/>
  <c r="D61" i="9"/>
  <c r="C61" i="9"/>
  <c r="H60" i="9"/>
  <c r="G60" i="9"/>
  <c r="F60" i="9"/>
  <c r="E60" i="9"/>
  <c r="D60" i="9"/>
  <c r="C60" i="9"/>
  <c r="H59" i="9"/>
  <c r="G59" i="9"/>
  <c r="F59" i="9"/>
  <c r="E59" i="9"/>
  <c r="D59" i="9"/>
  <c r="C59" i="9"/>
  <c r="H58" i="9"/>
  <c r="G58" i="9"/>
  <c r="F58" i="9"/>
  <c r="E58" i="9"/>
  <c r="D58" i="9"/>
  <c r="C58" i="9"/>
  <c r="H57" i="9"/>
  <c r="G57" i="9"/>
  <c r="F57" i="9"/>
  <c r="E57" i="9"/>
  <c r="D57" i="9"/>
  <c r="C57" i="9"/>
  <c r="H56" i="9"/>
  <c r="G56" i="9"/>
  <c r="F56" i="9"/>
  <c r="E56" i="9"/>
  <c r="D56" i="9"/>
  <c r="C56" i="9"/>
  <c r="H55" i="9"/>
  <c r="G55" i="9"/>
  <c r="F55" i="9"/>
  <c r="E55" i="9"/>
  <c r="D55" i="9"/>
  <c r="C55" i="9"/>
  <c r="H54" i="9"/>
  <c r="G54" i="9"/>
  <c r="F54" i="9"/>
  <c r="E54" i="9"/>
  <c r="D54" i="9"/>
  <c r="C54" i="9"/>
  <c r="H53" i="9"/>
  <c r="G53" i="9"/>
  <c r="F53" i="9"/>
  <c r="E53" i="9"/>
  <c r="D53" i="9"/>
  <c r="C53" i="9"/>
  <c r="H52" i="9"/>
  <c r="G52" i="9"/>
  <c r="F52" i="9"/>
  <c r="E52" i="9"/>
  <c r="D52" i="9"/>
  <c r="C52" i="9"/>
  <c r="H51" i="9"/>
  <c r="G51" i="9"/>
  <c r="F51" i="9"/>
  <c r="E51" i="9"/>
  <c r="D51" i="9"/>
  <c r="C51" i="9"/>
  <c r="H50" i="9"/>
  <c r="G50" i="9"/>
  <c r="F50" i="9"/>
  <c r="E50" i="9"/>
  <c r="D50" i="9"/>
  <c r="C50" i="9"/>
  <c r="H49" i="9"/>
  <c r="G49" i="9"/>
  <c r="F49" i="9"/>
  <c r="E49" i="9"/>
  <c r="D49" i="9"/>
  <c r="C49" i="9"/>
  <c r="H48" i="9"/>
  <c r="G48" i="9"/>
  <c r="F48" i="9"/>
  <c r="E48" i="9"/>
  <c r="D48" i="9"/>
  <c r="C48" i="9"/>
  <c r="H47" i="9"/>
  <c r="G47" i="9"/>
  <c r="F47" i="9"/>
  <c r="E47" i="9"/>
  <c r="D47" i="9"/>
  <c r="C47" i="9"/>
  <c r="H46" i="9"/>
  <c r="G46" i="9"/>
  <c r="F46" i="9"/>
  <c r="E46" i="9"/>
  <c r="D46" i="9"/>
  <c r="C46" i="9"/>
  <c r="H45" i="9"/>
  <c r="G45" i="9"/>
  <c r="F45" i="9"/>
  <c r="E45" i="9"/>
  <c r="D45" i="9"/>
  <c r="C45" i="9"/>
  <c r="H44" i="9"/>
  <c r="G44" i="9"/>
  <c r="F44" i="9"/>
  <c r="E44" i="9"/>
  <c r="D44" i="9"/>
  <c r="C44" i="9"/>
  <c r="H43" i="9"/>
  <c r="G43" i="9"/>
  <c r="F43" i="9"/>
  <c r="E43" i="9"/>
  <c r="D43" i="9"/>
  <c r="C43" i="9"/>
  <c r="H42" i="9"/>
  <c r="G42" i="9"/>
  <c r="F42" i="9"/>
  <c r="E42" i="9"/>
  <c r="D42" i="9"/>
  <c r="C42" i="9"/>
  <c r="H41" i="9"/>
  <c r="G41" i="9"/>
  <c r="F41" i="9"/>
  <c r="E41" i="9"/>
  <c r="D41" i="9"/>
  <c r="C41" i="9"/>
  <c r="H40" i="9"/>
  <c r="G40" i="9"/>
  <c r="F40" i="9"/>
  <c r="E40" i="9"/>
  <c r="D40" i="9"/>
  <c r="C40" i="9"/>
  <c r="H39" i="9"/>
  <c r="G39" i="9"/>
  <c r="F39" i="9"/>
  <c r="E39" i="9"/>
  <c r="D39" i="9"/>
  <c r="C39" i="9"/>
  <c r="H38" i="9"/>
  <c r="G38" i="9"/>
  <c r="F38" i="9"/>
  <c r="E38" i="9"/>
  <c r="D38" i="9"/>
  <c r="C38" i="9"/>
  <c r="H37" i="9"/>
  <c r="G37" i="9"/>
  <c r="F37" i="9"/>
  <c r="E37" i="9"/>
  <c r="D37" i="9"/>
  <c r="C37" i="9"/>
  <c r="H36" i="9"/>
  <c r="G36" i="9"/>
  <c r="F36" i="9"/>
  <c r="E36" i="9"/>
  <c r="D36" i="9"/>
  <c r="C36" i="9"/>
  <c r="H35" i="9"/>
  <c r="G35" i="9"/>
  <c r="F35" i="9"/>
  <c r="E35" i="9"/>
  <c r="D35" i="9"/>
  <c r="C35" i="9"/>
  <c r="H34" i="9"/>
  <c r="G34" i="9"/>
  <c r="F34" i="9"/>
  <c r="E34" i="9"/>
  <c r="D34" i="9"/>
  <c r="C34" i="9"/>
  <c r="H33" i="9"/>
  <c r="G33" i="9"/>
  <c r="F33" i="9"/>
  <c r="E33" i="9"/>
  <c r="D33" i="9"/>
  <c r="C33" i="9"/>
  <c r="H32" i="9"/>
  <c r="G32" i="9"/>
  <c r="F32" i="9"/>
  <c r="E32" i="9"/>
  <c r="D32" i="9"/>
  <c r="C32" i="9"/>
  <c r="H31" i="9"/>
  <c r="G31" i="9"/>
  <c r="F31" i="9"/>
  <c r="E31" i="9"/>
  <c r="D31" i="9"/>
  <c r="C31" i="9"/>
  <c r="H30" i="9"/>
  <c r="G30" i="9"/>
  <c r="F30" i="9"/>
  <c r="E30" i="9"/>
  <c r="D30" i="9"/>
  <c r="C30" i="9"/>
  <c r="H29" i="9"/>
  <c r="G29" i="9"/>
  <c r="F29" i="9"/>
  <c r="E29" i="9"/>
  <c r="D29" i="9"/>
  <c r="C29" i="9"/>
  <c r="H28" i="9"/>
  <c r="G28" i="9"/>
  <c r="F28" i="9"/>
  <c r="E28" i="9"/>
  <c r="D28" i="9"/>
  <c r="C28" i="9"/>
  <c r="H27" i="9"/>
  <c r="G27" i="9"/>
  <c r="F27" i="9"/>
  <c r="E27" i="9"/>
  <c r="D27" i="9"/>
  <c r="C27" i="9"/>
  <c r="H26" i="9"/>
  <c r="G26" i="9"/>
  <c r="F26" i="9"/>
  <c r="E26" i="9"/>
  <c r="D26" i="9"/>
  <c r="C26" i="9"/>
  <c r="H25" i="9"/>
  <c r="G25" i="9"/>
  <c r="F25" i="9"/>
  <c r="E25" i="9"/>
  <c r="D25" i="9"/>
  <c r="C25" i="9"/>
  <c r="H24" i="9"/>
  <c r="G24" i="9"/>
  <c r="F24" i="9"/>
  <c r="E24" i="9"/>
  <c r="D24" i="9"/>
  <c r="C24" i="9"/>
  <c r="H23" i="9"/>
  <c r="G23" i="9"/>
  <c r="F23" i="9"/>
  <c r="E23" i="9"/>
  <c r="D23" i="9"/>
  <c r="C23" i="9"/>
  <c r="H22" i="9"/>
  <c r="G22" i="9"/>
  <c r="F22" i="9"/>
  <c r="E22" i="9"/>
  <c r="D22" i="9"/>
  <c r="C22" i="9"/>
  <c r="H21" i="9"/>
  <c r="G21" i="9"/>
  <c r="F21" i="9"/>
  <c r="E21" i="9"/>
  <c r="D21" i="9"/>
  <c r="C21" i="9"/>
  <c r="H20" i="9"/>
  <c r="G20" i="9"/>
  <c r="F20" i="9"/>
  <c r="E20" i="9"/>
  <c r="D20" i="9"/>
  <c r="C20" i="9"/>
  <c r="H19" i="9"/>
  <c r="G19" i="9"/>
  <c r="F19" i="9"/>
  <c r="E19" i="9"/>
  <c r="D19" i="9"/>
  <c r="C19" i="9"/>
  <c r="H18" i="9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H10" i="9"/>
  <c r="G10" i="9"/>
  <c r="F10" i="9"/>
  <c r="E10" i="9"/>
  <c r="D10" i="9"/>
  <c r="C10" i="9"/>
  <c r="H9" i="9"/>
  <c r="G9" i="9"/>
  <c r="F9" i="9"/>
  <c r="E9" i="9"/>
  <c r="D9" i="9"/>
  <c r="C9" i="9"/>
  <c r="H8" i="9"/>
  <c r="G8" i="9"/>
  <c r="F8" i="9"/>
  <c r="E8" i="9"/>
  <c r="D8" i="9"/>
  <c r="C8" i="9"/>
  <c r="H7" i="9"/>
  <c r="G7" i="9"/>
  <c r="F7" i="9"/>
  <c r="E7" i="9"/>
  <c r="D7" i="9"/>
  <c r="C7" i="9"/>
  <c r="H6" i="9"/>
  <c r="G6" i="9"/>
  <c r="F6" i="9"/>
  <c r="E6" i="9"/>
  <c r="D6" i="9"/>
  <c r="C6" i="9"/>
  <c r="I8" i="9" l="1"/>
  <c r="I31" i="9"/>
  <c r="I9" i="9"/>
  <c r="I36" i="9"/>
  <c r="I64" i="9"/>
  <c r="I55" i="9"/>
  <c r="I39" i="9"/>
  <c r="I57" i="9"/>
  <c r="I50" i="9"/>
  <c r="I63" i="9"/>
  <c r="I29" i="9"/>
  <c r="I61" i="9"/>
  <c r="I60" i="9"/>
  <c r="I53" i="9"/>
  <c r="I43" i="9"/>
  <c r="I59" i="9"/>
  <c r="I58" i="9"/>
  <c r="I17" i="9"/>
  <c r="I56" i="9"/>
  <c r="I48" i="9"/>
  <c r="I54" i="9"/>
  <c r="I46" i="9"/>
  <c r="I52" i="9"/>
  <c r="I51" i="9"/>
  <c r="I41" i="9"/>
  <c r="I49" i="9"/>
  <c r="I47" i="9"/>
  <c r="I24" i="9"/>
  <c r="I45" i="9"/>
  <c r="I44" i="9"/>
  <c r="I30" i="9"/>
  <c r="I42" i="9"/>
  <c r="I40" i="9"/>
  <c r="I38" i="9"/>
  <c r="I37" i="9"/>
  <c r="I35" i="9"/>
  <c r="I34" i="9"/>
  <c r="I33" i="9"/>
  <c r="I32" i="9"/>
  <c r="I15" i="9"/>
  <c r="I62" i="9"/>
  <c r="I28" i="9"/>
  <c r="I27" i="9"/>
  <c r="I26" i="9"/>
  <c r="I25" i="9"/>
  <c r="I23" i="9"/>
  <c r="I22" i="9"/>
  <c r="I21" i="9"/>
  <c r="I20" i="9"/>
  <c r="I19" i="9"/>
  <c r="I18" i="9"/>
  <c r="I13" i="9"/>
  <c r="I16" i="9"/>
  <c r="I14" i="9"/>
  <c r="I12" i="9"/>
  <c r="I11" i="9"/>
  <c r="I10" i="9"/>
  <c r="I65" i="9"/>
  <c r="I7" i="9"/>
  <c r="I6" i="9"/>
  <c r="B6" i="11" l="1"/>
</calcChain>
</file>

<file path=xl/sharedStrings.xml><?xml version="1.0" encoding="utf-8"?>
<sst xmlns="http://schemas.openxmlformats.org/spreadsheetml/2006/main" count="13609" uniqueCount="421">
  <si>
    <t>SimpleGame 10분 밸런스 / 엑셀 → 유니티 데이터</t>
  </si>
  <si>
    <t>순서</t>
  </si>
  <si>
    <t>작업</t>
  </si>
  <si>
    <t>검증 포인트</t>
  </si>
  <si>
    <t>필수</t>
  </si>
  <si>
    <t>메뉴/ID</t>
  </si>
  <si>
    <t>비고</t>
  </si>
  <si>
    <t>이 파일의 입력값·스폰표를 수정하고 저장</t>
  </si>
  <si>
    <t>파란 입력 / 초록 수식</t>
  </si>
  <si>
    <t>예</t>
  </si>
  <si>
    <t>Planning/GameData_10min_Balance.xlsx</t>
  </si>
  <si>
    <t>2분 원본에서 확장</t>
  </si>
  <si>
    <t>유니티에서 엑셀 불러오기 실행</t>
  </si>
  <si>
    <t>콘솔에 스폰 3,283개</t>
  </si>
  <si>
    <t>SimpleGame &gt; 데이터 &gt; 엑셀 불러오기</t>
  </si>
  <si>
    <t>오류 시 기존 스크립터블 오브젝트 유지</t>
  </si>
  <si>
    <t>에디트 모드 테스트 실행</t>
  </si>
  <si>
    <t>카드 수식·방패 우회·겹침 수학</t>
  </si>
  <si>
    <t>SimpleGame.Tests.EditMode</t>
  </si>
  <si>
    <t>빌드 오류 0 확인</t>
  </si>
  <si>
    <t>10분 플레이 테스트</t>
  </si>
  <si>
    <t>지속 스폰 / 후반 적 레벨 우위</t>
  </si>
  <si>
    <t>Stage01</t>
  </si>
  <si>
    <t>60웨이브 / 3,283마리</t>
  </si>
  <si>
    <t>시트</t>
  </si>
  <si>
    <t>역할</t>
  </si>
  <si>
    <t>핵심 내용</t>
  </si>
  <si>
    <t>수정 권장</t>
  </si>
  <si>
    <t>유니티 불러오기</t>
  </si>
  <si>
    <t>검증</t>
  </si>
  <si>
    <t>EnemyBalance</t>
  </si>
  <si>
    <t>적 기본 수치</t>
  </si>
  <si>
    <t>체력·공격·경험치 점수</t>
  </si>
  <si>
    <t>8종</t>
  </si>
  <si>
    <t>StageSpawn</t>
  </si>
  <si>
    <t>개별 스폰 명세</t>
  </si>
  <si>
    <t>시간·종류·위치·레벨</t>
  </si>
  <si>
    <t>3,283행</t>
  </si>
  <si>
    <t>PlayerBalance</t>
  </si>
  <si>
    <t>플레이어 기본 수치</t>
  </si>
  <si>
    <t>공격 성장·후면·이동</t>
  </si>
  <si>
    <t>1종</t>
  </si>
  <si>
    <t>PlayerLevelExp</t>
  </si>
  <si>
    <t>레벨업 경험치</t>
  </si>
  <si>
    <t>R(L)=6+2L+floor(0.025(L-1)^2)</t>
  </si>
  <si>
    <t>50레벨</t>
  </si>
  <si>
    <t>AccountLevelExp</t>
  </si>
  <si>
    <t>계정 레벨 경험치</t>
  </si>
  <si>
    <t>누적 계정 성장</t>
  </si>
  <si>
    <t>4레벨</t>
  </si>
  <si>
    <t>GlobalBalance</t>
  </si>
  <si>
    <t>공통 규칙</t>
  </si>
  <si>
    <t>치명타 상한 등</t>
  </si>
  <si>
    <t>1행</t>
  </si>
  <si>
    <t>LevelUpCard</t>
  </si>
  <si>
    <t>레벨업 카드</t>
  </si>
  <si>
    <t>13종 / 오물 투척 포함 / 한국어 이름·설명</t>
  </si>
  <si>
    <t>13행</t>
  </si>
  <si>
    <t>BalanceSummary</t>
  </si>
  <si>
    <t>핵심 기획</t>
  </si>
  <si>
    <t>핵심 지표·수학식·차트</t>
  </si>
  <si>
    <t>아니오</t>
  </si>
  <si>
    <t>수식</t>
  </si>
  <si>
    <t>WavePlan</t>
  </si>
  <si>
    <t>웨이브 요약</t>
  </si>
  <si>
    <t>수·종류·경험치·레벨·체력 관문</t>
  </si>
  <si>
    <t>60웨이브</t>
  </si>
  <si>
    <t>CardMath</t>
  </si>
  <si>
    <t>카드 수식</t>
  </si>
  <si>
    <t>관통 판정창·절단 재사용·레벨별 효과</t>
  </si>
  <si>
    <t>밀도 설계 참고 자료</t>
  </si>
  <si>
    <t>EnemyId</t>
  </si>
  <si>
    <t>Archetype</t>
  </si>
  <si>
    <t>MoveSpeed</t>
  </si>
  <si>
    <t>AttackRange</t>
  </si>
  <si>
    <t>AttackDamage</t>
  </si>
  <si>
    <t>AttackWindup</t>
  </si>
  <si>
    <t>AttackActiveDuration</t>
  </si>
  <si>
    <t>AttackCooldown</t>
  </si>
  <si>
    <t>AttackAreaRadius</t>
  </si>
  <si>
    <t>ApproachRange</t>
  </si>
  <si>
    <t>FacingTurnDelay</t>
  </si>
  <si>
    <t>PostAttackFacingLock</t>
  </si>
  <si>
    <t>KillExperience</t>
  </si>
  <si>
    <t>Score</t>
  </si>
  <si>
    <t>BaseMaxHp</t>
  </si>
  <si>
    <t>HpGrowthRate</t>
  </si>
  <si>
    <t>LevelDifficultyOffset</t>
  </si>
  <si>
    <t>CombatProfileId</t>
  </si>
  <si>
    <t>ShowHpBar</t>
  </si>
  <si>
    <t>GoblinMelee</t>
  </si>
  <si>
    <t>Melee</t>
  </si>
  <si>
    <t>StandardMelee</t>
  </si>
  <si>
    <t>GoblinRanged</t>
  </si>
  <si>
    <t>Ranged</t>
  </si>
  <si>
    <t>StandardRanged</t>
  </si>
  <si>
    <t>ShieldSkeleton</t>
  </si>
  <si>
    <t>Shield</t>
  </si>
  <si>
    <t>GoblinBoss</t>
  </si>
  <si>
    <t>Boss</t>
  </si>
  <si>
    <t>MushroomBoss</t>
  </si>
  <si>
    <t>BossMushroom</t>
  </si>
  <si>
    <t>FlyingEye</t>
  </si>
  <si>
    <t>FlyingMelee</t>
  </si>
  <si>
    <t>FlyingEyeBoss</t>
  </si>
  <si>
    <t>BossFlyingEye</t>
  </si>
  <si>
    <t>SkeletonBoss</t>
  </si>
  <si>
    <t>BossSkeleton</t>
  </si>
  <si>
    <t>StageId</t>
  </si>
  <si>
    <t>WaveId</t>
  </si>
  <si>
    <t>SpawnTimeSec</t>
  </si>
  <si>
    <t>SpawnIndex</t>
  </si>
  <si>
    <t>SpawnPointId</t>
  </si>
  <si>
    <t>EnemyLevel</t>
  </si>
  <si>
    <t>WAVE_01</t>
  </si>
  <si>
    <t>LEFT_02</t>
  </si>
  <si>
    <t>TOP_04</t>
  </si>
  <si>
    <t>RIGHT_05</t>
  </si>
  <si>
    <t>BOTTOM_06</t>
  </si>
  <si>
    <t>WAVE_02</t>
  </si>
  <si>
    <t>BOTTOM_01</t>
  </si>
  <si>
    <t>WAVE_03</t>
  </si>
  <si>
    <t>LEFT_07</t>
  </si>
  <si>
    <t>WAVE_04</t>
  </si>
  <si>
    <t>TOP_01</t>
  </si>
  <si>
    <t>RIGHT_02</t>
  </si>
  <si>
    <t>WAVE_05</t>
  </si>
  <si>
    <t>BOTTOM_03</t>
  </si>
  <si>
    <t>LEFT_04</t>
  </si>
  <si>
    <t>TOP_06</t>
  </si>
  <si>
    <t>RIGHT_07</t>
  </si>
  <si>
    <t>BOTTOM_08</t>
  </si>
  <si>
    <t>WAVE_06</t>
  </si>
  <si>
    <t>LEFT_01</t>
  </si>
  <si>
    <t>TOP_03</t>
  </si>
  <si>
    <t>RIGHT_04</t>
  </si>
  <si>
    <t>BOTTOM_05</t>
  </si>
  <si>
    <t>LEFT_06</t>
  </si>
  <si>
    <t>TOP_08</t>
  </si>
  <si>
    <t>WAVE_07</t>
  </si>
  <si>
    <t>RIGHT_01</t>
  </si>
  <si>
    <t>BOTTOM_02</t>
  </si>
  <si>
    <t>LEFT_03</t>
  </si>
  <si>
    <t>TOP_05</t>
  </si>
  <si>
    <t>RIGHT_06</t>
  </si>
  <si>
    <t>BOTTOM_07</t>
  </si>
  <si>
    <t>LEFT_08</t>
  </si>
  <si>
    <t>WAVE_08</t>
  </si>
  <si>
    <t>TOP_02</t>
  </si>
  <si>
    <t>RIGHT_03</t>
  </si>
  <si>
    <t>BOTTOM_04</t>
  </si>
  <si>
    <t>LEFT_05</t>
  </si>
  <si>
    <t>TOP_07</t>
  </si>
  <si>
    <t>RIGHT_08</t>
  </si>
  <si>
    <t>WAVE_09</t>
  </si>
  <si>
    <t>WAVE_10</t>
  </si>
  <si>
    <t>WAVE_11</t>
  </si>
  <si>
    <t>WAVE_12</t>
  </si>
  <si>
    <t>WAVE_13</t>
  </si>
  <si>
    <t>WAVE_14</t>
  </si>
  <si>
    <t>WAVE_15</t>
  </si>
  <si>
    <t>WAVE_16</t>
  </si>
  <si>
    <t>WAVE_17</t>
  </si>
  <si>
    <t>WAVE_18</t>
  </si>
  <si>
    <t>WAVE_19</t>
  </si>
  <si>
    <t>WAVE_20</t>
  </si>
  <si>
    <t>WAVE_21</t>
  </si>
  <si>
    <t>WAVE_22</t>
  </si>
  <si>
    <t>WAVE_23</t>
  </si>
  <si>
    <t>WAVE_24</t>
  </si>
  <si>
    <t>WAVE_25</t>
  </si>
  <si>
    <t>WAVE_26</t>
  </si>
  <si>
    <t>WAVE_27</t>
  </si>
  <si>
    <t>WAVE_28</t>
  </si>
  <si>
    <t>WAVE_29</t>
  </si>
  <si>
    <t>WAVE_30</t>
  </si>
  <si>
    <t>WAVE_31</t>
  </si>
  <si>
    <t>WAVE_32</t>
  </si>
  <si>
    <t>WAVE_33</t>
  </si>
  <si>
    <t>WAVE_34</t>
  </si>
  <si>
    <t>WAVE_35</t>
  </si>
  <si>
    <t>WAVE_36</t>
  </si>
  <si>
    <t>WAVE_37</t>
  </si>
  <si>
    <t>WAVE_38</t>
  </si>
  <si>
    <t>WAVE_39</t>
  </si>
  <si>
    <t>WAVE_40</t>
  </si>
  <si>
    <t>WAVE_41</t>
  </si>
  <si>
    <t>WAVE_42</t>
  </si>
  <si>
    <t>WAVE_43</t>
  </si>
  <si>
    <t>WAVE_44</t>
  </si>
  <si>
    <t>WAVE_45</t>
  </si>
  <si>
    <t>WAVE_46</t>
  </si>
  <si>
    <t>WAVE_47</t>
  </si>
  <si>
    <t>WAVE_48</t>
  </si>
  <si>
    <t>WAVE_49</t>
  </si>
  <si>
    <t>WAVE_50</t>
  </si>
  <si>
    <t>WAVE_51</t>
  </si>
  <si>
    <t>WAVE_52</t>
  </si>
  <si>
    <t>WAVE_53</t>
  </si>
  <si>
    <t>WAVE_54</t>
  </si>
  <si>
    <t>WAVE_55</t>
  </si>
  <si>
    <t>WAVE_56</t>
  </si>
  <si>
    <t>WAVE_57</t>
  </si>
  <si>
    <t>WAVE_58</t>
  </si>
  <si>
    <t>WAVE_59</t>
  </si>
  <si>
    <t>WAVE_60</t>
  </si>
  <si>
    <t>PlayerId</t>
  </si>
  <si>
    <t>StartLevel</t>
  </si>
  <si>
    <t>BaseAttackPower</t>
  </si>
  <si>
    <t>AttackGrowthRate</t>
  </si>
  <si>
    <t>RearAttackMultiplier</t>
  </si>
  <si>
    <t>BaseMoveSpeed</t>
  </si>
  <si>
    <t>PathEnemyApproachSpeedMultiplier</t>
  </si>
  <si>
    <t>PostKillEscapeSpeedMultiplier</t>
  </si>
  <si>
    <t>MoveArrivalTolerance</t>
  </si>
  <si>
    <t>BaseCriticalChance</t>
  </si>
  <si>
    <t>Enabled</t>
  </si>
  <si>
    <t>LightBandit</t>
  </si>
  <si>
    <t>Level</t>
  </si>
  <si>
    <t>RequiredExp</t>
  </si>
  <si>
    <t>CumulativeExpToNext</t>
  </si>
  <si>
    <t>AccountExpScoreUnit</t>
  </si>
  <si>
    <t>AccountExpPerUnit</t>
  </si>
  <si>
    <t>CriticalChancePerCard</t>
  </si>
  <si>
    <t>MaximumCriticalChance</t>
  </si>
  <si>
    <t>InitialCardRerolls</t>
  </si>
  <si>
    <t>MaximumStoredCardRerolls</t>
  </si>
  <si>
    <t>BossRerollReward</t>
  </si>
  <si>
    <t>CardId</t>
  </si>
  <si>
    <t>NameKey</t>
  </si>
  <si>
    <t>DisplayName</t>
  </si>
  <si>
    <t>Description</t>
  </si>
  <si>
    <t>EffectType</t>
  </si>
  <si>
    <t>TargetStat</t>
  </si>
  <si>
    <t>Operation</t>
  </si>
  <si>
    <t>Value</t>
  </si>
  <si>
    <t>MaxStack</t>
  </si>
  <si>
    <t>SelectionWeight</t>
  </si>
  <si>
    <t>MinPlayerLevel</t>
  </si>
  <si>
    <t>RequiredCardId</t>
  </si>
  <si>
    <t>Rarity</t>
  </si>
  <si>
    <t>IconId</t>
  </si>
  <si>
    <t>CRIT_CHANCE_UP</t>
  </si>
  <si>
    <t>CARD_CRIT_NAME</t>
  </si>
  <si>
    <t>치명타 강화</t>
  </si>
  <si>
    <t>치명타 확률이 5% 증가합니다. 최대 50%까지 적용됩니다.</t>
  </si>
  <si>
    <t>StatModifier</t>
  </si>
  <si>
    <t>CriticalChance</t>
  </si>
  <si>
    <t>Add</t>
  </si>
  <si>
    <t>일반</t>
  </si>
  <si>
    <t>ICON_CRIT</t>
  </si>
  <si>
    <t>MAX_HP_UP</t>
  </si>
  <si>
    <t>CARD_HP_NAME</t>
  </si>
  <si>
    <t>체력 강화</t>
  </si>
  <si>
    <t>최대 체력과 현재 체력이 5 증가합니다.</t>
  </si>
  <si>
    <t>MaxHp</t>
  </si>
  <si>
    <t>ICON_HP</t>
  </si>
  <si>
    <t>MOVE_SPEED_UP</t>
  </si>
  <si>
    <t>CARD_SPEED_NAME</t>
  </si>
  <si>
    <t>이동 속도 강화</t>
  </si>
  <si>
    <t>이동 속도가 1 증가합니다. 최대 레벨에서는 목적지까지 약 0.15초에 이동합니다.</t>
  </si>
  <si>
    <t>희귀</t>
  </si>
  <si>
    <t>ICON_SPEED</t>
  </si>
  <si>
    <t>ATTACK_RANGE_UP</t>
  </si>
  <si>
    <t>CARD_RANGE_NAME</t>
  </si>
  <si>
    <t>공격 범위 강화</t>
  </si>
  <si>
    <t>기본 공격 사거리가 0.15 증가합니다.</t>
  </si>
  <si>
    <t>ICON_RANGE</t>
  </si>
  <si>
    <t>PIERCING_UP</t>
  </si>
  <si>
    <t>CARD_PIERCING_NAME</t>
  </si>
  <si>
    <t>관통</t>
  </si>
  <si>
    <t>0.4초 판정창 동안 적 1명을 추가로 관통합니다. 반복 공격해도 판정창이 끝날 때까지 카드 레벨만큼만 추가 관통하며, 최대 5명입니다.</t>
  </si>
  <si>
    <t>UpgradeRank</t>
  </si>
  <si>
    <t>Piercing</t>
  </si>
  <si>
    <t>ICON_PIERCING</t>
  </si>
  <si>
    <t>SEVER_TRAIL</t>
  </si>
  <si>
    <t>CARD_SEVER_NAME</t>
  </si>
  <si>
    <t>절단</t>
  </si>
  <si>
    <t>실제 관통 0.3초 뒤 관통 시작 위치부터 현재 위치까지 검은 절단선을 만듭니다. 선은 0.1초 동안 사라지며 재사용 대기시간은 0.1초, 피해는 공격력의 2배입니다.</t>
  </si>
  <si>
    <t>Sever</t>
  </si>
  <si>
    <t>영웅</t>
  </si>
  <si>
    <t>ICON_SEVER</t>
  </si>
  <si>
    <t>HIT_HEAL</t>
  </si>
  <si>
    <t>CARD_HIT_HEAL_NAME</t>
  </si>
  <si>
    <t>흡혈</t>
  </si>
  <si>
    <t>적을 처치할 때마다 5% 확률로 체력을 카드 레벨당 2 회복합니다. 1/2/3레벨 회복량은 2/4/6입니다.</t>
  </si>
  <si>
    <t>HitHeal</t>
  </si>
  <si>
    <t>ICON_HIT_HEAL</t>
  </si>
  <si>
    <t>STATIC_CHARGE</t>
  </si>
  <si>
    <t>CARD_STATIC_NAME</t>
  </si>
  <si>
    <t>정전기</t>
  </si>
  <si>
    <t>공격 대상과 주변 적에게 공격력의 0.75배 피해를 줍니다. 레벨마다 주변 대상이 2명 증가합니다.</t>
  </si>
  <si>
    <t>StaticCharge</t>
  </si>
  <si>
    <t>ICON_STATIC</t>
  </si>
  <si>
    <t>MOVING_SLASH</t>
  </si>
  <si>
    <t>CARD_MOVING_SLASH_NAME</t>
  </si>
  <si>
    <t>참격</t>
  </si>
  <si>
    <t>이동 시 초승달 검기를 생성합니다. 레벨마다 피해·크기·사거리·최대 타격 수가 증가합니다. 1~5레벨: 피해 1.8/2.15/2.5/2.85/3.2배, 크기 100/115/130/145/160%, 사거리 6/7.5/9/10.5/12, 최대 타격 2/3/4/5/6.</t>
  </si>
  <si>
    <t>MovingSlash</t>
  </si>
  <si>
    <t>ICON_MOVING_SLASH</t>
  </si>
  <si>
    <t>SHIELD_BYPASS</t>
  </si>
  <si>
    <t>CARD_SHIELD_BYPASS_NAME</t>
  </si>
  <si>
    <t>방패 우회</t>
  </si>
  <si>
    <t>방패병 정면 공격 시 반동과 0.5초 조작 불가를 무시할 확률이 레벨마다 10% 증가합니다.</t>
  </si>
  <si>
    <t>ShieldBypass</t>
  </si>
  <si>
    <t>ICON_SHIELD_BYPASS</t>
  </si>
  <si>
    <t>FLYING_SWORD_COUNT</t>
  </si>
  <si>
    <t>CARD_FLYING_SWORD_COUNT_NAME</t>
  </si>
  <si>
    <t>이기어검 수 증가</t>
  </si>
  <si>
    <t>플레이어가 적에게 피해를 주면 준비된 이기어검 1개가 무작위 적 Spawn 위치에서 날아갑니다. 레벨마다 검 1개가 활성화되며 검마다 0.3초 후 재충전됩니다.</t>
  </si>
  <si>
    <t>FlyingSwordCount</t>
  </si>
  <si>
    <t>ICON_FLYING_SWORD_COUNT</t>
  </si>
  <si>
    <t>FLYING_SWORD_HITS</t>
  </si>
  <si>
    <t>CARD_FLYING_SWORD_HITS_NAME</t>
  </si>
  <si>
    <t>이기어검 타격 수 증가</t>
  </si>
  <si>
    <t>이기어검 한 자루가 타격할 수 있는 적이 1명 증가합니다. 기본 2명이며 최대 5명입니다.</t>
  </si>
  <si>
    <t>FlyingSwordHitCount</t>
  </si>
  <si>
    <t>ICON_FLYING_SWORD_HITS</t>
  </si>
  <si>
    <t>FILTH_THROW</t>
  </si>
  <si>
    <t>CARD_FILTH_THROW_NAME</t>
  </si>
  <si>
    <t>오물 투척</t>
  </si>
  <si>
    <t>FilthThrow</t>
  </si>
  <si>
    <t>ICON_FILTH_THROW</t>
  </si>
  <si>
    <t>60웨이브 / 10분 몬스터 밀도·체력 관문 계획</t>
  </si>
  <si>
    <t>초반에는 스킬이 적으므로 5·8웨이브 관문을 약하게 시작하고, 카드가 누적되는 후반으로 갈수록 관문 증가폭을 크게 확대합니다. 관문 사이에서는 적 레벨 곡선만 적용되어 체력이 완만하게 증가합니다.</t>
  </si>
  <si>
    <t>웨이브</t>
  </si>
  <si>
    <t>시작 초</t>
  </si>
  <si>
    <t>적 수</t>
  </si>
  <si>
    <t>근접·비행</t>
  </si>
  <si>
    <t>원거리</t>
  </si>
  <si>
    <t>방패</t>
  </si>
  <si>
    <t>보스</t>
  </si>
  <si>
    <t>웨이브 경험치</t>
  </si>
  <si>
    <t>누적 경험치</t>
  </si>
  <si>
    <t>예상 플레이어 레벨</t>
  </si>
  <si>
    <t>최소 적 레벨</t>
  </si>
  <si>
    <t>최대 적 레벨</t>
  </si>
  <si>
    <t>평균 적 레벨</t>
  </si>
  <si>
    <t>평균 레벨 차이</t>
  </si>
  <si>
    <t>체력 관문 배율</t>
  </si>
  <si>
    <t>일반 적 기준 체력</t>
  </si>
  <si>
    <t>보스 기준 체력</t>
  </si>
  <si>
    <t>후면 평타 필요 타수</t>
  </si>
  <si>
    <t>후면 스킬 콤보 필요 횟수</t>
  </si>
  <si>
    <t>카드 수식과 레벨별 효과</t>
  </si>
  <si>
    <t>입력</t>
  </si>
  <si>
    <t>값</t>
  </si>
  <si>
    <t>정전기 피해 배율</t>
  </si>
  <si>
    <t>절단 추가 피해 배율</t>
  </si>
  <si>
    <t>흡혈 레벨당 회복량</t>
  </si>
  <si>
    <t>회복 확률</t>
  </si>
  <si>
    <t>방패 우회 레벨당 확률</t>
  </si>
  <si>
    <t>카드 레벨</t>
  </si>
  <si>
    <t>추가 관통</t>
  </si>
  <si>
    <t>절단 추가 피해</t>
  </si>
  <si>
    <t>기본+절단</t>
  </si>
  <si>
    <t>정전기 주변 대상</t>
  </si>
  <si>
    <t>정전기 주 대상 총배율</t>
  </si>
  <si>
    <t>정전기 주변 피해</t>
  </si>
  <si>
    <t>흡혈 처치당 기대 회복(최대 3레벨)</t>
  </si>
  <si>
    <t>이동 참격 확률</t>
  </si>
  <si>
    <t>이동 참격 최대 적중</t>
  </si>
  <si>
    <t>이동 참격 크기</t>
  </si>
  <si>
    <t>이동 참격 후면 피해</t>
  </si>
  <si>
    <t>방패 우회 확률</t>
  </si>
  <si>
    <t>오물 틱 피해</t>
  </si>
  <si>
    <t>오물 반경</t>
  </si>
  <si>
    <t>오물 재사용</t>
  </si>
  <si>
    <t>오물 투척 수</t>
  </si>
  <si>
    <t>SimpleGame 10분 밸런스 요약</t>
  </si>
  <si>
    <t>핵심 지표</t>
  </si>
  <si>
    <t>핵심 수학 모델</t>
  </si>
  <si>
    <t>3차 핵심 규칙</t>
  </si>
  <si>
    <t>설계값</t>
  </si>
  <si>
    <t>플레이 시간(초)</t>
  </si>
  <si>
    <t>플레이어 공격력</t>
  </si>
  <si>
    <t>A(P)=기본 공격력+성장률×(√(P-1)+0.18(P-1))</t>
  </si>
  <si>
    <t>보스 순서</t>
  </si>
  <si>
    <t>고블린→머쉬룸→플라잉 아이→스켈레톤</t>
  </si>
  <si>
    <t>총 스폰 수</t>
  </si>
  <si>
    <t>적 체력</t>
  </si>
  <si>
    <t>H(E,W)=[기본 체력+성장률×(√n+0.18n)]×G(W)</t>
  </si>
  <si>
    <t>보스 패턴</t>
  </si>
  <si>
    <t>Attack1/Attack2 확정 교대</t>
  </si>
  <si>
    <t>총 획득 가능 경험치</t>
  </si>
  <si>
    <t>적 공격력</t>
  </si>
  <si>
    <t>D(E)=min(8,ceil(기본 피해+0.45√(E-1)))</t>
  </si>
  <si>
    <t>비행형 겹침</t>
  </si>
  <si>
    <t>Flying Eye 일반·보스 모두 허용</t>
  </si>
  <si>
    <t>예상 최종 플레이어 레벨</t>
  </si>
  <si>
    <t>필요 경험치</t>
  </si>
  <si>
    <t>R(L)=6+2L+floor(0.025(L-1)^2), 50레벨=0</t>
  </si>
  <si>
    <t>획득 가능한 카드 레벨 합계</t>
  </si>
  <si>
    <t>10분 적 수</t>
  </si>
  <si>
    <t>1~4웨이브 4·5·6·7, 이후 9+1.05n+0.018n²</t>
  </si>
  <si>
    <t>최대 평균 레벨 차이</t>
  </si>
  <si>
    <t>0.4초 판정창 내 추가 관통 누적 C≤카드 레벨 L</t>
  </si>
  <si>
    <t>보스 수</t>
  </si>
  <si>
    <t>주 대상=기본+0.75A_side, 주변=0.75A_side, 수=2L+1</t>
  </si>
  <si>
    <t>실제 관통당 1개·지연 0.3초·재사용 0.1초·cutting 검은 선분 피해 2A_side</t>
  </si>
  <si>
    <t>확률=min(30%,10%×L), 방패 반동에만 적용</t>
  </si>
  <si>
    <t>시간</t>
  </si>
  <si>
    <t>1분간 적 수</t>
  </si>
  <si>
    <t>구간 끝 평균 적 레벨</t>
  </si>
  <si>
    <t>체력 관문 시작</t>
  </si>
  <si>
    <t>관문 배율 G(W)</t>
  </si>
  <si>
    <t>1분</t>
  </si>
  <si>
    <t>2분</t>
  </si>
  <si>
    <t>3분</t>
  </si>
  <si>
    <t>4분</t>
  </si>
  <si>
    <t>5분</t>
  </si>
  <si>
    <t>6분</t>
  </si>
  <si>
    <t>7분</t>
  </si>
  <si>
    <t>8분</t>
  </si>
  <si>
    <t>9분</t>
  </si>
  <si>
    <t>10분</t>
  </si>
  <si>
    <t>5차 반영: 오물 투척은 레벨마다 1/2/3/4/5개를 화면 안의 무작위 생존 적에게 동시에 던집니다. 각 장판은 3초 유지되며 0.5초마다 피해를 주고, 반경은 레벨마다 기본 반경의 10%씩 증가합니다.</t>
  </si>
  <si>
    <t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t>
  </si>
  <si>
    <t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화면 안 무작위 생존 적 대상, 투척 수 T=L(최대 5, 한 쿨다운에 동시 투척), 틱 M=0.35+0.1(L-1), 반경 R=1.2×[1+10%(L-1)], 재사용 C=6-0.5(L-1), 장판당 0.5초 간격 총 6틱.</t>
  </si>
  <si>
    <t>무작위 적 / 6틱 / 반경 1.2~1.68</t>
  </si>
  <si>
    <t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</si>
</sst>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0"/>
    <numFmt numFmtId="178" formatCode="0.0"/>
    <numFmt numFmtId="179" formatCode="0.00\x"/>
    <numFmt numFmtId="180" formatCode="0.00&quot;x&quot;"/>
  </numFmts>
  <fonts count="1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17202A"/>
      <name val="Aptos"/>
      <family val="2"/>
    </font>
    <font>
      <b/>
      <sz val="10"/>
      <color rgb="FFFFFFFF"/>
      <name val="Aptos"/>
      <family val="2"/>
    </font>
    <font>
      <sz val="10"/>
      <color rgb="FF155E28"/>
      <name val="Aptos"/>
      <family val="2"/>
    </font>
    <font>
      <sz val="10"/>
      <color rgb="FF2563EB"/>
      <name val="Aptos"/>
      <family val="2"/>
    </font>
    <font>
      <b/>
      <sz val="18"/>
      <color rgb="FFFFFFFF"/>
      <name val="Aptos Display"/>
      <family val="2"/>
    </font>
    <font>
      <b/>
      <sz val="10"/>
      <color rgb="FF17202A"/>
      <name val="Aptos"/>
      <family val="2"/>
    </font>
    <font>
      <i/>
      <sz val="10"/>
      <color rgb="FF17202A"/>
      <name val="Aptos"/>
      <family val="2"/>
    </font>
    <font>
      <b/>
      <sz val="10"/>
      <color rgb="FF17652A"/>
      <name val="Aptos"/>
      <family val="2"/>
    </font>
    <font>
      <sz val="11"/>
      <color rgb="FF17202A"/>
      <name val="Carlito"/>
    </font>
    <font>
      <i/>
      <sz val="10"/>
      <color rgb="FF37415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F7EA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2F8F1F"/>
      </patternFill>
    </fill>
    <fill>
      <patternFill patternType="solid">
        <fgColor rgb="FF155E28"/>
      </patternFill>
    </fill>
    <fill>
      <patternFill patternType="solid">
        <fgColor rgb="FFF8FAFC"/>
      </patternFill>
    </fill>
    <fill>
      <patternFill patternType="solid">
        <fgColor rgb="FFE9F7EA"/>
      </patternFill>
    </fill>
    <fill>
      <patternFill patternType="solid">
        <fgColor rgb="FFFFFFFF"/>
      </patternFill>
    </fill>
    <fill>
      <patternFill patternType="solid">
        <fgColor rgb="FF278F20"/>
      </patternFill>
    </fill>
    <fill>
      <patternFill patternType="solid">
        <fgColor rgb="FFC6EFD0"/>
      </patternFill>
    </fill>
    <fill>
      <patternFill patternType="solid">
        <fgColor rgb="FFFFFFFF"/>
      </patternFill>
    </fill>
    <fill>
      <patternFill patternType="solid">
        <fgColor rgb="FF17652A"/>
      </patternFill>
    </fill>
    <fill>
      <patternFill patternType="solid">
        <fgColor rgb="FFEAF5E8"/>
      </patternFill>
    </fill>
    <fill>
      <patternFill patternType="solid">
        <fgColor rgb="FFDCEFD9"/>
      </patternFill>
    </fill>
    <fill>
      <patternFill patternType="solid">
        <fgColor rgb="FF1B7F2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2F8F1F"/>
      </patternFill>
    </fill>
  </fills>
  <borders count="28">
    <border>
      <left/>
      <right/>
      <top/>
      <bottom/>
      <diagonal/>
    </border>
    <border>
      <left style="thin">
        <color rgb="FF2F8F1F"/>
      </left>
      <right/>
      <top style="thin">
        <color rgb="FF2F8F1F"/>
      </top>
      <bottom style="thin">
        <color rgb="FF2F8F1F"/>
      </bottom>
      <diagonal/>
    </border>
    <border>
      <left/>
      <right/>
      <top style="thin">
        <color rgb="FF2F8F1F"/>
      </top>
      <bottom style="thin">
        <color rgb="FF2F8F1F"/>
      </bottom>
      <diagonal/>
    </border>
    <border>
      <left/>
      <right style="thin">
        <color rgb="FF2F8F1F"/>
      </right>
      <top style="thin">
        <color rgb="FF2F8F1F"/>
      </top>
      <bottom style="thin">
        <color rgb="FF2F8F1F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2F8F1F"/>
      </right>
      <top style="thin">
        <color rgb="FF2F8F1F"/>
      </top>
      <bottom style="thin">
        <color rgb="FF31D158"/>
      </bottom>
      <diagonal/>
    </border>
    <border>
      <left/>
      <right/>
      <top style="thin">
        <color rgb="FF2F8F1F"/>
      </top>
      <bottom style="thin">
        <color rgb="FF31D158"/>
      </bottom>
      <diagonal/>
    </border>
    <border>
      <left/>
      <right/>
      <top style="thin">
        <color rgb="FF31D158"/>
      </top>
      <bottom style="thin">
        <color rgb="FF31D158"/>
      </bottom>
      <diagonal/>
    </border>
    <border>
      <left/>
      <right style="thin">
        <color rgb="FF2F8F1F"/>
      </right>
      <top style="thin">
        <color rgb="FF31D158"/>
      </top>
      <bottom style="thin">
        <color rgb="FF31D158"/>
      </bottom>
      <diagonal/>
    </border>
    <border>
      <left/>
      <right/>
      <top style="thin">
        <color rgb="FF31D158"/>
      </top>
      <bottom style="thin">
        <color rgb="FF2F8F1F"/>
      </bottom>
      <diagonal/>
    </border>
    <border>
      <left/>
      <right style="thin">
        <color rgb="FF2F8F1F"/>
      </right>
      <top style="thin">
        <color rgb="FF31D158"/>
      </top>
      <bottom style="thin">
        <color rgb="FF2F8F1F"/>
      </bottom>
      <diagonal/>
    </border>
    <border>
      <left style="thin">
        <color rgb="FF42D665"/>
      </left>
      <right style="thin">
        <color rgb="FF42D665"/>
      </right>
      <top style="thin">
        <color rgb="FF42D665"/>
      </top>
      <bottom style="thin">
        <color rgb="FF42D665"/>
      </bottom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3" borderId="8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13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/>
    </xf>
    <xf numFmtId="0" fontId="9" fillId="8" borderId="7" xfId="0" applyFont="1" applyFill="1" applyBorder="1" applyAlignment="1">
      <alignment vertical="center"/>
    </xf>
    <xf numFmtId="178" fontId="9" fillId="8" borderId="7" xfId="0" applyNumberFormat="1" applyFont="1" applyFill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78" fontId="0" fillId="0" borderId="0" xfId="0" applyNumberFormat="1"/>
    <xf numFmtId="0" fontId="4" fillId="2" borderId="8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21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180" fontId="4" fillId="12" borderId="23" xfId="0" applyNumberFormat="1" applyFont="1" applyFill="1" applyBorder="1" applyAlignment="1">
      <alignment vertical="center" wrapText="1"/>
    </xf>
    <xf numFmtId="180" fontId="4" fillId="13" borderId="23" xfId="0" applyNumberFormat="1" applyFont="1" applyFill="1" applyBorder="1" applyAlignment="1">
      <alignment vertical="center" wrapText="1"/>
    </xf>
    <xf numFmtId="180" fontId="12" fillId="12" borderId="23" xfId="0" applyNumberFormat="1" applyFont="1" applyFill="1" applyBorder="1" applyAlignment="1">
      <alignment vertical="center"/>
    </xf>
    <xf numFmtId="180" fontId="12" fillId="13" borderId="23" xfId="0" applyNumberFormat="1" applyFont="1" applyFill="1" applyBorder="1" applyAlignment="1">
      <alignment vertical="center"/>
    </xf>
    <xf numFmtId="180" fontId="12" fillId="13" borderId="25" xfId="0" applyNumberFormat="1" applyFont="1" applyFill="1" applyBorder="1" applyAlignment="1">
      <alignment vertical="center"/>
    </xf>
    <xf numFmtId="178" fontId="12" fillId="12" borderId="23" xfId="0" applyNumberFormat="1" applyFont="1" applyFill="1" applyBorder="1" applyAlignment="1">
      <alignment vertical="center"/>
    </xf>
    <xf numFmtId="178" fontId="12" fillId="13" borderId="23" xfId="0" applyNumberFormat="1" applyFont="1" applyFill="1" applyBorder="1" applyAlignment="1">
      <alignment vertical="center"/>
    </xf>
    <xf numFmtId="178" fontId="12" fillId="13" borderId="25" xfId="0" applyNumberFormat="1" applyFont="1" applyFill="1" applyBorder="1" applyAlignment="1">
      <alignment vertical="center"/>
    </xf>
    <xf numFmtId="1" fontId="12" fillId="12" borderId="23" xfId="0" applyNumberFormat="1" applyFont="1" applyFill="1" applyBorder="1" applyAlignment="1">
      <alignment vertical="center"/>
    </xf>
    <xf numFmtId="1" fontId="12" fillId="12" borderId="24" xfId="0" applyNumberFormat="1" applyFont="1" applyFill="1" applyBorder="1" applyAlignment="1">
      <alignment vertical="center"/>
    </xf>
    <xf numFmtId="1" fontId="12" fillId="13" borderId="23" xfId="0" applyNumberFormat="1" applyFont="1" applyFill="1" applyBorder="1" applyAlignment="1">
      <alignment vertical="center"/>
    </xf>
    <xf numFmtId="1" fontId="12" fillId="13" borderId="24" xfId="0" applyNumberFormat="1" applyFont="1" applyFill="1" applyBorder="1" applyAlignment="1">
      <alignment vertical="center"/>
    </xf>
    <xf numFmtId="1" fontId="12" fillId="13" borderId="25" xfId="0" applyNumberFormat="1" applyFont="1" applyFill="1" applyBorder="1" applyAlignment="1">
      <alignment vertical="center"/>
    </xf>
    <xf numFmtId="1" fontId="12" fillId="13" borderId="26" xfId="0" applyNumberFormat="1" applyFont="1" applyFill="1" applyBorder="1" applyAlignment="1">
      <alignment vertical="center"/>
    </xf>
    <xf numFmtId="0" fontId="5" fillId="11" borderId="0" xfId="0" applyFont="1" applyFill="1" applyAlignment="1">
      <alignment horizontal="center" vertical="center"/>
    </xf>
    <xf numFmtId="180" fontId="4" fillId="0" borderId="0" xfId="0" applyNumberFormat="1" applyFont="1" applyAlignment="1">
      <alignment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179" fontId="4" fillId="12" borderId="0" xfId="0" applyNumberFormat="1" applyFont="1" applyFill="1" applyAlignment="1">
      <alignment horizontal="center" vertical="center"/>
    </xf>
    <xf numFmtId="2" fontId="4" fillId="12" borderId="0" xfId="0" applyNumberFormat="1" applyFont="1" applyFill="1" applyAlignment="1">
      <alignment horizontal="center" vertical="center"/>
    </xf>
    <xf numFmtId="176" fontId="4" fillId="12" borderId="0" xfId="0" applyNumberFormat="1" applyFont="1" applyFill="1" applyAlignment="1">
      <alignment horizontal="center" vertical="center"/>
    </xf>
    <xf numFmtId="9" fontId="4" fillId="12" borderId="0" xfId="0" applyNumberFormat="1" applyFont="1" applyFill="1" applyAlignment="1">
      <alignment horizontal="center" vertical="center"/>
    </xf>
    <xf numFmtId="9" fontId="12" fillId="12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7" borderId="27" xfId="0" applyFont="1" applyFill="1" applyBorder="1" applyAlignment="1">
      <alignment horizontal="center" vertical="center"/>
    </xf>
    <xf numFmtId="3" fontId="0" fillId="18" borderId="27" xfId="0" applyNumberFormat="1" applyFill="1" applyBorder="1" applyAlignment="1">
      <alignment horizontal="right"/>
    </xf>
    <xf numFmtId="3" fontId="0" fillId="19" borderId="27" xfId="0" applyNumberFormat="1" applyFill="1" applyBorder="1" applyAlignment="1">
      <alignment horizontal="right"/>
    </xf>
    <xf numFmtId="0" fontId="1" fillId="21" borderId="0" xfId="0" applyFont="1" applyFill="1" applyAlignment="1">
      <alignment horizontal="center" wrapText="1"/>
    </xf>
    <xf numFmtId="0" fontId="8" fillId="14" borderId="0" xfId="0" applyFont="1" applyFill="1" applyAlignment="1">
      <alignment horizontal="left" vertical="center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3" fillId="20" borderId="17" xfId="0" applyFont="1" applyFill="1" applyBorder="1" applyAlignment="1">
      <alignment horizontal="left" vertical="center" wrapText="1"/>
    </xf>
    <xf numFmtId="0" fontId="13" fillId="20" borderId="18" xfId="0" applyFont="1" applyFill="1" applyBorder="1" applyAlignment="1">
      <alignment horizontal="left" vertical="center" wrapText="1"/>
    </xf>
    <xf numFmtId="0" fontId="13" fillId="20" borderId="19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0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8" fillId="7" borderId="0" xfId="0" applyFont="1" applyFill="1" applyAlignment="1">
      <alignment horizontal="left" vertical="center"/>
    </xf>
    <xf numFmtId="0" fontId="0" fillId="0" borderId="0" xfId="0"/>
    <xf numFmtId="0" fontId="10" fillId="9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0" fontId="4" fillId="15" borderId="0" xfId="0" applyFont="1" applyFill="1" applyAlignment="1">
      <alignment vertical="center" wrapText="1"/>
    </xf>
    <xf numFmtId="0" fontId="12" fillId="15" borderId="0" xfId="0" applyFont="1" applyFill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3" fillId="20" borderId="9" xfId="0" applyFont="1" applyFill="1" applyBorder="1" applyAlignment="1">
      <alignment horizontal="left" vertical="center" wrapText="1"/>
    </xf>
    <xf numFmtId="0" fontId="13" fillId="20" borderId="10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1">
    <dxf>
      <fill>
        <patternFill>
          <bgColor rgb="FFF4FB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sz="975"/>
              <a:t>시간대별 적 수와 적 레벨 상승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B8-4ACF-B716-F34AA03138D6}"/>
            </c:ext>
          </c:extLst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B8-4ACF-B716-F34AA0313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00000000}" name="EnemyBalancePhase3" displayName="EnemyBalancePhase3" ref="A1:S9" totalsRowShown="0">
  <tableColumns count="19">
    <tableColumn id="1" xr3:uid="{00000000-0010-0000-0000-000001000000}" name="EnemyId"/>
    <tableColumn id="2" xr3:uid="{00000000-0010-0000-0000-000002000000}" name="Archetype"/>
    <tableColumn id="3" xr3:uid="{00000000-0010-0000-0000-000003000000}" name="MoveSpeed"/>
    <tableColumn id="4" xr3:uid="{00000000-0010-0000-0000-000004000000}" name="AttackRange"/>
    <tableColumn id="5" xr3:uid="{00000000-0010-0000-0000-000005000000}" name="AttackDamage"/>
    <tableColumn id="6" xr3:uid="{00000000-0010-0000-0000-000006000000}" name="AttackWindup"/>
    <tableColumn id="7" xr3:uid="{00000000-0010-0000-0000-000007000000}" name="AttackActiveDuration"/>
    <tableColumn id="8" xr3:uid="{00000000-0010-0000-0000-000008000000}" name="AttackCooldown"/>
    <tableColumn id="9" xr3:uid="{00000000-0010-0000-0000-000009000000}" name="AttackAreaRadius"/>
    <tableColumn id="10" xr3:uid="{00000000-0010-0000-0000-00000A000000}" name="ApproachRange"/>
    <tableColumn id="11" xr3:uid="{00000000-0010-0000-0000-00000B000000}" name="FacingTurnDelay"/>
    <tableColumn id="12" xr3:uid="{00000000-0010-0000-0000-00000C000000}" name="PostAttackFacingLock"/>
    <tableColumn id="13" xr3:uid="{00000000-0010-0000-0000-00000D000000}" name="KillExperience"/>
    <tableColumn id="14" xr3:uid="{00000000-0010-0000-0000-00000E000000}" name="Score"/>
    <tableColumn id="15" xr3:uid="{00000000-0010-0000-0000-00000F000000}" name="BaseMaxHp"/>
    <tableColumn id="16" xr3:uid="{00000000-0010-0000-0000-000010000000}" name="HpGrowthRate"/>
    <tableColumn id="17" xr3:uid="{00000000-0010-0000-0000-000011000000}" name="LevelDifficultyOffset"/>
    <tableColumn id="18" xr3:uid="{00000000-0010-0000-0000-000012000000}" name="CombatProfileId"/>
    <tableColumn id="19" xr3:uid="{00000000-0010-0000-0000-000013000000}" name="ShowHpBa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01000000}" name="StageSpawnPhase2" displayName="StageSpawnPhase2" ref="A1:G3284" totalsRowShown="0">
  <tableColumns count="7">
    <tableColumn id="1" xr3:uid="{00000000-0010-0000-0100-000001000000}" name="StageId"/>
    <tableColumn id="2" xr3:uid="{00000000-0010-0000-0100-000002000000}" name="WaveId"/>
    <tableColumn id="3" xr3:uid="{00000000-0010-0000-0100-000003000000}" name="SpawnTimeSec"/>
    <tableColumn id="4" xr3:uid="{00000000-0010-0000-0100-000004000000}" name="SpawnIndex"/>
    <tableColumn id="5" xr3:uid="{00000000-0010-0000-0100-000005000000}" name="SpawnPointId"/>
    <tableColumn id="6" xr3:uid="{00000000-0010-0000-0100-000006000000}" name="EnemyId"/>
    <tableColumn id="7" xr3:uid="{00000000-0010-0000-0100-000007000000}" name="EnemyLeve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02000000}" name="PlayerBalanceTable" displayName="PlayerBalanceTable" ref="A1:M2" totalsRowShown="0">
  <tableColumns count="13">
    <tableColumn id="1" xr3:uid="{00000000-0010-0000-0200-000001000000}" name="PlayerId"/>
    <tableColumn id="2" xr3:uid="{00000000-0010-0000-0200-000002000000}" name="StartLevel"/>
    <tableColumn id="3" xr3:uid="{00000000-0010-0000-0200-000003000000}" name="BaseMaxHp"/>
    <tableColumn id="4" xr3:uid="{00000000-0010-0000-0200-000004000000}" name="BaseAttackPower"/>
    <tableColumn id="5" xr3:uid="{00000000-0010-0000-0200-000005000000}" name="AttackGrowthRate"/>
    <tableColumn id="6" xr3:uid="{00000000-0010-0000-0200-000006000000}" name="RearAttackMultiplier"/>
    <tableColumn id="7" xr3:uid="{00000000-0010-0000-0200-000007000000}" name="BaseMoveSpeed"/>
    <tableColumn id="8" xr3:uid="{00000000-0010-0000-0200-000008000000}" name="PathEnemyApproachSpeedMultiplier"/>
    <tableColumn id="9" xr3:uid="{00000000-0010-0000-0200-000009000000}" name="PostKillEscapeSpeedMultiplier"/>
    <tableColumn id="10" xr3:uid="{00000000-0010-0000-0200-00000A000000}" name="MoveArrivalTolerance"/>
    <tableColumn id="11" xr3:uid="{00000000-0010-0000-0200-00000B000000}" name="AttackRange"/>
    <tableColumn id="12" xr3:uid="{00000000-0010-0000-0200-00000C000000}" name="BaseCriticalChance"/>
    <tableColumn id="13" xr3:uid="{00000000-0010-0000-0200-00000D000000}" name="Enable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3000000}" name="PlayerLevelExp10Min" displayName="PlayerLevelExp10Min" ref="A1:C51" totalsRowShown="0">
  <tableColumns count="3">
    <tableColumn id="1" xr3:uid="{00000000-0010-0000-0300-000001000000}" name="Level"/>
    <tableColumn id="2" xr3:uid="{00000000-0010-0000-0300-000002000000}" name="RequiredExp"/>
    <tableColumn id="3" xr3:uid="{00000000-0010-0000-0300-000003000000}" name="CumulativeExpToNex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4000000}" name="AccountLevelExpTable" displayName="AccountLevelExpTable" ref="A1:B5" totalsRowShown="0">
  <tableColumns count="2">
    <tableColumn id="1" xr3:uid="{00000000-0010-0000-0400-000001000000}" name="Level"/>
    <tableColumn id="2" xr3:uid="{00000000-0010-0000-0400-000002000000}" name="RequiredExp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5000000}" name="GlobalBalanceTable" displayName="GlobalBalanceTable" ref="A1:G2" totalsRowShown="0">
  <tableColumns count="7">
    <tableColumn id="1" xr3:uid="{00000000-0010-0000-0500-000001000000}" name="AccountExpScoreUnit"/>
    <tableColumn id="2" xr3:uid="{00000000-0010-0000-0500-000002000000}" name="AccountExpPerUnit"/>
    <tableColumn id="3" xr3:uid="{00000000-0010-0000-0500-000003000000}" name="CriticalChancePerCard"/>
    <tableColumn id="4" xr3:uid="{00000000-0010-0000-0500-000004000000}" name="MaximumCriticalChance"/>
    <tableColumn id="5" xr3:uid="{00000000-0010-0000-0500-000005000000}" name="InitialCardRerolls"/>
    <tableColumn id="6" xr3:uid="{00000000-0010-0000-0500-000006000000}" name="MaximumStoredCardRerolls"/>
    <tableColumn id="7" xr3:uid="{00000000-0010-0000-0500-000007000000}" name="BossRerollReward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06000000}" name="LevelUpCardPhase3" displayName="LevelUpCardPhase3" ref="A1:O14" totalsRowShown="0">
  <tableColumns count="15">
    <tableColumn id="1" xr3:uid="{00000000-0010-0000-0600-000001000000}" name="CardId"/>
    <tableColumn id="2" xr3:uid="{00000000-0010-0000-0600-000002000000}" name="NameKey"/>
    <tableColumn id="3" xr3:uid="{00000000-0010-0000-0600-000003000000}" name="DisplayName"/>
    <tableColumn id="4" xr3:uid="{00000000-0010-0000-0600-000004000000}" name="Description"/>
    <tableColumn id="5" xr3:uid="{00000000-0010-0000-0600-000005000000}" name="EffectType"/>
    <tableColumn id="6" xr3:uid="{00000000-0010-0000-0600-000006000000}" name="TargetStat"/>
    <tableColumn id="7" xr3:uid="{00000000-0010-0000-0600-000007000000}" name="Operation"/>
    <tableColumn id="8" xr3:uid="{00000000-0010-0000-0600-000008000000}" name="Value"/>
    <tableColumn id="9" xr3:uid="{00000000-0010-0000-0600-000009000000}" name="MaxStack"/>
    <tableColumn id="10" xr3:uid="{00000000-0010-0000-0600-00000A000000}" name="SelectionWeight"/>
    <tableColumn id="11" xr3:uid="{00000000-0010-0000-0600-00000B000000}" name="MinPlayerLevel"/>
    <tableColumn id="12" xr3:uid="{00000000-0010-0000-0600-00000C000000}" name="RequiredCardId"/>
    <tableColumn id="13" xr3:uid="{00000000-0010-0000-0600-00000D000000}" name="Rarity"/>
    <tableColumn id="14" xr3:uid="{00000000-0010-0000-0600-00000E000000}" name="IconId"/>
    <tableColumn id="15" xr3:uid="{00000000-0010-0000-0600-00000F000000}" name="Enabled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7000000}" name="WavePlan10Min" displayName="WavePlan10Min" ref="A5:S65" totalsRowShown="0">
  <tableColumns count="19">
    <tableColumn id="1" xr3:uid="{00000000-0010-0000-0700-000001000000}" name="웨이브"/>
    <tableColumn id="2" xr3:uid="{00000000-0010-0000-0700-000002000000}" name="시작 초"/>
    <tableColumn id="3" xr3:uid="{00000000-0010-0000-0700-000003000000}" name="적 수"/>
    <tableColumn id="4" xr3:uid="{00000000-0010-0000-0700-000004000000}" name="근접·비행"/>
    <tableColumn id="5" xr3:uid="{00000000-0010-0000-0700-000005000000}" name="원거리"/>
    <tableColumn id="6" xr3:uid="{00000000-0010-0000-0700-000006000000}" name="방패"/>
    <tableColumn id="7" xr3:uid="{00000000-0010-0000-0700-000007000000}" name="보스"/>
    <tableColumn id="8" xr3:uid="{00000000-0010-0000-0700-000008000000}" name="웨이브 경험치"/>
    <tableColumn id="9" xr3:uid="{00000000-0010-0000-0700-000009000000}" name="누적 경험치"/>
    <tableColumn id="10" xr3:uid="{00000000-0010-0000-0700-00000A000000}" name="예상 플레이어 레벨"/>
    <tableColumn id="11" xr3:uid="{00000000-0010-0000-0700-00000B000000}" name="최소 적 레벨"/>
    <tableColumn id="12" xr3:uid="{00000000-0010-0000-0700-00000C000000}" name="최대 적 레벨"/>
    <tableColumn id="13" xr3:uid="{00000000-0010-0000-0700-00000D000000}" name="평균 적 레벨"/>
    <tableColumn id="14" xr3:uid="{00000000-0010-0000-0700-00000E000000}" name="평균 레벨 차이"/>
    <tableColumn id="15" xr3:uid="{00000000-0010-0000-0700-00000F000000}" name="체력 관문 배율"/>
    <tableColumn id="16" xr3:uid="{00000000-0010-0000-0700-000010000000}" name="일반 적 기준 체력"/>
    <tableColumn id="17" xr3:uid="{00000000-0010-0000-0700-000011000000}" name="보스 기준 체력"/>
    <tableColumn id="18" xr3:uid="{00000000-0010-0000-0700-000012000000}" name="후면 평타 필요 타수"/>
    <tableColumn id="19" xr3:uid="{00000000-0010-0000-0700-000013000000}" name="후면 스킬 콤보 필요 횟수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08000000}" name="CardMathPhase3" displayName="CardMathPhase3" ref="A9:Q14" totalsRowShown="0">
  <tableColumns count="17">
    <tableColumn id="1" xr3:uid="{00000000-0010-0000-0800-000001000000}" name="카드 레벨"/>
    <tableColumn id="2" xr3:uid="{00000000-0010-0000-0800-000002000000}" name="추가 관통"/>
    <tableColumn id="3" xr3:uid="{00000000-0010-0000-0800-000003000000}" name="절단 추가 피해"/>
    <tableColumn id="4" xr3:uid="{00000000-0010-0000-0800-000004000000}" name="기본+절단"/>
    <tableColumn id="5" xr3:uid="{00000000-0010-0000-0800-000005000000}" name="정전기 주변 대상"/>
    <tableColumn id="6" xr3:uid="{00000000-0010-0000-0800-000006000000}" name="정전기 주 대상 총배율"/>
    <tableColumn id="7" xr3:uid="{00000000-0010-0000-0800-000007000000}" name="정전기 주변 피해"/>
    <tableColumn id="8" xr3:uid="{00000000-0010-0000-0800-000008000000}" name="흡혈 처치당 기대 회복(최대 3레벨)"/>
    <tableColumn id="9" xr3:uid="{00000000-0010-0000-0800-000009000000}" name="이동 참격 확률"/>
    <tableColumn id="10" xr3:uid="{00000000-0010-0000-0800-00000A000000}" name="이동 참격 최대 적중"/>
    <tableColumn id="11" xr3:uid="{00000000-0010-0000-0800-00000B000000}" name="이동 참격 크기"/>
    <tableColumn id="12" xr3:uid="{00000000-0010-0000-0800-00000C000000}" name="이동 참격 후면 피해"/>
    <tableColumn id="13" xr3:uid="{00000000-0010-0000-0800-00000D000000}" name="방패 우회 확률"/>
    <tableColumn id="14" xr3:uid="{00000000-0010-0000-0800-00000E000000}" name="오물 틱 피해"/>
    <tableColumn id="15" xr3:uid="{00000000-0010-0000-0800-00000F000000}" name="오물 반경"/>
    <tableColumn id="16" xr3:uid="{00000000-0010-0000-0800-000010000000}" name="오물 재사용"/>
    <tableColumn id="17" xr3:uid="{00000000-0010-0000-0800-000011000000}" name="오물 투척 수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selection sqref="A1:F1"/>
    </sheetView>
  </sheetViews>
  <sheetFormatPr defaultRowHeight="14"/>
  <cols>
    <col min="1" max="1" width="16" customWidth="1"/>
    <col min="2" max="2" width="38" customWidth="1"/>
    <col min="3" max="3" width="34" customWidth="1"/>
    <col min="4" max="4" width="11" customWidth="1"/>
    <col min="5" max="5" width="39" customWidth="1"/>
    <col min="6" max="6" width="31" customWidth="1"/>
  </cols>
  <sheetData>
    <row r="1" spans="1:6" ht="36" customHeight="1">
      <c r="A1" s="77" t="s">
        <v>0</v>
      </c>
      <c r="B1" s="77"/>
      <c r="C1" s="77"/>
      <c r="D1" s="77"/>
      <c r="E1" s="77"/>
      <c r="F1" s="77"/>
    </row>
    <row r="2" spans="1:6">
      <c r="A2" s="2"/>
      <c r="B2" s="2"/>
      <c r="C2" s="2"/>
      <c r="D2" s="2"/>
      <c r="E2" s="2"/>
      <c r="F2" s="2"/>
    </row>
    <row r="3" spans="1:6" ht="28" customHeight="1">
      <c r="A3" s="63" t="s">
        <v>1</v>
      </c>
      <c r="B3" s="64" t="s">
        <v>2</v>
      </c>
      <c r="C3" s="64" t="s">
        <v>3</v>
      </c>
      <c r="D3" s="64" t="s">
        <v>4</v>
      </c>
      <c r="E3" s="64" t="s">
        <v>5</v>
      </c>
      <c r="F3" s="43" t="s">
        <v>6</v>
      </c>
    </row>
    <row r="4" spans="1:6" ht="38" customHeight="1">
      <c r="A4" s="11">
        <v>1</v>
      </c>
      <c r="B4" s="11" t="s">
        <v>7</v>
      </c>
      <c r="C4" s="11" t="s">
        <v>8</v>
      </c>
      <c r="D4" s="11" t="s">
        <v>9</v>
      </c>
      <c r="E4" s="11" t="s">
        <v>10</v>
      </c>
      <c r="F4" s="11" t="s">
        <v>11</v>
      </c>
    </row>
    <row r="5" spans="1:6" ht="38" customHeight="1">
      <c r="A5" s="11">
        <v>2</v>
      </c>
      <c r="B5" s="11" t="s">
        <v>12</v>
      </c>
      <c r="C5" s="11" t="s">
        <v>13</v>
      </c>
      <c r="D5" s="11" t="s">
        <v>9</v>
      </c>
      <c r="E5" s="11" t="s">
        <v>14</v>
      </c>
      <c r="F5" s="11" t="s">
        <v>15</v>
      </c>
    </row>
    <row r="6" spans="1:6" ht="38" customHeight="1">
      <c r="A6" s="11">
        <v>3</v>
      </c>
      <c r="B6" s="11" t="s">
        <v>16</v>
      </c>
      <c r="C6" s="11" t="s">
        <v>17</v>
      </c>
      <c r="D6" s="11" t="s">
        <v>9</v>
      </c>
      <c r="E6" s="11" t="s">
        <v>18</v>
      </c>
      <c r="F6" s="11" t="s">
        <v>19</v>
      </c>
    </row>
    <row r="7" spans="1:6" ht="38" customHeight="1">
      <c r="A7" s="11">
        <v>4</v>
      </c>
      <c r="B7" s="11" t="s">
        <v>20</v>
      </c>
      <c r="C7" s="11" t="s">
        <v>21</v>
      </c>
      <c r="D7" s="11" t="s">
        <v>9</v>
      </c>
      <c r="E7" s="11" t="s">
        <v>22</v>
      </c>
      <c r="F7" s="11" t="s">
        <v>23</v>
      </c>
    </row>
    <row r="8" spans="1:6">
      <c r="A8" s="2"/>
      <c r="B8" s="2"/>
      <c r="C8" s="2"/>
      <c r="D8" s="2"/>
      <c r="E8" s="2"/>
      <c r="F8" s="2"/>
    </row>
    <row r="9" spans="1:6" ht="28" customHeight="1">
      <c r="A9" s="63" t="s">
        <v>24</v>
      </c>
      <c r="B9" s="64" t="s">
        <v>25</v>
      </c>
      <c r="C9" s="64" t="s">
        <v>26</v>
      </c>
      <c r="D9" s="64" t="s">
        <v>27</v>
      </c>
      <c r="E9" s="64" t="s">
        <v>28</v>
      </c>
      <c r="F9" s="43" t="s">
        <v>29</v>
      </c>
    </row>
    <row r="10" spans="1:6" ht="30" customHeight="1">
      <c r="A10" s="11" t="s">
        <v>30</v>
      </c>
      <c r="B10" s="11" t="s">
        <v>31</v>
      </c>
      <c r="C10" s="11" t="s">
        <v>32</v>
      </c>
      <c r="D10" s="11" t="s">
        <v>9</v>
      </c>
      <c r="E10" s="11" t="s">
        <v>9</v>
      </c>
      <c r="F10" s="11" t="s">
        <v>33</v>
      </c>
    </row>
    <row r="11" spans="1:6" ht="30" customHeight="1">
      <c r="A11" s="11" t="s">
        <v>34</v>
      </c>
      <c r="B11" s="11" t="s">
        <v>35</v>
      </c>
      <c r="C11" s="11" t="s">
        <v>36</v>
      </c>
      <c r="D11" s="11" t="s">
        <v>9</v>
      </c>
      <c r="E11" s="11" t="s">
        <v>9</v>
      </c>
      <c r="F11" s="11" t="s">
        <v>37</v>
      </c>
    </row>
    <row r="12" spans="1:6" ht="30" customHeight="1">
      <c r="A12" s="11" t="s">
        <v>38</v>
      </c>
      <c r="B12" s="11" t="s">
        <v>39</v>
      </c>
      <c r="C12" s="11" t="s">
        <v>40</v>
      </c>
      <c r="D12" s="11" t="s">
        <v>9</v>
      </c>
      <c r="E12" s="11" t="s">
        <v>9</v>
      </c>
      <c r="F12" s="11" t="s">
        <v>41</v>
      </c>
    </row>
    <row r="13" spans="1:6" ht="30" customHeight="1">
      <c r="A13" s="11" t="s">
        <v>42</v>
      </c>
      <c r="B13" s="11" t="s">
        <v>43</v>
      </c>
      <c r="C13" s="11" t="s">
        <v>44</v>
      </c>
      <c r="D13" s="11" t="s">
        <v>9</v>
      </c>
      <c r="E13" s="11" t="s">
        <v>9</v>
      </c>
      <c r="F13" s="11" t="s">
        <v>45</v>
      </c>
    </row>
    <row r="14" spans="1:6" ht="30" customHeight="1">
      <c r="A14" s="11" t="s">
        <v>46</v>
      </c>
      <c r="B14" s="11" t="s">
        <v>47</v>
      </c>
      <c r="C14" s="11" t="s">
        <v>48</v>
      </c>
      <c r="D14" s="11" t="s">
        <v>9</v>
      </c>
      <c r="E14" s="11" t="s">
        <v>9</v>
      </c>
      <c r="F14" s="11" t="s">
        <v>49</v>
      </c>
    </row>
    <row r="15" spans="1:6" ht="30" customHeight="1">
      <c r="A15" s="11" t="s">
        <v>50</v>
      </c>
      <c r="B15" s="11" t="s">
        <v>51</v>
      </c>
      <c r="C15" s="11" t="s">
        <v>52</v>
      </c>
      <c r="D15" s="11" t="s">
        <v>9</v>
      </c>
      <c r="E15" s="11" t="s">
        <v>9</v>
      </c>
      <c r="F15" s="11" t="s">
        <v>53</v>
      </c>
    </row>
    <row r="16" spans="1:6" ht="30" customHeight="1">
      <c r="A16" s="11" t="s">
        <v>54</v>
      </c>
      <c r="B16" s="11" t="s">
        <v>55</v>
      </c>
      <c r="C16" s="11" t="s">
        <v>56</v>
      </c>
      <c r="D16" s="11" t="s">
        <v>9</v>
      </c>
      <c r="E16" s="11" t="s">
        <v>9</v>
      </c>
      <c r="F16" s="11" t="s">
        <v>57</v>
      </c>
    </row>
    <row r="17" spans="1:6" ht="30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61</v>
      </c>
      <c r="F17" s="11" t="s">
        <v>62</v>
      </c>
    </row>
    <row r="18" spans="1:6" ht="30" customHeight="1">
      <c r="A18" s="11" t="s">
        <v>63</v>
      </c>
      <c r="B18" s="11" t="s">
        <v>64</v>
      </c>
      <c r="C18" s="11" t="s">
        <v>65</v>
      </c>
      <c r="D18" s="11" t="s">
        <v>61</v>
      </c>
      <c r="E18" s="11" t="s">
        <v>61</v>
      </c>
      <c r="F18" s="11" t="s">
        <v>66</v>
      </c>
    </row>
    <row r="19" spans="1:6" ht="30" customHeight="1">
      <c r="A19" s="11" t="s">
        <v>67</v>
      </c>
      <c r="B19" s="11" t="s">
        <v>68</v>
      </c>
      <c r="C19" s="11" t="s">
        <v>69</v>
      </c>
      <c r="D19" s="11" t="s">
        <v>61</v>
      </c>
      <c r="E19" s="11" t="s">
        <v>61</v>
      </c>
      <c r="F19" s="11" t="s">
        <v>62</v>
      </c>
    </row>
    <row r="20" spans="1:6" ht="26" customHeight="1">
      <c r="A20" s="78" t="s">
        <v>70</v>
      </c>
      <c r="B20" s="79"/>
      <c r="C20" s="79"/>
      <c r="D20" s="79"/>
      <c r="E20" s="79"/>
      <c r="F20" s="80"/>
    </row>
    <row r="21" spans="1:6" ht="36" customHeight="1">
      <c r="A21" s="81" t="s">
        <v>416</v>
      </c>
      <c r="B21" s="82"/>
      <c r="C21" s="82"/>
      <c r="D21" s="82"/>
      <c r="E21" s="82"/>
      <c r="F21" s="83"/>
    </row>
    <row r="22" spans="1:6">
      <c r="A22" s="84"/>
      <c r="B22" s="85"/>
      <c r="C22" s="85"/>
      <c r="D22" s="85"/>
      <c r="E22" s="85"/>
      <c r="F22" s="86"/>
    </row>
  </sheetData>
  <mergeCells count="3">
    <mergeCell ref="A1:F1"/>
    <mergeCell ref="A20:F20"/>
    <mergeCell ref="A21:F2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showGridLines="0" workbookViewId="0"/>
  </sheetViews>
  <sheetFormatPr defaultRowHeight="14"/>
  <cols>
    <col min="1" max="1" width="18" customWidth="1"/>
    <col min="2" max="2" width="12" customWidth="1"/>
    <col min="3" max="3" width="11" customWidth="1"/>
    <col min="4" max="4" width="12" customWidth="1"/>
    <col min="5" max="6" width="13" customWidth="1"/>
    <col min="7" max="7" width="17" customWidth="1"/>
    <col min="8" max="8" width="14" customWidth="1"/>
    <col min="9" max="9" width="15" customWidth="1"/>
    <col min="10" max="10" width="14" customWidth="1"/>
    <col min="11" max="11" width="15" customWidth="1"/>
    <col min="12" max="12" width="18" customWidth="1"/>
    <col min="13" max="13" width="14" customWidth="1"/>
    <col min="14" max="14" width="10" customWidth="1"/>
    <col min="15" max="15" width="12" customWidth="1"/>
    <col min="16" max="16" width="17" customWidth="1"/>
    <col min="17" max="18" width="18" customWidth="1"/>
    <col min="19" max="19" width="23" customWidth="1"/>
    <col min="20" max="20" width="18" customWidth="1"/>
    <col min="21" max="21" width="11" customWidth="1"/>
  </cols>
  <sheetData>
    <row r="1" spans="1:21" ht="30" customHeight="1">
      <c r="A1" s="21" t="s">
        <v>71</v>
      </c>
      <c r="B1" s="21" t="s">
        <v>72</v>
      </c>
      <c r="C1" s="21" t="s">
        <v>73</v>
      </c>
      <c r="D1" s="21" t="s">
        <v>74</v>
      </c>
      <c r="E1" s="21" t="s">
        <v>75</v>
      </c>
      <c r="F1" s="21" t="s">
        <v>76</v>
      </c>
      <c r="G1" s="21" t="s">
        <v>77</v>
      </c>
      <c r="H1" s="21" t="s">
        <v>78</v>
      </c>
      <c r="I1" s="21" t="s">
        <v>79</v>
      </c>
      <c r="J1" s="21" t="s">
        <v>80</v>
      </c>
      <c r="K1" s="21" t="s">
        <v>81</v>
      </c>
      <c r="L1" s="21" t="s">
        <v>82</v>
      </c>
      <c r="M1" s="21" t="s">
        <v>83</v>
      </c>
      <c r="N1" s="21" t="s">
        <v>84</v>
      </c>
      <c r="O1" s="21" t="s">
        <v>85</v>
      </c>
      <c r="P1" s="21" t="s">
        <v>86</v>
      </c>
      <c r="Q1" s="21" t="s">
        <v>87</v>
      </c>
      <c r="R1" s="21" t="s">
        <v>88</v>
      </c>
      <c r="S1" s="21" t="s">
        <v>89</v>
      </c>
      <c r="T1" s="21"/>
      <c r="U1" s="21"/>
    </row>
    <row r="2" spans="1:21" ht="20" customHeight="1">
      <c r="A2" s="2" t="s">
        <v>90</v>
      </c>
      <c r="B2" s="2" t="s">
        <v>91</v>
      </c>
      <c r="C2" s="4">
        <v>0.85</v>
      </c>
      <c r="D2" s="4">
        <v>0.85</v>
      </c>
      <c r="E2" s="4">
        <v>2</v>
      </c>
      <c r="F2" s="4">
        <v>0.55000000000000004</v>
      </c>
      <c r="G2" s="4">
        <v>0</v>
      </c>
      <c r="H2" s="4">
        <v>1.5</v>
      </c>
      <c r="I2" s="4">
        <v>0</v>
      </c>
      <c r="J2" s="4">
        <v>0</v>
      </c>
      <c r="K2" s="4">
        <v>0.5</v>
      </c>
      <c r="L2" s="4">
        <v>0</v>
      </c>
      <c r="M2" s="4">
        <v>1</v>
      </c>
      <c r="N2" s="4">
        <v>5</v>
      </c>
      <c r="O2" s="4">
        <v>3</v>
      </c>
      <c r="P2" s="4">
        <v>0.85</v>
      </c>
      <c r="Q2" s="4">
        <v>0</v>
      </c>
      <c r="R2" s="2" t="s">
        <v>92</v>
      </c>
      <c r="S2" s="3" t="b">
        <v>1</v>
      </c>
      <c r="T2" s="2"/>
      <c r="U2" s="2"/>
    </row>
    <row r="3" spans="1:21" ht="20" customHeight="1">
      <c r="A3" s="2" t="s">
        <v>93</v>
      </c>
      <c r="B3" s="2" t="s">
        <v>94</v>
      </c>
      <c r="C3" s="4">
        <v>0.6</v>
      </c>
      <c r="D3" s="4">
        <v>2.25</v>
      </c>
      <c r="E3" s="4">
        <v>2</v>
      </c>
      <c r="F3" s="4">
        <v>0.8</v>
      </c>
      <c r="G3" s="4">
        <v>0</v>
      </c>
      <c r="H3" s="4">
        <v>2</v>
      </c>
      <c r="I3" s="4">
        <v>0</v>
      </c>
      <c r="J3" s="4">
        <v>0</v>
      </c>
      <c r="K3" s="4">
        <v>0.5</v>
      </c>
      <c r="L3" s="4">
        <v>1</v>
      </c>
      <c r="M3" s="4">
        <v>1</v>
      </c>
      <c r="N3" s="4">
        <v>7</v>
      </c>
      <c r="O3" s="4">
        <v>3</v>
      </c>
      <c r="P3" s="4">
        <v>0.85</v>
      </c>
      <c r="Q3" s="4">
        <v>1</v>
      </c>
      <c r="R3" s="2" t="s">
        <v>95</v>
      </c>
      <c r="S3" s="3" t="b">
        <v>1</v>
      </c>
      <c r="T3" s="2"/>
      <c r="U3" s="2"/>
    </row>
    <row r="4" spans="1:21" ht="20" customHeight="1">
      <c r="A4" s="2" t="s">
        <v>96</v>
      </c>
      <c r="B4" s="2" t="s">
        <v>97</v>
      </c>
      <c r="C4" s="4">
        <v>0.7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2.25</v>
      </c>
      <c r="K4" s="4">
        <v>0.5</v>
      </c>
      <c r="L4" s="4">
        <v>0</v>
      </c>
      <c r="M4" s="4">
        <v>2</v>
      </c>
      <c r="N4" s="4">
        <v>8</v>
      </c>
      <c r="O4" s="4">
        <v>3</v>
      </c>
      <c r="P4" s="4">
        <v>0.85</v>
      </c>
      <c r="Q4" s="4">
        <v>0</v>
      </c>
      <c r="R4" s="2" t="s">
        <v>97</v>
      </c>
      <c r="S4" s="3" t="b">
        <v>1</v>
      </c>
      <c r="T4" s="2"/>
      <c r="U4" s="2"/>
    </row>
    <row r="5" spans="1:21" ht="20" customHeight="1">
      <c r="A5" s="2" t="s">
        <v>98</v>
      </c>
      <c r="B5" s="2" t="s">
        <v>99</v>
      </c>
      <c r="C5" s="4">
        <v>0.75</v>
      </c>
      <c r="D5" s="4">
        <v>2.6</v>
      </c>
      <c r="E5" s="4">
        <v>4</v>
      </c>
      <c r="F5" s="4">
        <v>1.5</v>
      </c>
      <c r="G5" s="4">
        <v>0.5</v>
      </c>
      <c r="H5" s="4">
        <v>3</v>
      </c>
      <c r="I5" s="4">
        <v>1.35</v>
      </c>
      <c r="J5" s="4">
        <v>0</v>
      </c>
      <c r="K5" s="4">
        <v>0.5</v>
      </c>
      <c r="L5" s="4">
        <v>0</v>
      </c>
      <c r="M5" s="4">
        <v>8</v>
      </c>
      <c r="N5" s="4">
        <v>50</v>
      </c>
      <c r="O5" s="4">
        <v>15</v>
      </c>
      <c r="P5" s="4">
        <v>3.4</v>
      </c>
      <c r="Q5" s="4">
        <v>0</v>
      </c>
      <c r="R5" s="2" t="s">
        <v>99</v>
      </c>
      <c r="S5" s="3" t="b">
        <v>1</v>
      </c>
      <c r="T5" s="2"/>
      <c r="U5" s="2"/>
    </row>
    <row r="6" spans="1:21">
      <c r="A6" t="s">
        <v>100</v>
      </c>
      <c r="B6" t="s">
        <v>99</v>
      </c>
      <c r="C6" s="32">
        <v>0.72</v>
      </c>
      <c r="D6" s="32">
        <v>2.6</v>
      </c>
      <c r="E6" s="32">
        <v>4</v>
      </c>
      <c r="F6" s="32">
        <v>1.3</v>
      </c>
      <c r="G6" s="32">
        <v>0.5</v>
      </c>
      <c r="H6" s="32">
        <v>2.8</v>
      </c>
      <c r="I6" s="32">
        <v>1.5</v>
      </c>
      <c r="J6" s="32">
        <v>0</v>
      </c>
      <c r="K6" s="32">
        <v>0.5</v>
      </c>
      <c r="L6" s="32">
        <v>0</v>
      </c>
      <c r="M6" s="32">
        <v>10</v>
      </c>
      <c r="N6" s="32">
        <v>70</v>
      </c>
      <c r="O6" s="32">
        <v>18</v>
      </c>
      <c r="P6" s="32">
        <v>3.8</v>
      </c>
      <c r="Q6" s="32">
        <v>0</v>
      </c>
      <c r="R6" t="s">
        <v>101</v>
      </c>
      <c r="S6" s="1" t="b">
        <v>1</v>
      </c>
    </row>
    <row r="7" spans="1:21">
      <c r="A7" t="s">
        <v>102</v>
      </c>
      <c r="B7" t="s">
        <v>91</v>
      </c>
      <c r="C7" s="32">
        <v>0.95</v>
      </c>
      <c r="D7" s="32">
        <v>0.95</v>
      </c>
      <c r="E7" s="32">
        <v>1</v>
      </c>
      <c r="F7" s="32">
        <v>0.65</v>
      </c>
      <c r="G7" s="32">
        <v>0</v>
      </c>
      <c r="H7" s="32">
        <v>1.8</v>
      </c>
      <c r="I7" s="32">
        <v>0</v>
      </c>
      <c r="J7" s="32">
        <v>0</v>
      </c>
      <c r="K7" s="32">
        <v>0.5</v>
      </c>
      <c r="L7" s="32">
        <v>0</v>
      </c>
      <c r="M7" s="32">
        <v>2</v>
      </c>
      <c r="N7" s="32">
        <v>8</v>
      </c>
      <c r="O7" s="32">
        <v>3</v>
      </c>
      <c r="P7" s="32">
        <v>0.75</v>
      </c>
      <c r="Q7" s="32">
        <v>0</v>
      </c>
      <c r="R7" t="s">
        <v>103</v>
      </c>
      <c r="S7" s="1" t="b">
        <v>1</v>
      </c>
    </row>
    <row r="8" spans="1:21">
      <c r="A8" t="s">
        <v>104</v>
      </c>
      <c r="B8" t="s">
        <v>99</v>
      </c>
      <c r="C8" s="32">
        <v>0.88</v>
      </c>
      <c r="D8" s="32">
        <v>3.6</v>
      </c>
      <c r="E8" s="32">
        <v>4</v>
      </c>
      <c r="F8" s="32">
        <v>0.9</v>
      </c>
      <c r="G8" s="32">
        <v>0.5</v>
      </c>
      <c r="H8" s="32">
        <v>2.5</v>
      </c>
      <c r="I8" s="32">
        <v>1.6</v>
      </c>
      <c r="J8" s="32">
        <v>0</v>
      </c>
      <c r="K8" s="32">
        <v>0.5</v>
      </c>
      <c r="L8" s="32">
        <v>0</v>
      </c>
      <c r="M8" s="32">
        <v>12</v>
      </c>
      <c r="N8" s="32">
        <v>90</v>
      </c>
      <c r="O8" s="32">
        <v>20</v>
      </c>
      <c r="P8" s="32">
        <v>4</v>
      </c>
      <c r="Q8" s="32">
        <v>0</v>
      </c>
      <c r="R8" t="s">
        <v>105</v>
      </c>
      <c r="S8" s="1" t="b">
        <v>1</v>
      </c>
    </row>
    <row r="9" spans="1:21">
      <c r="A9" t="s">
        <v>106</v>
      </c>
      <c r="B9" t="s">
        <v>99</v>
      </c>
      <c r="C9" s="32">
        <v>0.8</v>
      </c>
      <c r="D9" s="32">
        <v>3</v>
      </c>
      <c r="E9" s="32">
        <v>4</v>
      </c>
      <c r="F9" s="32">
        <v>1.2</v>
      </c>
      <c r="G9" s="32">
        <v>0.5</v>
      </c>
      <c r="H9" s="32">
        <v>3</v>
      </c>
      <c r="I9" s="32">
        <v>1.5</v>
      </c>
      <c r="J9" s="32">
        <v>0</v>
      </c>
      <c r="K9" s="32">
        <v>0.5</v>
      </c>
      <c r="L9" s="32">
        <v>0</v>
      </c>
      <c r="M9" s="32">
        <v>15</v>
      </c>
      <c r="N9" s="32">
        <v>120</v>
      </c>
      <c r="O9" s="32">
        <v>22</v>
      </c>
      <c r="P9" s="32">
        <v>4.2</v>
      </c>
      <c r="Q9" s="32">
        <v>0</v>
      </c>
      <c r="R9" t="s">
        <v>107</v>
      </c>
      <c r="S9" s="1" t="b">
        <v>1</v>
      </c>
    </row>
  </sheetData>
  <phoneticPr fontId="3" type="noConversion"/>
  <dataValidations count="5">
    <dataValidation type="list" sqref="B2:B5" xr:uid="{00000000-0002-0000-0100-000000000000}">
      <formula1>"Melee,Ranged,Shield,Boss"</formula1>
    </dataValidation>
    <dataValidation type="decimal" operator="greaterThanOrEqual" sqref="C2:N5" xr:uid="{00000000-0002-0000-0100-000001000000}">
      <formula1>0</formula1>
    </dataValidation>
    <dataValidation type="decimal" operator="greaterThanOrEqual" sqref="P2:P5" xr:uid="{00000000-0002-0000-0100-000002000000}">
      <formula1>1</formula1>
    </dataValidation>
    <dataValidation operator="greaterThanOrEqual" sqref="S2:S5" xr:uid="{00000000-0002-0000-0100-000003000000}">
      <formula1>0</formula1>
    </dataValidation>
    <dataValidation type="list" sqref="T2:T5" xr:uid="{00000000-0002-0000-0100-000004000000}">
      <formula1>"StandardMelee,StandardRanged,Shield,Boss"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84"/>
  <sheetViews>
    <sheetView showGridLines="0" workbookViewId="0"/>
  </sheetViews>
  <sheetFormatPr defaultRowHeight="14"/>
  <cols>
    <col min="1" max="2" width="12" customWidth="1"/>
    <col min="3" max="3" width="14" customWidth="1"/>
    <col min="4" max="4" width="12" customWidth="1"/>
    <col min="5" max="5" width="15" customWidth="1"/>
    <col min="6" max="6" width="19" customWidth="1"/>
    <col min="7" max="7" width="12" customWidth="1"/>
  </cols>
  <sheetData>
    <row r="1" spans="1:7" ht="30" customHeight="1">
      <c r="A1" s="21" t="s">
        <v>108</v>
      </c>
      <c r="B1" s="21" t="s">
        <v>109</v>
      </c>
      <c r="C1" s="21" t="s">
        <v>110</v>
      </c>
      <c r="D1" s="21" t="s">
        <v>111</v>
      </c>
      <c r="E1" s="21" t="s">
        <v>112</v>
      </c>
      <c r="F1" s="21" t="s">
        <v>71</v>
      </c>
      <c r="G1" s="21" t="s">
        <v>113</v>
      </c>
    </row>
    <row r="2" spans="1:7" ht="20" customHeight="1">
      <c r="A2" s="2" t="s">
        <v>22</v>
      </c>
      <c r="B2" s="2" t="s">
        <v>114</v>
      </c>
      <c r="C2" s="4">
        <v>1</v>
      </c>
      <c r="D2" s="7">
        <v>1</v>
      </c>
      <c r="E2" s="2" t="s">
        <v>115</v>
      </c>
      <c r="F2" s="2" t="s">
        <v>90</v>
      </c>
      <c r="G2" s="7">
        <v>1</v>
      </c>
    </row>
    <row r="3" spans="1:7" ht="20" customHeight="1">
      <c r="A3" s="2" t="s">
        <v>22</v>
      </c>
      <c r="B3" s="2" t="s">
        <v>114</v>
      </c>
      <c r="C3" s="4">
        <v>3.87</v>
      </c>
      <c r="D3" s="7">
        <v>2</v>
      </c>
      <c r="E3" s="2" t="s">
        <v>116</v>
      </c>
      <c r="F3" s="2" t="s">
        <v>90</v>
      </c>
      <c r="G3" s="7">
        <v>1</v>
      </c>
    </row>
    <row r="4" spans="1:7" ht="20" customHeight="1">
      <c r="A4" s="2" t="s">
        <v>22</v>
      </c>
      <c r="B4" s="2" t="s">
        <v>114</v>
      </c>
      <c r="C4" s="4">
        <v>6.73</v>
      </c>
      <c r="D4" s="7">
        <v>3</v>
      </c>
      <c r="E4" s="2" t="s">
        <v>117</v>
      </c>
      <c r="F4" s="2" t="s">
        <v>90</v>
      </c>
      <c r="G4" s="7">
        <v>1</v>
      </c>
    </row>
    <row r="5" spans="1:7" ht="20" customHeight="1">
      <c r="A5" s="2" t="s">
        <v>22</v>
      </c>
      <c r="B5" s="2" t="s">
        <v>114</v>
      </c>
      <c r="C5" s="4">
        <v>9.6</v>
      </c>
      <c r="D5" s="7">
        <v>4</v>
      </c>
      <c r="E5" s="2" t="s">
        <v>118</v>
      </c>
      <c r="F5" s="2" t="s">
        <v>90</v>
      </c>
      <c r="G5" s="7">
        <v>1</v>
      </c>
    </row>
    <row r="6" spans="1:7" ht="20" customHeight="1">
      <c r="A6" s="2" t="s">
        <v>22</v>
      </c>
      <c r="B6" s="2" t="s">
        <v>119</v>
      </c>
      <c r="C6" s="4">
        <v>11</v>
      </c>
      <c r="D6" s="7">
        <v>1</v>
      </c>
      <c r="E6" s="2" t="s">
        <v>120</v>
      </c>
      <c r="F6" s="2" t="s">
        <v>90</v>
      </c>
      <c r="G6" s="7">
        <v>2</v>
      </c>
    </row>
    <row r="7" spans="1:7" ht="20" customHeight="1">
      <c r="A7" s="2" t="s">
        <v>22</v>
      </c>
      <c r="B7" s="2" t="s">
        <v>119</v>
      </c>
      <c r="C7" s="4">
        <v>13.15</v>
      </c>
      <c r="D7" s="7">
        <v>2</v>
      </c>
      <c r="E7" s="2" t="s">
        <v>115</v>
      </c>
      <c r="F7" s="2" t="s">
        <v>90</v>
      </c>
      <c r="G7" s="7">
        <v>2</v>
      </c>
    </row>
    <row r="8" spans="1:7" ht="20" customHeight="1">
      <c r="A8" s="2" t="s">
        <v>22</v>
      </c>
      <c r="B8" s="2" t="s">
        <v>119</v>
      </c>
      <c r="C8" s="4">
        <v>15.3</v>
      </c>
      <c r="D8" s="7">
        <v>3</v>
      </c>
      <c r="E8" s="2" t="s">
        <v>116</v>
      </c>
      <c r="F8" s="2" t="s">
        <v>90</v>
      </c>
      <c r="G8" s="7">
        <v>2</v>
      </c>
    </row>
    <row r="9" spans="1:7" ht="20" customHeight="1">
      <c r="A9" s="2" t="s">
        <v>22</v>
      </c>
      <c r="B9" s="2" t="s">
        <v>119</v>
      </c>
      <c r="C9" s="4">
        <v>17.45</v>
      </c>
      <c r="D9" s="7">
        <v>4</v>
      </c>
      <c r="E9" s="2" t="s">
        <v>117</v>
      </c>
      <c r="F9" s="2" t="s">
        <v>90</v>
      </c>
      <c r="G9" s="7">
        <v>2</v>
      </c>
    </row>
    <row r="10" spans="1:7" ht="20" customHeight="1">
      <c r="A10" s="2" t="s">
        <v>22</v>
      </c>
      <c r="B10" s="2" t="s">
        <v>119</v>
      </c>
      <c r="C10" s="4">
        <v>19.600000000000001</v>
      </c>
      <c r="D10" s="7">
        <v>5</v>
      </c>
      <c r="E10" s="2" t="s">
        <v>118</v>
      </c>
      <c r="F10" s="2" t="s">
        <v>90</v>
      </c>
      <c r="G10" s="7">
        <v>2</v>
      </c>
    </row>
    <row r="11" spans="1:7" ht="20" customHeight="1">
      <c r="A11" s="2" t="s">
        <v>22</v>
      </c>
      <c r="B11" s="2" t="s">
        <v>121</v>
      </c>
      <c r="C11" s="4">
        <v>21</v>
      </c>
      <c r="D11" s="7">
        <v>1</v>
      </c>
      <c r="E11" s="2" t="s">
        <v>120</v>
      </c>
      <c r="F11" s="2" t="s">
        <v>90</v>
      </c>
      <c r="G11" s="7">
        <v>2</v>
      </c>
    </row>
    <row r="12" spans="1:7" ht="20" customHeight="1">
      <c r="A12" s="2" t="s">
        <v>22</v>
      </c>
      <c r="B12" s="2" t="s">
        <v>121</v>
      </c>
      <c r="C12" s="4">
        <v>22.72</v>
      </c>
      <c r="D12" s="7">
        <v>2</v>
      </c>
      <c r="E12" s="2" t="s">
        <v>115</v>
      </c>
      <c r="F12" s="2" t="s">
        <v>90</v>
      </c>
      <c r="G12" s="7">
        <v>2</v>
      </c>
    </row>
    <row r="13" spans="1:7" ht="20" customHeight="1">
      <c r="A13" s="2" t="s">
        <v>22</v>
      </c>
      <c r="B13" s="2" t="s">
        <v>121</v>
      </c>
      <c r="C13" s="4">
        <v>24.44</v>
      </c>
      <c r="D13" s="7">
        <v>3</v>
      </c>
      <c r="E13" s="2" t="s">
        <v>116</v>
      </c>
      <c r="F13" s="2" t="s">
        <v>90</v>
      </c>
      <c r="G13" s="7">
        <v>2</v>
      </c>
    </row>
    <row r="14" spans="1:7" ht="20" customHeight="1">
      <c r="A14" s="2" t="s">
        <v>22</v>
      </c>
      <c r="B14" s="2" t="s">
        <v>121</v>
      </c>
      <c r="C14" s="4">
        <v>26.16</v>
      </c>
      <c r="D14" s="7">
        <v>4</v>
      </c>
      <c r="E14" s="2" t="s">
        <v>117</v>
      </c>
      <c r="F14" s="2" t="s">
        <v>93</v>
      </c>
      <c r="G14" s="7">
        <v>2</v>
      </c>
    </row>
    <row r="15" spans="1:7" ht="20" customHeight="1">
      <c r="A15" s="2" t="s">
        <v>22</v>
      </c>
      <c r="B15" s="2" t="s">
        <v>121</v>
      </c>
      <c r="C15" s="4">
        <v>27.88</v>
      </c>
      <c r="D15" s="7">
        <v>5</v>
      </c>
      <c r="E15" s="2" t="s">
        <v>118</v>
      </c>
      <c r="F15" s="2" t="s">
        <v>90</v>
      </c>
      <c r="G15" s="7">
        <v>2</v>
      </c>
    </row>
    <row r="16" spans="1:7" ht="20" customHeight="1">
      <c r="A16" s="2" t="s">
        <v>22</v>
      </c>
      <c r="B16" s="2" t="s">
        <v>121</v>
      </c>
      <c r="C16" s="4">
        <v>29.6</v>
      </c>
      <c r="D16" s="7">
        <v>6</v>
      </c>
      <c r="E16" s="2" t="s">
        <v>122</v>
      </c>
      <c r="F16" s="2" t="s">
        <v>90</v>
      </c>
      <c r="G16" s="7">
        <v>2</v>
      </c>
    </row>
    <row r="17" spans="1:7">
      <c r="A17" s="2" t="s">
        <v>22</v>
      </c>
      <c r="B17" s="2" t="s">
        <v>123</v>
      </c>
      <c r="C17" s="4">
        <v>31</v>
      </c>
      <c r="D17" s="7">
        <v>1</v>
      </c>
      <c r="E17" s="2" t="s">
        <v>115</v>
      </c>
      <c r="F17" s="2" t="s">
        <v>90</v>
      </c>
      <c r="G17" s="7">
        <v>3</v>
      </c>
    </row>
    <row r="18" spans="1:7">
      <c r="A18" s="2" t="s">
        <v>22</v>
      </c>
      <c r="B18" s="2" t="s">
        <v>123</v>
      </c>
      <c r="C18" s="4">
        <v>32.43</v>
      </c>
      <c r="D18" s="7">
        <v>2</v>
      </c>
      <c r="E18" s="2" t="s">
        <v>116</v>
      </c>
      <c r="F18" s="2" t="s">
        <v>90</v>
      </c>
      <c r="G18" s="7">
        <v>3</v>
      </c>
    </row>
    <row r="19" spans="1:7">
      <c r="A19" s="2" t="s">
        <v>22</v>
      </c>
      <c r="B19" s="2" t="s">
        <v>123</v>
      </c>
      <c r="C19" s="4">
        <v>33.869999999999997</v>
      </c>
      <c r="D19" s="7">
        <v>3</v>
      </c>
      <c r="E19" s="2" t="s">
        <v>117</v>
      </c>
      <c r="F19" s="2" t="s">
        <v>90</v>
      </c>
      <c r="G19" s="7">
        <v>3</v>
      </c>
    </row>
    <row r="20" spans="1:7">
      <c r="A20" s="2" t="s">
        <v>22</v>
      </c>
      <c r="B20" s="2" t="s">
        <v>123</v>
      </c>
      <c r="C20" s="4">
        <v>35.299999999999997</v>
      </c>
      <c r="D20" s="7">
        <v>4</v>
      </c>
      <c r="E20" s="2" t="s">
        <v>118</v>
      </c>
      <c r="F20" s="2" t="s">
        <v>93</v>
      </c>
      <c r="G20" s="7">
        <v>4</v>
      </c>
    </row>
    <row r="21" spans="1:7">
      <c r="A21" s="2" t="s">
        <v>22</v>
      </c>
      <c r="B21" s="2" t="s">
        <v>123</v>
      </c>
      <c r="C21" s="4">
        <v>36.729999999999997</v>
      </c>
      <c r="D21" s="7">
        <v>5</v>
      </c>
      <c r="E21" s="2" t="s">
        <v>122</v>
      </c>
      <c r="F21" s="2" t="s">
        <v>90</v>
      </c>
      <c r="G21" s="7">
        <v>3</v>
      </c>
    </row>
    <row r="22" spans="1:7">
      <c r="A22" s="2" t="s">
        <v>22</v>
      </c>
      <c r="B22" s="2" t="s">
        <v>123</v>
      </c>
      <c r="C22" s="4">
        <v>38.17</v>
      </c>
      <c r="D22" s="7">
        <v>6</v>
      </c>
      <c r="E22" s="2" t="s">
        <v>124</v>
      </c>
      <c r="F22" s="2" t="s">
        <v>90</v>
      </c>
      <c r="G22" s="7">
        <v>3</v>
      </c>
    </row>
    <row r="23" spans="1:7">
      <c r="A23" s="2" t="s">
        <v>22</v>
      </c>
      <c r="B23" s="2" t="s">
        <v>123</v>
      </c>
      <c r="C23" s="4">
        <v>39.6</v>
      </c>
      <c r="D23" s="7">
        <v>7</v>
      </c>
      <c r="E23" s="2" t="s">
        <v>125</v>
      </c>
      <c r="F23" s="2" t="s">
        <v>90</v>
      </c>
      <c r="G23" s="7">
        <v>3</v>
      </c>
    </row>
    <row r="24" spans="1:7">
      <c r="A24" s="2" t="s">
        <v>22</v>
      </c>
      <c r="B24" s="2" t="s">
        <v>126</v>
      </c>
      <c r="C24" s="4">
        <v>41</v>
      </c>
      <c r="D24" s="7">
        <v>1</v>
      </c>
      <c r="E24" s="2" t="s">
        <v>117</v>
      </c>
      <c r="F24" s="2" t="s">
        <v>90</v>
      </c>
      <c r="G24" s="7">
        <v>4</v>
      </c>
    </row>
    <row r="25" spans="1:7">
      <c r="A25" s="2" t="s">
        <v>22</v>
      </c>
      <c r="B25" s="2" t="s">
        <v>126</v>
      </c>
      <c r="C25" s="4">
        <v>41.96</v>
      </c>
      <c r="D25" s="7">
        <v>2</v>
      </c>
      <c r="E25" s="2" t="s">
        <v>118</v>
      </c>
      <c r="F25" s="2" t="s">
        <v>93</v>
      </c>
      <c r="G25" s="7">
        <v>4</v>
      </c>
    </row>
    <row r="26" spans="1:7">
      <c r="A26" s="2" t="s">
        <v>22</v>
      </c>
      <c r="B26" s="2" t="s">
        <v>126</v>
      </c>
      <c r="C26" s="4">
        <v>42.91</v>
      </c>
      <c r="D26" s="7">
        <v>3</v>
      </c>
      <c r="E26" s="2" t="s">
        <v>122</v>
      </c>
      <c r="F26" s="2" t="s">
        <v>90</v>
      </c>
      <c r="G26" s="7">
        <v>4</v>
      </c>
    </row>
    <row r="27" spans="1:7">
      <c r="A27" s="2" t="s">
        <v>22</v>
      </c>
      <c r="B27" s="2" t="s">
        <v>126</v>
      </c>
      <c r="C27" s="4">
        <v>43.87</v>
      </c>
      <c r="D27" s="7">
        <v>4</v>
      </c>
      <c r="E27" s="2" t="s">
        <v>124</v>
      </c>
      <c r="F27" s="2" t="s">
        <v>90</v>
      </c>
      <c r="G27" s="7">
        <v>4</v>
      </c>
    </row>
    <row r="28" spans="1:7">
      <c r="A28" s="2" t="s">
        <v>22</v>
      </c>
      <c r="B28" s="2" t="s">
        <v>126</v>
      </c>
      <c r="C28" s="4">
        <v>44.82</v>
      </c>
      <c r="D28" s="7">
        <v>5</v>
      </c>
      <c r="E28" s="2" t="s">
        <v>125</v>
      </c>
      <c r="F28" s="2" t="s">
        <v>90</v>
      </c>
      <c r="G28" s="7">
        <v>4</v>
      </c>
    </row>
    <row r="29" spans="1:7">
      <c r="A29" s="2" t="s">
        <v>22</v>
      </c>
      <c r="B29" s="2" t="s">
        <v>126</v>
      </c>
      <c r="C29" s="4">
        <v>45.78</v>
      </c>
      <c r="D29" s="7">
        <v>6</v>
      </c>
      <c r="E29" s="2" t="s">
        <v>127</v>
      </c>
      <c r="F29" s="2" t="s">
        <v>96</v>
      </c>
      <c r="G29" s="7">
        <v>5</v>
      </c>
    </row>
    <row r="30" spans="1:7">
      <c r="A30" s="2" t="s">
        <v>22</v>
      </c>
      <c r="B30" s="2" t="s">
        <v>126</v>
      </c>
      <c r="C30" s="4">
        <v>46.73</v>
      </c>
      <c r="D30" s="7">
        <v>7</v>
      </c>
      <c r="E30" s="2" t="s">
        <v>128</v>
      </c>
      <c r="F30" s="2" t="s">
        <v>90</v>
      </c>
      <c r="G30" s="7">
        <v>4</v>
      </c>
    </row>
    <row r="31" spans="1:7">
      <c r="A31" s="2" t="s">
        <v>22</v>
      </c>
      <c r="B31" s="2" t="s">
        <v>126</v>
      </c>
      <c r="C31" s="4">
        <v>47.69</v>
      </c>
      <c r="D31" s="7">
        <v>8</v>
      </c>
      <c r="E31" s="2" t="s">
        <v>129</v>
      </c>
      <c r="F31" s="2" t="s">
        <v>93</v>
      </c>
      <c r="G31" s="7">
        <v>4</v>
      </c>
    </row>
    <row r="32" spans="1:7">
      <c r="A32" s="2" t="s">
        <v>22</v>
      </c>
      <c r="B32" s="2" t="s">
        <v>126</v>
      </c>
      <c r="C32" s="4">
        <v>48.64</v>
      </c>
      <c r="D32" s="7">
        <v>9</v>
      </c>
      <c r="E32" s="2" t="s">
        <v>130</v>
      </c>
      <c r="F32" s="2" t="s">
        <v>90</v>
      </c>
      <c r="G32" s="7">
        <v>4</v>
      </c>
    </row>
    <row r="33" spans="1:7">
      <c r="A33" s="2" t="s">
        <v>22</v>
      </c>
      <c r="B33" s="2" t="s">
        <v>126</v>
      </c>
      <c r="C33" s="4">
        <v>49.6</v>
      </c>
      <c r="D33" s="7">
        <v>10</v>
      </c>
      <c r="E33" s="2" t="s">
        <v>131</v>
      </c>
      <c r="F33" s="2" t="s">
        <v>90</v>
      </c>
      <c r="G33" s="7">
        <v>4</v>
      </c>
    </row>
    <row r="34" spans="1:7">
      <c r="A34" s="2" t="s">
        <v>22</v>
      </c>
      <c r="B34" s="2" t="s">
        <v>132</v>
      </c>
      <c r="C34" s="4">
        <v>51</v>
      </c>
      <c r="D34" s="7">
        <v>1</v>
      </c>
      <c r="E34" s="2" t="s">
        <v>127</v>
      </c>
      <c r="F34" s="2" t="s">
        <v>90</v>
      </c>
      <c r="G34" s="7">
        <v>5</v>
      </c>
    </row>
    <row r="35" spans="1:7">
      <c r="A35" s="2" t="s">
        <v>22</v>
      </c>
      <c r="B35" s="2" t="s">
        <v>132</v>
      </c>
      <c r="C35" s="4">
        <v>51.86</v>
      </c>
      <c r="D35" s="7">
        <v>2</v>
      </c>
      <c r="E35" s="2" t="s">
        <v>128</v>
      </c>
      <c r="F35" s="2" t="s">
        <v>90</v>
      </c>
      <c r="G35" s="7">
        <v>5</v>
      </c>
    </row>
    <row r="36" spans="1:7">
      <c r="A36" s="2" t="s">
        <v>22</v>
      </c>
      <c r="B36" s="2" t="s">
        <v>132</v>
      </c>
      <c r="C36" s="4">
        <v>52.72</v>
      </c>
      <c r="D36" s="7">
        <v>3</v>
      </c>
      <c r="E36" s="2" t="s">
        <v>129</v>
      </c>
      <c r="F36" s="2" t="s">
        <v>93</v>
      </c>
      <c r="G36" s="7">
        <v>6</v>
      </c>
    </row>
    <row r="37" spans="1:7">
      <c r="A37" s="2" t="s">
        <v>22</v>
      </c>
      <c r="B37" s="2" t="s">
        <v>132</v>
      </c>
      <c r="C37" s="4">
        <v>53.58</v>
      </c>
      <c r="D37" s="7">
        <v>4</v>
      </c>
      <c r="E37" s="2" t="s">
        <v>130</v>
      </c>
      <c r="F37" s="2" t="s">
        <v>90</v>
      </c>
      <c r="G37" s="7">
        <v>5</v>
      </c>
    </row>
    <row r="38" spans="1:7">
      <c r="A38" s="2" t="s">
        <v>22</v>
      </c>
      <c r="B38" s="2" t="s">
        <v>132</v>
      </c>
      <c r="C38" s="4">
        <v>54.44</v>
      </c>
      <c r="D38" s="7">
        <v>5</v>
      </c>
      <c r="E38" s="2" t="s">
        <v>131</v>
      </c>
      <c r="F38" s="2" t="s">
        <v>90</v>
      </c>
      <c r="G38" s="7">
        <v>5</v>
      </c>
    </row>
    <row r="39" spans="1:7">
      <c r="A39" s="2" t="s">
        <v>22</v>
      </c>
      <c r="B39" s="2" t="s">
        <v>132</v>
      </c>
      <c r="C39" s="4">
        <v>55.3</v>
      </c>
      <c r="D39" s="7">
        <v>6</v>
      </c>
      <c r="E39" s="2" t="s">
        <v>133</v>
      </c>
      <c r="F39" s="2" t="s">
        <v>96</v>
      </c>
      <c r="G39" s="7">
        <v>5</v>
      </c>
    </row>
    <row r="40" spans="1:7">
      <c r="A40" s="2" t="s">
        <v>22</v>
      </c>
      <c r="B40" s="2" t="s">
        <v>132</v>
      </c>
      <c r="C40" s="4">
        <v>56.16</v>
      </c>
      <c r="D40" s="7">
        <v>7</v>
      </c>
      <c r="E40" s="2" t="s">
        <v>134</v>
      </c>
      <c r="F40" s="2" t="s">
        <v>90</v>
      </c>
      <c r="G40" s="7">
        <v>5</v>
      </c>
    </row>
    <row r="41" spans="1:7">
      <c r="A41" s="2" t="s">
        <v>22</v>
      </c>
      <c r="B41" s="2" t="s">
        <v>132</v>
      </c>
      <c r="C41" s="4">
        <v>57.02</v>
      </c>
      <c r="D41" s="7">
        <v>8</v>
      </c>
      <c r="E41" s="2" t="s">
        <v>135</v>
      </c>
      <c r="F41" s="2" t="s">
        <v>90</v>
      </c>
      <c r="G41" s="7">
        <v>5</v>
      </c>
    </row>
    <row r="42" spans="1:7">
      <c r="A42" s="2" t="s">
        <v>22</v>
      </c>
      <c r="B42" s="2" t="s">
        <v>132</v>
      </c>
      <c r="C42" s="4">
        <v>57.88</v>
      </c>
      <c r="D42" s="7">
        <v>9</v>
      </c>
      <c r="E42" s="2" t="s">
        <v>136</v>
      </c>
      <c r="F42" s="2" t="s">
        <v>93</v>
      </c>
      <c r="G42" s="7">
        <v>6</v>
      </c>
    </row>
    <row r="43" spans="1:7">
      <c r="A43" s="2" t="s">
        <v>22</v>
      </c>
      <c r="B43" s="2" t="s">
        <v>132</v>
      </c>
      <c r="C43" s="4">
        <v>58.74</v>
      </c>
      <c r="D43" s="7">
        <v>10</v>
      </c>
      <c r="E43" s="2" t="s">
        <v>137</v>
      </c>
      <c r="F43" s="2" t="s">
        <v>90</v>
      </c>
      <c r="G43" s="7">
        <v>5</v>
      </c>
    </row>
    <row r="44" spans="1:7">
      <c r="A44" s="2" t="s">
        <v>22</v>
      </c>
      <c r="B44" s="2" t="s">
        <v>132</v>
      </c>
      <c r="C44" s="4">
        <v>59.6</v>
      </c>
      <c r="D44" s="7">
        <v>11</v>
      </c>
      <c r="E44" s="2" t="s">
        <v>138</v>
      </c>
      <c r="F44" s="2" t="s">
        <v>90</v>
      </c>
      <c r="G44" s="7">
        <v>5</v>
      </c>
    </row>
    <row r="45" spans="1:7">
      <c r="A45" s="2" t="s">
        <v>22</v>
      </c>
      <c r="B45" s="2" t="s">
        <v>139</v>
      </c>
      <c r="C45" s="4">
        <v>61</v>
      </c>
      <c r="D45" s="7">
        <v>1</v>
      </c>
      <c r="E45" s="2" t="s">
        <v>134</v>
      </c>
      <c r="F45" s="2" t="s">
        <v>90</v>
      </c>
      <c r="G45" s="7">
        <v>5</v>
      </c>
    </row>
    <row r="46" spans="1:7">
      <c r="A46" s="2" t="s">
        <v>22</v>
      </c>
      <c r="B46" s="2" t="s">
        <v>139</v>
      </c>
      <c r="C46" s="4">
        <v>61.78</v>
      </c>
      <c r="D46" s="7">
        <v>2</v>
      </c>
      <c r="E46" s="2" t="s">
        <v>135</v>
      </c>
      <c r="F46" s="2" t="s">
        <v>90</v>
      </c>
      <c r="G46" s="7">
        <v>5</v>
      </c>
    </row>
    <row r="47" spans="1:7">
      <c r="A47" s="2" t="s">
        <v>22</v>
      </c>
      <c r="B47" s="2" t="s">
        <v>139</v>
      </c>
      <c r="C47" s="4">
        <v>62.56</v>
      </c>
      <c r="D47" s="7">
        <v>3</v>
      </c>
      <c r="E47" s="2" t="s">
        <v>136</v>
      </c>
      <c r="F47" s="2" t="s">
        <v>93</v>
      </c>
      <c r="G47" s="7">
        <v>5</v>
      </c>
    </row>
    <row r="48" spans="1:7">
      <c r="A48" s="2" t="s">
        <v>22</v>
      </c>
      <c r="B48" s="2" t="s">
        <v>139</v>
      </c>
      <c r="C48" s="4">
        <v>63.35</v>
      </c>
      <c r="D48" s="7">
        <v>4</v>
      </c>
      <c r="E48" s="2" t="s">
        <v>137</v>
      </c>
      <c r="F48" s="2" t="s">
        <v>90</v>
      </c>
      <c r="G48" s="7">
        <v>6</v>
      </c>
    </row>
    <row r="49" spans="1:7">
      <c r="A49" s="2" t="s">
        <v>22</v>
      </c>
      <c r="B49" s="2" t="s">
        <v>139</v>
      </c>
      <c r="C49" s="4">
        <v>64.13</v>
      </c>
      <c r="D49" s="7">
        <v>5</v>
      </c>
      <c r="E49" s="2" t="s">
        <v>138</v>
      </c>
      <c r="F49" s="2" t="s">
        <v>90</v>
      </c>
      <c r="G49" s="7">
        <v>5</v>
      </c>
    </row>
    <row r="50" spans="1:7">
      <c r="A50" s="2" t="s">
        <v>22</v>
      </c>
      <c r="B50" s="2" t="s">
        <v>139</v>
      </c>
      <c r="C50" s="4">
        <v>64.91</v>
      </c>
      <c r="D50" s="7">
        <v>6</v>
      </c>
      <c r="E50" s="2" t="s">
        <v>140</v>
      </c>
      <c r="F50" s="2" t="s">
        <v>90</v>
      </c>
      <c r="G50" s="7">
        <v>5</v>
      </c>
    </row>
    <row r="51" spans="1:7">
      <c r="A51" s="2" t="s">
        <v>22</v>
      </c>
      <c r="B51" s="2" t="s">
        <v>139</v>
      </c>
      <c r="C51" s="4">
        <v>65.69</v>
      </c>
      <c r="D51" s="7">
        <v>7</v>
      </c>
      <c r="E51" s="2" t="s">
        <v>141</v>
      </c>
      <c r="F51" s="2" t="s">
        <v>96</v>
      </c>
      <c r="G51" s="7">
        <v>5</v>
      </c>
    </row>
    <row r="52" spans="1:7">
      <c r="A52" s="2" t="s">
        <v>22</v>
      </c>
      <c r="B52" s="2" t="s">
        <v>139</v>
      </c>
      <c r="C52" s="4">
        <v>66.47</v>
      </c>
      <c r="D52" s="7">
        <v>8</v>
      </c>
      <c r="E52" s="2" t="s">
        <v>142</v>
      </c>
      <c r="F52" s="2" t="s">
        <v>90</v>
      </c>
      <c r="G52" s="7">
        <v>5</v>
      </c>
    </row>
    <row r="53" spans="1:7">
      <c r="A53" s="2" t="s">
        <v>22</v>
      </c>
      <c r="B53" s="2" t="s">
        <v>139</v>
      </c>
      <c r="C53" s="4">
        <v>67.25</v>
      </c>
      <c r="D53" s="7">
        <v>9</v>
      </c>
      <c r="E53" s="2" t="s">
        <v>143</v>
      </c>
      <c r="F53" s="2" t="s">
        <v>90</v>
      </c>
      <c r="G53" s="7">
        <v>5</v>
      </c>
    </row>
    <row r="54" spans="1:7">
      <c r="A54" s="2" t="s">
        <v>22</v>
      </c>
      <c r="B54" s="2" t="s">
        <v>139</v>
      </c>
      <c r="C54" s="4">
        <v>68.040000000000006</v>
      </c>
      <c r="D54" s="7">
        <v>10</v>
      </c>
      <c r="E54" s="2" t="s">
        <v>144</v>
      </c>
      <c r="F54" s="2" t="s">
        <v>93</v>
      </c>
      <c r="G54" s="7">
        <v>6</v>
      </c>
    </row>
    <row r="55" spans="1:7">
      <c r="A55" s="2" t="s">
        <v>22</v>
      </c>
      <c r="B55" s="2" t="s">
        <v>139</v>
      </c>
      <c r="C55" s="4">
        <v>68.819999999999993</v>
      </c>
      <c r="D55" s="7">
        <v>11</v>
      </c>
      <c r="E55" s="2" t="s">
        <v>145</v>
      </c>
      <c r="F55" s="2" t="s">
        <v>90</v>
      </c>
      <c r="G55" s="7">
        <v>5</v>
      </c>
    </row>
    <row r="56" spans="1:7">
      <c r="A56" s="2" t="s">
        <v>22</v>
      </c>
      <c r="B56" s="2" t="s">
        <v>139</v>
      </c>
      <c r="C56" s="4">
        <v>69.599999999999994</v>
      </c>
      <c r="D56" s="7">
        <v>12</v>
      </c>
      <c r="E56" s="2" t="s">
        <v>146</v>
      </c>
      <c r="F56" s="2" t="s">
        <v>90</v>
      </c>
      <c r="G56" s="7">
        <v>5</v>
      </c>
    </row>
    <row r="57" spans="1:7">
      <c r="A57" s="2" t="s">
        <v>22</v>
      </c>
      <c r="B57" s="2" t="s">
        <v>147</v>
      </c>
      <c r="C57" s="4">
        <v>71</v>
      </c>
      <c r="D57" s="7">
        <v>1</v>
      </c>
      <c r="E57" s="2" t="s">
        <v>142</v>
      </c>
      <c r="F57" s="2" t="s">
        <v>90</v>
      </c>
      <c r="G57" s="7">
        <v>6</v>
      </c>
    </row>
    <row r="58" spans="1:7">
      <c r="A58" s="2" t="s">
        <v>22</v>
      </c>
      <c r="B58" s="2" t="s">
        <v>147</v>
      </c>
      <c r="C58" s="4">
        <v>71.72</v>
      </c>
      <c r="D58" s="7">
        <v>2</v>
      </c>
      <c r="E58" s="2" t="s">
        <v>143</v>
      </c>
      <c r="F58" s="2" t="s">
        <v>93</v>
      </c>
      <c r="G58" s="7">
        <v>6</v>
      </c>
    </row>
    <row r="59" spans="1:7">
      <c r="A59" s="2" t="s">
        <v>22</v>
      </c>
      <c r="B59" s="2" t="s">
        <v>147</v>
      </c>
      <c r="C59" s="4">
        <v>72.430000000000007</v>
      </c>
      <c r="D59" s="7">
        <v>3</v>
      </c>
      <c r="E59" s="2" t="s">
        <v>144</v>
      </c>
      <c r="F59" s="2" t="s">
        <v>90</v>
      </c>
      <c r="G59" s="7">
        <v>7</v>
      </c>
    </row>
    <row r="60" spans="1:7">
      <c r="A60" s="2" t="s">
        <v>22</v>
      </c>
      <c r="B60" s="2" t="s">
        <v>147</v>
      </c>
      <c r="C60" s="4">
        <v>73.150000000000006</v>
      </c>
      <c r="D60" s="7">
        <v>4</v>
      </c>
      <c r="E60" s="2" t="s">
        <v>145</v>
      </c>
      <c r="F60" s="2" t="s">
        <v>90</v>
      </c>
      <c r="G60" s="7">
        <v>6</v>
      </c>
    </row>
    <row r="61" spans="1:7">
      <c r="A61" s="2" t="s">
        <v>22</v>
      </c>
      <c r="B61" s="2" t="s">
        <v>147</v>
      </c>
      <c r="C61" s="4">
        <v>73.87</v>
      </c>
      <c r="D61" s="7">
        <v>5</v>
      </c>
      <c r="E61" s="2" t="s">
        <v>146</v>
      </c>
      <c r="F61" s="2" t="s">
        <v>90</v>
      </c>
      <c r="G61" s="7">
        <v>6</v>
      </c>
    </row>
    <row r="62" spans="1:7">
      <c r="A62" s="2" t="s">
        <v>22</v>
      </c>
      <c r="B62" s="2" t="s">
        <v>147</v>
      </c>
      <c r="C62" s="4">
        <v>74.58</v>
      </c>
      <c r="D62" s="7">
        <v>6</v>
      </c>
      <c r="E62" s="2" t="s">
        <v>148</v>
      </c>
      <c r="F62" s="2" t="s">
        <v>96</v>
      </c>
      <c r="G62" s="7">
        <v>6</v>
      </c>
    </row>
    <row r="63" spans="1:7">
      <c r="A63" s="2" t="s">
        <v>22</v>
      </c>
      <c r="B63" s="2" t="s">
        <v>147</v>
      </c>
      <c r="C63" s="4">
        <v>75.3</v>
      </c>
      <c r="D63" s="7">
        <v>7</v>
      </c>
      <c r="E63" s="2" t="s">
        <v>149</v>
      </c>
      <c r="F63" s="2" t="s">
        <v>90</v>
      </c>
      <c r="G63" s="7">
        <v>7</v>
      </c>
    </row>
    <row r="64" spans="1:7">
      <c r="A64" s="2" t="s">
        <v>22</v>
      </c>
      <c r="B64" s="2" t="s">
        <v>147</v>
      </c>
      <c r="C64" s="4">
        <v>76.02</v>
      </c>
      <c r="D64" s="7">
        <v>8</v>
      </c>
      <c r="E64" s="2" t="s">
        <v>150</v>
      </c>
      <c r="F64" s="2" t="s">
        <v>93</v>
      </c>
      <c r="G64" s="7">
        <v>6</v>
      </c>
    </row>
    <row r="65" spans="1:7">
      <c r="A65" s="2" t="s">
        <v>22</v>
      </c>
      <c r="B65" s="2" t="s">
        <v>147</v>
      </c>
      <c r="C65" s="4">
        <v>76.73</v>
      </c>
      <c r="D65" s="7">
        <v>9</v>
      </c>
      <c r="E65" s="2" t="s">
        <v>151</v>
      </c>
      <c r="F65" s="2" t="s">
        <v>90</v>
      </c>
      <c r="G65" s="7">
        <v>6</v>
      </c>
    </row>
    <row r="66" spans="1:7">
      <c r="A66" s="2" t="s">
        <v>22</v>
      </c>
      <c r="B66" s="2" t="s">
        <v>147</v>
      </c>
      <c r="C66" s="4">
        <v>77.45</v>
      </c>
      <c r="D66" s="7">
        <v>10</v>
      </c>
      <c r="E66" s="2" t="s">
        <v>152</v>
      </c>
      <c r="F66" s="2" t="s">
        <v>90</v>
      </c>
      <c r="G66" s="7">
        <v>6</v>
      </c>
    </row>
    <row r="67" spans="1:7">
      <c r="A67" s="2" t="s">
        <v>22</v>
      </c>
      <c r="B67" s="2" t="s">
        <v>147</v>
      </c>
      <c r="C67" s="4">
        <v>78.17</v>
      </c>
      <c r="D67" s="7">
        <v>11</v>
      </c>
      <c r="E67" s="2" t="s">
        <v>153</v>
      </c>
      <c r="F67" s="2" t="s">
        <v>90</v>
      </c>
      <c r="G67" s="7">
        <v>7</v>
      </c>
    </row>
    <row r="68" spans="1:7">
      <c r="A68" s="2" t="s">
        <v>22</v>
      </c>
      <c r="B68" s="2" t="s">
        <v>147</v>
      </c>
      <c r="C68" s="4">
        <v>78.88</v>
      </c>
      <c r="D68" s="7">
        <v>12</v>
      </c>
      <c r="E68" s="2" t="s">
        <v>120</v>
      </c>
      <c r="F68" s="2" t="s">
        <v>93</v>
      </c>
      <c r="G68" s="7">
        <v>6</v>
      </c>
    </row>
    <row r="69" spans="1:7">
      <c r="A69" s="2" t="s">
        <v>22</v>
      </c>
      <c r="B69" s="2" t="s">
        <v>147</v>
      </c>
      <c r="C69" s="4">
        <v>79.599999999999994</v>
      </c>
      <c r="D69" s="7">
        <v>13</v>
      </c>
      <c r="E69" s="2" t="s">
        <v>115</v>
      </c>
      <c r="F69" s="2" t="s">
        <v>90</v>
      </c>
      <c r="G69" s="7">
        <v>6</v>
      </c>
    </row>
    <row r="70" spans="1:7">
      <c r="A70" s="2" t="s">
        <v>22</v>
      </c>
      <c r="B70" s="2" t="s">
        <v>154</v>
      </c>
      <c r="C70" s="4">
        <v>81</v>
      </c>
      <c r="D70" s="7">
        <v>1</v>
      </c>
      <c r="E70" s="2" t="s">
        <v>151</v>
      </c>
      <c r="F70" s="2" t="s">
        <v>90</v>
      </c>
      <c r="G70" s="7">
        <v>7</v>
      </c>
    </row>
    <row r="71" spans="1:7">
      <c r="A71" s="2" t="s">
        <v>22</v>
      </c>
      <c r="B71" s="2" t="s">
        <v>154</v>
      </c>
      <c r="C71" s="4">
        <v>81.61</v>
      </c>
      <c r="D71" s="7">
        <v>2</v>
      </c>
      <c r="E71" s="2" t="s">
        <v>152</v>
      </c>
      <c r="F71" s="2" t="s">
        <v>90</v>
      </c>
      <c r="G71" s="7">
        <v>8</v>
      </c>
    </row>
    <row r="72" spans="1:7">
      <c r="A72" s="2" t="s">
        <v>22</v>
      </c>
      <c r="B72" s="2" t="s">
        <v>154</v>
      </c>
      <c r="C72" s="4">
        <v>82.23</v>
      </c>
      <c r="D72" s="7">
        <v>3</v>
      </c>
      <c r="E72" s="2" t="s">
        <v>153</v>
      </c>
      <c r="F72" s="2" t="s">
        <v>93</v>
      </c>
      <c r="G72" s="7">
        <v>7</v>
      </c>
    </row>
    <row r="73" spans="1:7">
      <c r="A73" s="2" t="s">
        <v>22</v>
      </c>
      <c r="B73" s="2" t="s">
        <v>154</v>
      </c>
      <c r="C73" s="4">
        <v>82.84</v>
      </c>
      <c r="D73" s="7">
        <v>4</v>
      </c>
      <c r="E73" s="2" t="s">
        <v>120</v>
      </c>
      <c r="F73" s="2" t="s">
        <v>90</v>
      </c>
      <c r="G73" s="7">
        <v>7</v>
      </c>
    </row>
    <row r="74" spans="1:7">
      <c r="A74" s="2" t="s">
        <v>22</v>
      </c>
      <c r="B74" s="2" t="s">
        <v>154</v>
      </c>
      <c r="C74" s="4">
        <v>83.46</v>
      </c>
      <c r="D74" s="7">
        <v>5</v>
      </c>
      <c r="E74" s="2" t="s">
        <v>115</v>
      </c>
      <c r="F74" s="2" t="s">
        <v>90</v>
      </c>
      <c r="G74" s="7">
        <v>7</v>
      </c>
    </row>
    <row r="75" spans="1:7">
      <c r="A75" s="2" t="s">
        <v>22</v>
      </c>
      <c r="B75" s="2" t="s">
        <v>154</v>
      </c>
      <c r="C75" s="4">
        <v>84.07</v>
      </c>
      <c r="D75" s="7">
        <v>6</v>
      </c>
      <c r="E75" s="2" t="s">
        <v>116</v>
      </c>
      <c r="F75" s="2" t="s">
        <v>90</v>
      </c>
      <c r="G75" s="7">
        <v>8</v>
      </c>
    </row>
    <row r="76" spans="1:7">
      <c r="A76" s="2" t="s">
        <v>22</v>
      </c>
      <c r="B76" s="2" t="s">
        <v>154</v>
      </c>
      <c r="C76" s="4">
        <v>84.69</v>
      </c>
      <c r="D76" s="7">
        <v>7</v>
      </c>
      <c r="E76" s="2" t="s">
        <v>117</v>
      </c>
      <c r="F76" s="2" t="s">
        <v>96</v>
      </c>
      <c r="G76" s="7">
        <v>7</v>
      </c>
    </row>
    <row r="77" spans="1:7">
      <c r="A77" s="2" t="s">
        <v>22</v>
      </c>
      <c r="B77" s="2" t="s">
        <v>154</v>
      </c>
      <c r="C77" s="4">
        <v>85.3</v>
      </c>
      <c r="D77" s="7">
        <v>8</v>
      </c>
      <c r="E77" s="2" t="s">
        <v>118</v>
      </c>
      <c r="F77" s="2" t="s">
        <v>90</v>
      </c>
      <c r="G77" s="7">
        <v>7</v>
      </c>
    </row>
    <row r="78" spans="1:7">
      <c r="A78" s="2" t="s">
        <v>22</v>
      </c>
      <c r="B78" s="2" t="s">
        <v>154</v>
      </c>
      <c r="C78" s="4">
        <v>85.91</v>
      </c>
      <c r="D78" s="7">
        <v>9</v>
      </c>
      <c r="E78" s="2" t="s">
        <v>122</v>
      </c>
      <c r="F78" s="2" t="s">
        <v>93</v>
      </c>
      <c r="G78" s="7">
        <v>7</v>
      </c>
    </row>
    <row r="79" spans="1:7">
      <c r="A79" s="2" t="s">
        <v>22</v>
      </c>
      <c r="B79" s="2" t="s">
        <v>154</v>
      </c>
      <c r="C79" s="4">
        <v>86.53</v>
      </c>
      <c r="D79" s="7">
        <v>10</v>
      </c>
      <c r="E79" s="2" t="s">
        <v>124</v>
      </c>
      <c r="F79" s="2" t="s">
        <v>90</v>
      </c>
      <c r="G79" s="7">
        <v>8</v>
      </c>
    </row>
    <row r="80" spans="1:7">
      <c r="A80" s="2" t="s">
        <v>22</v>
      </c>
      <c r="B80" s="2" t="s">
        <v>154</v>
      </c>
      <c r="C80" s="4">
        <v>87.14</v>
      </c>
      <c r="D80" s="7">
        <v>11</v>
      </c>
      <c r="E80" s="2" t="s">
        <v>125</v>
      </c>
      <c r="F80" s="2" t="s">
        <v>90</v>
      </c>
      <c r="G80" s="7">
        <v>7</v>
      </c>
    </row>
    <row r="81" spans="1:7">
      <c r="A81" s="2" t="s">
        <v>22</v>
      </c>
      <c r="B81" s="2" t="s">
        <v>154</v>
      </c>
      <c r="C81" s="4">
        <v>87.76</v>
      </c>
      <c r="D81" s="7">
        <v>12</v>
      </c>
      <c r="E81" s="2" t="s">
        <v>127</v>
      </c>
      <c r="F81" s="2" t="s">
        <v>90</v>
      </c>
      <c r="G81" s="7">
        <v>7</v>
      </c>
    </row>
    <row r="82" spans="1:7">
      <c r="A82" s="2" t="s">
        <v>22</v>
      </c>
      <c r="B82" s="2" t="s">
        <v>154</v>
      </c>
      <c r="C82" s="4">
        <v>88.37</v>
      </c>
      <c r="D82" s="7">
        <v>13</v>
      </c>
      <c r="E82" s="2" t="s">
        <v>128</v>
      </c>
      <c r="F82" s="2" t="s">
        <v>93</v>
      </c>
      <c r="G82" s="7">
        <v>7</v>
      </c>
    </row>
    <row r="83" spans="1:7">
      <c r="A83" s="2" t="s">
        <v>22</v>
      </c>
      <c r="B83" s="2" t="s">
        <v>154</v>
      </c>
      <c r="C83" s="4">
        <v>88.99</v>
      </c>
      <c r="D83" s="7">
        <v>14</v>
      </c>
      <c r="E83" s="2" t="s">
        <v>129</v>
      </c>
      <c r="F83" s="2" t="s">
        <v>90</v>
      </c>
      <c r="G83" s="7">
        <v>8</v>
      </c>
    </row>
    <row r="84" spans="1:7">
      <c r="A84" s="2" t="s">
        <v>22</v>
      </c>
      <c r="B84" s="2" t="s">
        <v>154</v>
      </c>
      <c r="C84" s="4">
        <v>89.6</v>
      </c>
      <c r="D84" s="7">
        <v>15</v>
      </c>
      <c r="E84" s="2" t="s">
        <v>130</v>
      </c>
      <c r="F84" s="2" t="s">
        <v>90</v>
      </c>
      <c r="G84" s="7">
        <v>7</v>
      </c>
    </row>
    <row r="85" spans="1:7">
      <c r="A85" s="2" t="s">
        <v>22</v>
      </c>
      <c r="B85" s="2" t="s">
        <v>155</v>
      </c>
      <c r="C85" s="4">
        <v>91</v>
      </c>
      <c r="D85" s="7">
        <v>1</v>
      </c>
      <c r="E85" s="2" t="s">
        <v>125</v>
      </c>
      <c r="F85" s="2" t="s">
        <v>90</v>
      </c>
      <c r="G85" s="7">
        <v>8</v>
      </c>
    </row>
    <row r="86" spans="1:7">
      <c r="A86" s="2" t="s">
        <v>22</v>
      </c>
      <c r="B86" s="2" t="s">
        <v>155</v>
      </c>
      <c r="C86" s="4">
        <v>91.57</v>
      </c>
      <c r="D86" s="7">
        <v>2</v>
      </c>
      <c r="E86" s="2" t="s">
        <v>127</v>
      </c>
      <c r="F86" s="2" t="s">
        <v>90</v>
      </c>
      <c r="G86" s="7">
        <v>9</v>
      </c>
    </row>
    <row r="87" spans="1:7">
      <c r="A87" s="2" t="s">
        <v>22</v>
      </c>
      <c r="B87" s="2" t="s">
        <v>155</v>
      </c>
      <c r="C87" s="4">
        <v>92.15</v>
      </c>
      <c r="D87" s="7">
        <v>3</v>
      </c>
      <c r="E87" s="2" t="s">
        <v>128</v>
      </c>
      <c r="F87" s="2" t="s">
        <v>93</v>
      </c>
      <c r="G87" s="7">
        <v>8</v>
      </c>
    </row>
    <row r="88" spans="1:7">
      <c r="A88" s="2" t="s">
        <v>22</v>
      </c>
      <c r="B88" s="2" t="s">
        <v>155</v>
      </c>
      <c r="C88" s="4">
        <v>92.72</v>
      </c>
      <c r="D88" s="7">
        <v>4</v>
      </c>
      <c r="E88" s="2" t="s">
        <v>129</v>
      </c>
      <c r="F88" s="2" t="s">
        <v>90</v>
      </c>
      <c r="G88" s="7">
        <v>8</v>
      </c>
    </row>
    <row r="89" spans="1:7">
      <c r="A89" s="2" t="s">
        <v>22</v>
      </c>
      <c r="B89" s="2" t="s">
        <v>155</v>
      </c>
      <c r="C89" s="4">
        <v>93.29</v>
      </c>
      <c r="D89" s="7">
        <v>5</v>
      </c>
      <c r="E89" s="2" t="s">
        <v>130</v>
      </c>
      <c r="F89" s="2" t="s">
        <v>90</v>
      </c>
      <c r="G89" s="7">
        <v>9</v>
      </c>
    </row>
    <row r="90" spans="1:7">
      <c r="A90" s="2" t="s">
        <v>22</v>
      </c>
      <c r="B90" s="2" t="s">
        <v>155</v>
      </c>
      <c r="C90" s="4">
        <v>93.87</v>
      </c>
      <c r="D90" s="7">
        <v>6</v>
      </c>
      <c r="E90" s="2" t="s">
        <v>131</v>
      </c>
      <c r="F90" s="2" t="s">
        <v>90</v>
      </c>
      <c r="G90" s="7">
        <v>8</v>
      </c>
    </row>
    <row r="91" spans="1:7">
      <c r="A91" s="2" t="s">
        <v>22</v>
      </c>
      <c r="B91" s="2" t="s">
        <v>155</v>
      </c>
      <c r="C91" s="4">
        <v>94.44</v>
      </c>
      <c r="D91" s="7">
        <v>7</v>
      </c>
      <c r="E91" s="2" t="s">
        <v>133</v>
      </c>
      <c r="F91" s="2" t="s">
        <v>96</v>
      </c>
      <c r="G91" s="7">
        <v>8</v>
      </c>
    </row>
    <row r="92" spans="1:7">
      <c r="A92" s="2" t="s">
        <v>22</v>
      </c>
      <c r="B92" s="2" t="s">
        <v>155</v>
      </c>
      <c r="C92" s="4">
        <v>95.01</v>
      </c>
      <c r="D92" s="7">
        <v>8</v>
      </c>
      <c r="E92" s="2" t="s">
        <v>134</v>
      </c>
      <c r="F92" s="2" t="s">
        <v>90</v>
      </c>
      <c r="G92" s="7">
        <v>8</v>
      </c>
    </row>
    <row r="93" spans="1:7">
      <c r="A93" s="2" t="s">
        <v>22</v>
      </c>
      <c r="B93" s="2" t="s">
        <v>155</v>
      </c>
      <c r="C93" s="4">
        <v>95.59</v>
      </c>
      <c r="D93" s="7">
        <v>9</v>
      </c>
      <c r="E93" s="2" t="s">
        <v>135</v>
      </c>
      <c r="F93" s="2" t="s">
        <v>90</v>
      </c>
      <c r="G93" s="7">
        <v>9</v>
      </c>
    </row>
    <row r="94" spans="1:7">
      <c r="A94" s="2" t="s">
        <v>22</v>
      </c>
      <c r="B94" s="2" t="s">
        <v>155</v>
      </c>
      <c r="C94" s="4">
        <v>96.16</v>
      </c>
      <c r="D94" s="7">
        <v>10</v>
      </c>
      <c r="E94" s="2" t="s">
        <v>136</v>
      </c>
      <c r="F94" s="2" t="s">
        <v>93</v>
      </c>
      <c r="G94" s="7">
        <v>8</v>
      </c>
    </row>
    <row r="95" spans="1:7">
      <c r="A95" s="2" t="s">
        <v>22</v>
      </c>
      <c r="B95" s="2" t="s">
        <v>155</v>
      </c>
      <c r="C95" s="4">
        <v>96.73</v>
      </c>
      <c r="D95" s="7">
        <v>11</v>
      </c>
      <c r="E95" s="2" t="s">
        <v>137</v>
      </c>
      <c r="F95" s="2" t="s">
        <v>90</v>
      </c>
      <c r="G95" s="7">
        <v>8</v>
      </c>
    </row>
    <row r="96" spans="1:7">
      <c r="A96" s="2" t="s">
        <v>22</v>
      </c>
      <c r="B96" s="2" t="s">
        <v>155</v>
      </c>
      <c r="C96" s="4">
        <v>97.31</v>
      </c>
      <c r="D96" s="7">
        <v>12</v>
      </c>
      <c r="E96" s="2" t="s">
        <v>138</v>
      </c>
      <c r="F96" s="2" t="s">
        <v>90</v>
      </c>
      <c r="G96" s="7">
        <v>9</v>
      </c>
    </row>
    <row r="97" spans="1:7">
      <c r="A97" s="2" t="s">
        <v>22</v>
      </c>
      <c r="B97" s="2" t="s">
        <v>155</v>
      </c>
      <c r="C97" s="4">
        <v>97.88</v>
      </c>
      <c r="D97" s="7">
        <v>13</v>
      </c>
      <c r="E97" s="2" t="s">
        <v>140</v>
      </c>
      <c r="F97" s="2" t="s">
        <v>90</v>
      </c>
      <c r="G97" s="7">
        <v>8</v>
      </c>
    </row>
    <row r="98" spans="1:7">
      <c r="A98" s="2" t="s">
        <v>22</v>
      </c>
      <c r="B98" s="2" t="s">
        <v>155</v>
      </c>
      <c r="C98" s="4">
        <v>98.45</v>
      </c>
      <c r="D98" s="7">
        <v>14</v>
      </c>
      <c r="E98" s="2" t="s">
        <v>141</v>
      </c>
      <c r="F98" s="2" t="s">
        <v>93</v>
      </c>
      <c r="G98" s="7">
        <v>8</v>
      </c>
    </row>
    <row r="99" spans="1:7">
      <c r="A99" s="2" t="s">
        <v>22</v>
      </c>
      <c r="B99" s="2" t="s">
        <v>155</v>
      </c>
      <c r="C99" s="4">
        <v>99.03</v>
      </c>
      <c r="D99" s="7">
        <v>15</v>
      </c>
      <c r="E99" s="2" t="s">
        <v>142</v>
      </c>
      <c r="F99" s="2" t="s">
        <v>90</v>
      </c>
      <c r="G99" s="7">
        <v>9</v>
      </c>
    </row>
    <row r="100" spans="1:7">
      <c r="A100" s="2" t="s">
        <v>22</v>
      </c>
      <c r="B100" s="2" t="s">
        <v>155</v>
      </c>
      <c r="C100" s="4">
        <v>99.6</v>
      </c>
      <c r="D100" s="7">
        <v>16</v>
      </c>
      <c r="E100" s="2" t="s">
        <v>143</v>
      </c>
      <c r="F100" s="2" t="s">
        <v>90</v>
      </c>
      <c r="G100" s="7">
        <v>8</v>
      </c>
    </row>
    <row r="101" spans="1:7">
      <c r="A101" s="2" t="s">
        <v>22</v>
      </c>
      <c r="B101" s="2" t="s">
        <v>156</v>
      </c>
      <c r="C101" s="4">
        <v>101</v>
      </c>
      <c r="D101" s="7">
        <v>1</v>
      </c>
      <c r="E101" s="2" t="s">
        <v>138</v>
      </c>
      <c r="F101" s="2" t="s">
        <v>90</v>
      </c>
      <c r="G101" s="7">
        <v>9</v>
      </c>
    </row>
    <row r="102" spans="1:7">
      <c r="A102" s="2" t="s">
        <v>22</v>
      </c>
      <c r="B102" s="2" t="s">
        <v>156</v>
      </c>
      <c r="C102" s="4">
        <v>101.54</v>
      </c>
      <c r="D102" s="7">
        <v>2</v>
      </c>
      <c r="E102" s="2" t="s">
        <v>140</v>
      </c>
      <c r="F102" s="2" t="s">
        <v>90</v>
      </c>
      <c r="G102" s="7">
        <v>10</v>
      </c>
    </row>
    <row r="103" spans="1:7">
      <c r="A103" s="2" t="s">
        <v>22</v>
      </c>
      <c r="B103" s="2" t="s">
        <v>156</v>
      </c>
      <c r="C103" s="4">
        <v>102.08</v>
      </c>
      <c r="D103" s="7">
        <v>3</v>
      </c>
      <c r="E103" s="2" t="s">
        <v>141</v>
      </c>
      <c r="F103" s="2" t="s">
        <v>93</v>
      </c>
      <c r="G103" s="7">
        <v>9</v>
      </c>
    </row>
    <row r="104" spans="1:7">
      <c r="A104" s="2" t="s">
        <v>22</v>
      </c>
      <c r="B104" s="2" t="s">
        <v>156</v>
      </c>
      <c r="C104" s="4">
        <v>102.61</v>
      </c>
      <c r="D104" s="7">
        <v>4</v>
      </c>
      <c r="E104" s="2" t="s">
        <v>142</v>
      </c>
      <c r="F104" s="2" t="s">
        <v>90</v>
      </c>
      <c r="G104" s="7">
        <v>9</v>
      </c>
    </row>
    <row r="105" spans="1:7">
      <c r="A105" s="2" t="s">
        <v>22</v>
      </c>
      <c r="B105" s="2" t="s">
        <v>156</v>
      </c>
      <c r="C105" s="4">
        <v>103.15</v>
      </c>
      <c r="D105" s="7">
        <v>5</v>
      </c>
      <c r="E105" s="2" t="s">
        <v>143</v>
      </c>
      <c r="F105" s="2" t="s">
        <v>90</v>
      </c>
      <c r="G105" s="7">
        <v>10</v>
      </c>
    </row>
    <row r="106" spans="1:7">
      <c r="A106" s="2" t="s">
        <v>22</v>
      </c>
      <c r="B106" s="2" t="s">
        <v>156</v>
      </c>
      <c r="C106" s="4">
        <v>103.69</v>
      </c>
      <c r="D106" s="7">
        <v>6</v>
      </c>
      <c r="E106" s="2" t="s">
        <v>144</v>
      </c>
      <c r="F106" s="2" t="s">
        <v>90</v>
      </c>
      <c r="G106" s="7">
        <v>9</v>
      </c>
    </row>
    <row r="107" spans="1:7">
      <c r="A107" s="2" t="s">
        <v>22</v>
      </c>
      <c r="B107" s="2" t="s">
        <v>156</v>
      </c>
      <c r="C107" s="4">
        <v>104.23</v>
      </c>
      <c r="D107" s="7">
        <v>7</v>
      </c>
      <c r="E107" s="2" t="s">
        <v>145</v>
      </c>
      <c r="F107" s="2" t="s">
        <v>96</v>
      </c>
      <c r="G107" s="7">
        <v>9</v>
      </c>
    </row>
    <row r="108" spans="1:7">
      <c r="A108" s="2" t="s">
        <v>22</v>
      </c>
      <c r="B108" s="2" t="s">
        <v>156</v>
      </c>
      <c r="C108" s="4">
        <v>104.76</v>
      </c>
      <c r="D108" s="7">
        <v>8</v>
      </c>
      <c r="E108" s="2" t="s">
        <v>146</v>
      </c>
      <c r="F108" s="2" t="s">
        <v>90</v>
      </c>
      <c r="G108" s="7">
        <v>10</v>
      </c>
    </row>
    <row r="109" spans="1:7">
      <c r="A109" s="2" t="s">
        <v>22</v>
      </c>
      <c r="B109" s="2" t="s">
        <v>156</v>
      </c>
      <c r="C109" s="4">
        <v>105.3</v>
      </c>
      <c r="D109" s="7">
        <v>9</v>
      </c>
      <c r="E109" s="2" t="s">
        <v>148</v>
      </c>
      <c r="F109" s="2" t="s">
        <v>90</v>
      </c>
      <c r="G109" s="7">
        <v>9</v>
      </c>
    </row>
    <row r="110" spans="1:7">
      <c r="A110" s="2" t="s">
        <v>22</v>
      </c>
      <c r="B110" s="2" t="s">
        <v>156</v>
      </c>
      <c r="C110" s="4">
        <v>105.84</v>
      </c>
      <c r="D110" s="7">
        <v>10</v>
      </c>
      <c r="E110" s="2" t="s">
        <v>149</v>
      </c>
      <c r="F110" s="2" t="s">
        <v>93</v>
      </c>
      <c r="G110" s="7">
        <v>10</v>
      </c>
    </row>
    <row r="111" spans="1:7">
      <c r="A111" s="2" t="s">
        <v>22</v>
      </c>
      <c r="B111" s="2" t="s">
        <v>156</v>
      </c>
      <c r="C111" s="4">
        <v>106.38</v>
      </c>
      <c r="D111" s="7">
        <v>11</v>
      </c>
      <c r="E111" s="2" t="s">
        <v>150</v>
      </c>
      <c r="F111" s="2" t="s">
        <v>90</v>
      </c>
      <c r="G111" s="7">
        <v>9</v>
      </c>
    </row>
    <row r="112" spans="1:7">
      <c r="A112" s="2" t="s">
        <v>22</v>
      </c>
      <c r="B112" s="2" t="s">
        <v>156</v>
      </c>
      <c r="C112" s="4">
        <v>106.91</v>
      </c>
      <c r="D112" s="7">
        <v>12</v>
      </c>
      <c r="E112" s="2" t="s">
        <v>151</v>
      </c>
      <c r="F112" s="2" t="s">
        <v>90</v>
      </c>
      <c r="G112" s="7">
        <v>9</v>
      </c>
    </row>
    <row r="113" spans="1:7">
      <c r="A113" s="2" t="s">
        <v>22</v>
      </c>
      <c r="B113" s="2" t="s">
        <v>156</v>
      </c>
      <c r="C113" s="4">
        <v>107.45</v>
      </c>
      <c r="D113" s="7">
        <v>13</v>
      </c>
      <c r="E113" s="2" t="s">
        <v>152</v>
      </c>
      <c r="F113" s="2" t="s">
        <v>90</v>
      </c>
      <c r="G113" s="7">
        <v>10</v>
      </c>
    </row>
    <row r="114" spans="1:7">
      <c r="A114" s="2" t="s">
        <v>22</v>
      </c>
      <c r="B114" s="2" t="s">
        <v>156</v>
      </c>
      <c r="C114" s="4">
        <v>107.99</v>
      </c>
      <c r="D114" s="7">
        <v>14</v>
      </c>
      <c r="E114" s="2" t="s">
        <v>153</v>
      </c>
      <c r="F114" s="2" t="s">
        <v>90</v>
      </c>
      <c r="G114" s="7">
        <v>9</v>
      </c>
    </row>
    <row r="115" spans="1:7">
      <c r="A115" s="2" t="s">
        <v>22</v>
      </c>
      <c r="B115" s="2" t="s">
        <v>156</v>
      </c>
      <c r="C115" s="4">
        <v>108.53</v>
      </c>
      <c r="D115" s="7">
        <v>15</v>
      </c>
      <c r="E115" s="2" t="s">
        <v>120</v>
      </c>
      <c r="F115" s="2" t="s">
        <v>93</v>
      </c>
      <c r="G115" s="7">
        <v>9</v>
      </c>
    </row>
    <row r="116" spans="1:7">
      <c r="A116" s="2" t="s">
        <v>22</v>
      </c>
      <c r="B116" s="2" t="s">
        <v>156</v>
      </c>
      <c r="C116" s="4">
        <v>109.06</v>
      </c>
      <c r="D116" s="7">
        <v>16</v>
      </c>
      <c r="E116" s="2" t="s">
        <v>115</v>
      </c>
      <c r="F116" s="2" t="s">
        <v>90</v>
      </c>
      <c r="G116" s="7">
        <v>10</v>
      </c>
    </row>
    <row r="117" spans="1:7">
      <c r="A117" s="2" t="s">
        <v>22</v>
      </c>
      <c r="B117" s="2" t="s">
        <v>156</v>
      </c>
      <c r="C117" s="4">
        <v>109.6</v>
      </c>
      <c r="D117" s="7">
        <v>17</v>
      </c>
      <c r="E117" s="2" t="s">
        <v>116</v>
      </c>
      <c r="F117" s="2" t="s">
        <v>90</v>
      </c>
      <c r="G117" s="7">
        <v>9</v>
      </c>
    </row>
    <row r="118" spans="1:7">
      <c r="A118" s="2" t="s">
        <v>22</v>
      </c>
      <c r="B118" s="2" t="s">
        <v>157</v>
      </c>
      <c r="C118" s="4">
        <v>111</v>
      </c>
      <c r="D118" s="7">
        <v>1</v>
      </c>
      <c r="E118" s="2" t="s">
        <v>152</v>
      </c>
      <c r="F118" s="2" t="s">
        <v>90</v>
      </c>
      <c r="G118" s="7">
        <v>10</v>
      </c>
    </row>
    <row r="119" spans="1:7">
      <c r="A119" s="2" t="s">
        <v>22</v>
      </c>
      <c r="B119" s="2" t="s">
        <v>157</v>
      </c>
      <c r="C119" s="4">
        <v>111.48</v>
      </c>
      <c r="D119" s="7">
        <v>2</v>
      </c>
      <c r="E119" s="2" t="s">
        <v>153</v>
      </c>
      <c r="F119" s="2" t="s">
        <v>93</v>
      </c>
      <c r="G119" s="7">
        <v>11</v>
      </c>
    </row>
    <row r="120" spans="1:7">
      <c r="A120" s="2" t="s">
        <v>22</v>
      </c>
      <c r="B120" s="2" t="s">
        <v>157</v>
      </c>
      <c r="C120" s="4">
        <v>111.96</v>
      </c>
      <c r="D120" s="7">
        <v>3</v>
      </c>
      <c r="E120" s="2" t="s">
        <v>120</v>
      </c>
      <c r="F120" s="2" t="s">
        <v>90</v>
      </c>
      <c r="G120" s="7">
        <v>10</v>
      </c>
    </row>
    <row r="121" spans="1:7">
      <c r="A121" s="2" t="s">
        <v>22</v>
      </c>
      <c r="B121" s="2" t="s">
        <v>157</v>
      </c>
      <c r="C121" s="4">
        <v>112.43</v>
      </c>
      <c r="D121" s="7">
        <v>4</v>
      </c>
      <c r="E121" s="2" t="s">
        <v>115</v>
      </c>
      <c r="F121" s="2" t="s">
        <v>90</v>
      </c>
      <c r="G121" s="7">
        <v>10</v>
      </c>
    </row>
    <row r="122" spans="1:7">
      <c r="A122" s="2" t="s">
        <v>22</v>
      </c>
      <c r="B122" s="2" t="s">
        <v>157</v>
      </c>
      <c r="C122" s="4">
        <v>112.91</v>
      </c>
      <c r="D122" s="7">
        <v>5</v>
      </c>
      <c r="E122" s="2" t="s">
        <v>116</v>
      </c>
      <c r="F122" s="2" t="s">
        <v>90</v>
      </c>
      <c r="G122" s="7">
        <v>11</v>
      </c>
    </row>
    <row r="123" spans="1:7">
      <c r="A123" s="2" t="s">
        <v>22</v>
      </c>
      <c r="B123" s="2" t="s">
        <v>157</v>
      </c>
      <c r="C123" s="4">
        <v>113.39</v>
      </c>
      <c r="D123" s="7">
        <v>6</v>
      </c>
      <c r="E123" s="2" t="s">
        <v>117</v>
      </c>
      <c r="F123" s="2" t="s">
        <v>96</v>
      </c>
      <c r="G123" s="7">
        <v>10</v>
      </c>
    </row>
    <row r="124" spans="1:7">
      <c r="A124" s="2" t="s">
        <v>22</v>
      </c>
      <c r="B124" s="2" t="s">
        <v>157</v>
      </c>
      <c r="C124" s="4">
        <v>113.87</v>
      </c>
      <c r="D124" s="7">
        <v>7</v>
      </c>
      <c r="E124" s="2" t="s">
        <v>118</v>
      </c>
      <c r="F124" s="2" t="s">
        <v>90</v>
      </c>
      <c r="G124" s="7">
        <v>11</v>
      </c>
    </row>
    <row r="125" spans="1:7">
      <c r="A125" s="2" t="s">
        <v>22</v>
      </c>
      <c r="B125" s="2" t="s">
        <v>157</v>
      </c>
      <c r="C125" s="4">
        <v>114.34</v>
      </c>
      <c r="D125" s="7">
        <v>8</v>
      </c>
      <c r="E125" s="2" t="s">
        <v>122</v>
      </c>
      <c r="F125" s="2" t="s">
        <v>93</v>
      </c>
      <c r="G125" s="7">
        <v>10</v>
      </c>
    </row>
    <row r="126" spans="1:7">
      <c r="A126" s="2" t="s">
        <v>22</v>
      </c>
      <c r="B126" s="2" t="s">
        <v>157</v>
      </c>
      <c r="C126" s="4">
        <v>114.82</v>
      </c>
      <c r="D126" s="7">
        <v>9</v>
      </c>
      <c r="E126" s="2" t="s">
        <v>124</v>
      </c>
      <c r="F126" s="2" t="s">
        <v>90</v>
      </c>
      <c r="G126" s="7">
        <v>10</v>
      </c>
    </row>
    <row r="127" spans="1:7">
      <c r="A127" s="2" t="s">
        <v>22</v>
      </c>
      <c r="B127" s="2" t="s">
        <v>157</v>
      </c>
      <c r="C127" s="4">
        <v>115.3</v>
      </c>
      <c r="D127" s="7">
        <v>10</v>
      </c>
      <c r="E127" s="2" t="s">
        <v>125</v>
      </c>
      <c r="F127" s="2" t="s">
        <v>90</v>
      </c>
      <c r="G127" s="7">
        <v>11</v>
      </c>
    </row>
    <row r="128" spans="1:7">
      <c r="A128" s="2" t="s">
        <v>22</v>
      </c>
      <c r="B128" s="2" t="s">
        <v>157</v>
      </c>
      <c r="C128" s="4">
        <v>115.78</v>
      </c>
      <c r="D128" s="7">
        <v>11</v>
      </c>
      <c r="E128" s="2" t="s">
        <v>127</v>
      </c>
      <c r="F128" s="2" t="s">
        <v>98</v>
      </c>
      <c r="G128" s="7">
        <v>11</v>
      </c>
    </row>
    <row r="129" spans="1:7">
      <c r="A129" s="2" t="s">
        <v>22</v>
      </c>
      <c r="B129" s="2" t="s">
        <v>157</v>
      </c>
      <c r="C129" s="4">
        <v>116.26</v>
      </c>
      <c r="D129" s="7">
        <v>12</v>
      </c>
      <c r="E129" s="2" t="s">
        <v>128</v>
      </c>
      <c r="F129" s="2" t="s">
        <v>90</v>
      </c>
      <c r="G129" s="7">
        <v>10</v>
      </c>
    </row>
    <row r="130" spans="1:7">
      <c r="A130" s="2" t="s">
        <v>22</v>
      </c>
      <c r="B130" s="2" t="s">
        <v>157</v>
      </c>
      <c r="C130" s="4">
        <v>116.73</v>
      </c>
      <c r="D130" s="7">
        <v>13</v>
      </c>
      <c r="E130" s="2" t="s">
        <v>129</v>
      </c>
      <c r="F130" s="2" t="s">
        <v>90</v>
      </c>
      <c r="G130" s="7">
        <v>11</v>
      </c>
    </row>
    <row r="131" spans="1:7">
      <c r="A131" s="2" t="s">
        <v>22</v>
      </c>
      <c r="B131" s="2" t="s">
        <v>157</v>
      </c>
      <c r="C131" s="4">
        <v>117.21</v>
      </c>
      <c r="D131" s="7">
        <v>14</v>
      </c>
      <c r="E131" s="2" t="s">
        <v>130</v>
      </c>
      <c r="F131" s="2" t="s">
        <v>93</v>
      </c>
      <c r="G131" s="7">
        <v>10</v>
      </c>
    </row>
    <row r="132" spans="1:7">
      <c r="A132" s="2" t="s">
        <v>22</v>
      </c>
      <c r="B132" s="2" t="s">
        <v>157</v>
      </c>
      <c r="C132" s="4">
        <v>117.69</v>
      </c>
      <c r="D132" s="7">
        <v>15</v>
      </c>
      <c r="E132" s="2" t="s">
        <v>131</v>
      </c>
      <c r="F132" s="2" t="s">
        <v>90</v>
      </c>
      <c r="G132" s="7">
        <v>11</v>
      </c>
    </row>
    <row r="133" spans="1:7">
      <c r="A133" s="2" t="s">
        <v>22</v>
      </c>
      <c r="B133" s="2" t="s">
        <v>157</v>
      </c>
      <c r="C133" s="4">
        <v>118.17</v>
      </c>
      <c r="D133" s="7">
        <v>16</v>
      </c>
      <c r="E133" s="2" t="s">
        <v>133</v>
      </c>
      <c r="F133" s="2" t="s">
        <v>90</v>
      </c>
      <c r="G133" s="7">
        <v>10</v>
      </c>
    </row>
    <row r="134" spans="1:7">
      <c r="A134" s="2" t="s">
        <v>22</v>
      </c>
      <c r="B134" s="2" t="s">
        <v>157</v>
      </c>
      <c r="C134" s="4">
        <v>118.64</v>
      </c>
      <c r="D134" s="7">
        <v>17</v>
      </c>
      <c r="E134" s="2" t="s">
        <v>134</v>
      </c>
      <c r="F134" s="2" t="s">
        <v>90</v>
      </c>
      <c r="G134" s="7">
        <v>10</v>
      </c>
    </row>
    <row r="135" spans="1:7">
      <c r="A135" s="2" t="s">
        <v>22</v>
      </c>
      <c r="B135" s="2" t="s">
        <v>157</v>
      </c>
      <c r="C135" s="4">
        <v>119.12</v>
      </c>
      <c r="D135" s="7">
        <v>18</v>
      </c>
      <c r="E135" s="2" t="s">
        <v>135</v>
      </c>
      <c r="F135" s="2" t="s">
        <v>93</v>
      </c>
      <c r="G135" s="7">
        <v>10</v>
      </c>
    </row>
    <row r="136" spans="1:7">
      <c r="A136" s="2" t="s">
        <v>22</v>
      </c>
      <c r="B136" s="2" t="s">
        <v>157</v>
      </c>
      <c r="C136" s="4">
        <v>119.6</v>
      </c>
      <c r="D136" s="7">
        <v>19</v>
      </c>
      <c r="E136" s="2" t="s">
        <v>136</v>
      </c>
      <c r="F136" s="2" t="s">
        <v>90</v>
      </c>
      <c r="G136" s="7">
        <v>10</v>
      </c>
    </row>
    <row r="137" spans="1:7">
      <c r="A137" s="2" t="s">
        <v>22</v>
      </c>
      <c r="B137" s="2" t="s">
        <v>158</v>
      </c>
      <c r="C137" s="4">
        <v>121</v>
      </c>
      <c r="D137" s="7">
        <v>1</v>
      </c>
      <c r="E137" s="2" t="s">
        <v>131</v>
      </c>
      <c r="F137" s="2" t="s">
        <v>90</v>
      </c>
      <c r="G137" s="7">
        <v>10</v>
      </c>
    </row>
    <row r="138" spans="1:7">
      <c r="A138" s="2" t="s">
        <v>22</v>
      </c>
      <c r="B138" s="2" t="s">
        <v>158</v>
      </c>
      <c r="C138" s="4">
        <v>121.45</v>
      </c>
      <c r="D138" s="7">
        <v>2</v>
      </c>
      <c r="E138" s="2" t="s">
        <v>133</v>
      </c>
      <c r="F138" s="2" t="s">
        <v>90</v>
      </c>
      <c r="G138" s="7">
        <v>11</v>
      </c>
    </row>
    <row r="139" spans="1:7">
      <c r="A139" s="2" t="s">
        <v>22</v>
      </c>
      <c r="B139" s="2" t="s">
        <v>158</v>
      </c>
      <c r="C139" s="4">
        <v>121.91</v>
      </c>
      <c r="D139" s="7">
        <v>3</v>
      </c>
      <c r="E139" s="2" t="s">
        <v>134</v>
      </c>
      <c r="F139" s="2" t="s">
        <v>93</v>
      </c>
      <c r="G139" s="7">
        <v>10</v>
      </c>
    </row>
    <row r="140" spans="1:7">
      <c r="A140" s="2" t="s">
        <v>22</v>
      </c>
      <c r="B140" s="2" t="s">
        <v>158</v>
      </c>
      <c r="C140" s="4">
        <v>122.36</v>
      </c>
      <c r="D140" s="7">
        <v>4</v>
      </c>
      <c r="E140" s="2" t="s">
        <v>135</v>
      </c>
      <c r="F140" s="2" t="s">
        <v>90</v>
      </c>
      <c r="G140" s="7">
        <v>11</v>
      </c>
    </row>
    <row r="141" spans="1:7">
      <c r="A141" s="2" t="s">
        <v>22</v>
      </c>
      <c r="B141" s="2" t="s">
        <v>158</v>
      </c>
      <c r="C141" s="4">
        <v>122.81</v>
      </c>
      <c r="D141" s="7">
        <v>5</v>
      </c>
      <c r="E141" s="2" t="s">
        <v>136</v>
      </c>
      <c r="F141" s="2" t="s">
        <v>90</v>
      </c>
      <c r="G141" s="7">
        <v>10</v>
      </c>
    </row>
    <row r="142" spans="1:7">
      <c r="A142" s="2" t="s">
        <v>22</v>
      </c>
      <c r="B142" s="2" t="s">
        <v>158</v>
      </c>
      <c r="C142" s="4">
        <v>123.26</v>
      </c>
      <c r="D142" s="7">
        <v>6</v>
      </c>
      <c r="E142" s="2" t="s">
        <v>137</v>
      </c>
      <c r="F142" s="2" t="s">
        <v>90</v>
      </c>
      <c r="G142" s="7">
        <v>10</v>
      </c>
    </row>
    <row r="143" spans="1:7">
      <c r="A143" s="2" t="s">
        <v>22</v>
      </c>
      <c r="B143" s="2" t="s">
        <v>158</v>
      </c>
      <c r="C143" s="4">
        <v>123.72</v>
      </c>
      <c r="D143" s="7">
        <v>7</v>
      </c>
      <c r="E143" s="2" t="s">
        <v>138</v>
      </c>
      <c r="F143" s="2" t="s">
        <v>93</v>
      </c>
      <c r="G143" s="7">
        <v>11</v>
      </c>
    </row>
    <row r="144" spans="1:7">
      <c r="A144" s="2" t="s">
        <v>22</v>
      </c>
      <c r="B144" s="2" t="s">
        <v>158</v>
      </c>
      <c r="C144" s="4">
        <v>124.17</v>
      </c>
      <c r="D144" s="7">
        <v>8</v>
      </c>
      <c r="E144" s="2" t="s">
        <v>140</v>
      </c>
      <c r="F144" s="2" t="s">
        <v>90</v>
      </c>
      <c r="G144" s="7">
        <v>10</v>
      </c>
    </row>
    <row r="145" spans="1:7">
      <c r="A145" s="2" t="s">
        <v>22</v>
      </c>
      <c r="B145" s="2" t="s">
        <v>158</v>
      </c>
      <c r="C145" s="4">
        <v>124.62</v>
      </c>
      <c r="D145" s="7">
        <v>9</v>
      </c>
      <c r="E145" s="2" t="s">
        <v>141</v>
      </c>
      <c r="F145" s="2" t="s">
        <v>90</v>
      </c>
      <c r="G145" s="7">
        <v>11</v>
      </c>
    </row>
    <row r="146" spans="1:7">
      <c r="A146" s="2" t="s">
        <v>22</v>
      </c>
      <c r="B146" s="2" t="s">
        <v>158</v>
      </c>
      <c r="C146" s="4">
        <v>125.07</v>
      </c>
      <c r="D146" s="7">
        <v>10</v>
      </c>
      <c r="E146" s="2" t="s">
        <v>142</v>
      </c>
      <c r="F146" s="2" t="s">
        <v>90</v>
      </c>
      <c r="G146" s="7">
        <v>10</v>
      </c>
    </row>
    <row r="147" spans="1:7">
      <c r="A147" s="2" t="s">
        <v>22</v>
      </c>
      <c r="B147" s="2" t="s">
        <v>158</v>
      </c>
      <c r="C147" s="4">
        <v>125.53</v>
      </c>
      <c r="D147" s="7">
        <v>11</v>
      </c>
      <c r="E147" s="2" t="s">
        <v>143</v>
      </c>
      <c r="F147" s="2" t="s">
        <v>96</v>
      </c>
      <c r="G147" s="7">
        <v>10</v>
      </c>
    </row>
    <row r="148" spans="1:7">
      <c r="A148" s="2" t="s">
        <v>22</v>
      </c>
      <c r="B148" s="2" t="s">
        <v>158</v>
      </c>
      <c r="C148" s="4">
        <v>125.98</v>
      </c>
      <c r="D148" s="7">
        <v>12</v>
      </c>
      <c r="E148" s="2" t="s">
        <v>144</v>
      </c>
      <c r="F148" s="2" t="s">
        <v>90</v>
      </c>
      <c r="G148" s="7">
        <v>11</v>
      </c>
    </row>
    <row r="149" spans="1:7">
      <c r="A149" s="2" t="s">
        <v>22</v>
      </c>
      <c r="B149" s="2" t="s">
        <v>158</v>
      </c>
      <c r="C149" s="4">
        <v>126.43</v>
      </c>
      <c r="D149" s="7">
        <v>13</v>
      </c>
      <c r="E149" s="2" t="s">
        <v>145</v>
      </c>
      <c r="F149" s="2" t="s">
        <v>90</v>
      </c>
      <c r="G149" s="7">
        <v>10</v>
      </c>
    </row>
    <row r="150" spans="1:7">
      <c r="A150" s="2" t="s">
        <v>22</v>
      </c>
      <c r="B150" s="2" t="s">
        <v>158</v>
      </c>
      <c r="C150" s="4">
        <v>126.88</v>
      </c>
      <c r="D150" s="7">
        <v>14</v>
      </c>
      <c r="E150" s="2" t="s">
        <v>146</v>
      </c>
      <c r="F150" s="2" t="s">
        <v>93</v>
      </c>
      <c r="G150" s="7">
        <v>11</v>
      </c>
    </row>
    <row r="151" spans="1:7">
      <c r="A151" s="2" t="s">
        <v>22</v>
      </c>
      <c r="B151" s="2" t="s">
        <v>158</v>
      </c>
      <c r="C151" s="4">
        <v>127.34</v>
      </c>
      <c r="D151" s="7">
        <v>15</v>
      </c>
      <c r="E151" s="2" t="s">
        <v>148</v>
      </c>
      <c r="F151" s="2" t="s">
        <v>90</v>
      </c>
      <c r="G151" s="7">
        <v>10</v>
      </c>
    </row>
    <row r="152" spans="1:7">
      <c r="A152" s="2" t="s">
        <v>22</v>
      </c>
      <c r="B152" s="2" t="s">
        <v>158</v>
      </c>
      <c r="C152" s="4">
        <v>127.79</v>
      </c>
      <c r="D152" s="7">
        <v>16</v>
      </c>
      <c r="E152" s="2" t="s">
        <v>149</v>
      </c>
      <c r="F152" s="2" t="s">
        <v>90</v>
      </c>
      <c r="G152" s="7">
        <v>10</v>
      </c>
    </row>
    <row r="153" spans="1:7">
      <c r="A153" s="2" t="s">
        <v>22</v>
      </c>
      <c r="B153" s="2" t="s">
        <v>158</v>
      </c>
      <c r="C153" s="4">
        <v>128.24</v>
      </c>
      <c r="D153" s="7">
        <v>17</v>
      </c>
      <c r="E153" s="2" t="s">
        <v>150</v>
      </c>
      <c r="F153" s="2" t="s">
        <v>90</v>
      </c>
      <c r="G153" s="7">
        <v>11</v>
      </c>
    </row>
    <row r="154" spans="1:7">
      <c r="A154" s="2" t="s">
        <v>22</v>
      </c>
      <c r="B154" s="2" t="s">
        <v>158</v>
      </c>
      <c r="C154" s="4">
        <v>128.69</v>
      </c>
      <c r="D154" s="7">
        <v>18</v>
      </c>
      <c r="E154" s="2" t="s">
        <v>151</v>
      </c>
      <c r="F154" s="2" t="s">
        <v>93</v>
      </c>
      <c r="G154" s="7">
        <v>10</v>
      </c>
    </row>
    <row r="155" spans="1:7">
      <c r="A155" s="2" t="s">
        <v>22</v>
      </c>
      <c r="B155" s="2" t="s">
        <v>158</v>
      </c>
      <c r="C155" s="4">
        <v>129.15</v>
      </c>
      <c r="D155" s="7">
        <v>19</v>
      </c>
      <c r="E155" s="2" t="s">
        <v>152</v>
      </c>
      <c r="F155" s="2" t="s">
        <v>90</v>
      </c>
      <c r="G155" s="7">
        <v>11</v>
      </c>
    </row>
    <row r="156" spans="1:7">
      <c r="A156" s="2" t="s">
        <v>22</v>
      </c>
      <c r="B156" s="2" t="s">
        <v>158</v>
      </c>
      <c r="C156" s="4">
        <v>129.6</v>
      </c>
      <c r="D156" s="7">
        <v>20</v>
      </c>
      <c r="E156" s="2" t="s">
        <v>153</v>
      </c>
      <c r="F156" s="2" t="s">
        <v>90</v>
      </c>
      <c r="G156" s="7">
        <v>10</v>
      </c>
    </row>
    <row r="157" spans="1:7">
      <c r="A157" s="2" t="s">
        <v>22</v>
      </c>
      <c r="B157" s="2" t="s">
        <v>159</v>
      </c>
      <c r="C157" s="4">
        <v>131</v>
      </c>
      <c r="D157" s="7">
        <v>1</v>
      </c>
      <c r="E157" s="2" t="s">
        <v>149</v>
      </c>
      <c r="F157" s="2" t="s">
        <v>90</v>
      </c>
      <c r="G157" s="7">
        <v>11</v>
      </c>
    </row>
    <row r="158" spans="1:7">
      <c r="A158" s="2" t="s">
        <v>22</v>
      </c>
      <c r="B158" s="2" t="s">
        <v>159</v>
      </c>
      <c r="C158" s="4">
        <v>131.43</v>
      </c>
      <c r="D158" s="7">
        <v>2</v>
      </c>
      <c r="E158" s="2" t="s">
        <v>150</v>
      </c>
      <c r="F158" s="2" t="s">
        <v>90</v>
      </c>
      <c r="G158" s="7">
        <v>12</v>
      </c>
    </row>
    <row r="159" spans="1:7">
      <c r="A159" s="2" t="s">
        <v>22</v>
      </c>
      <c r="B159" s="2" t="s">
        <v>159</v>
      </c>
      <c r="C159" s="4">
        <v>131.86000000000001</v>
      </c>
      <c r="D159" s="7">
        <v>3</v>
      </c>
      <c r="E159" s="2" t="s">
        <v>151</v>
      </c>
      <c r="F159" s="2" t="s">
        <v>93</v>
      </c>
      <c r="G159" s="7">
        <v>11</v>
      </c>
    </row>
    <row r="160" spans="1:7">
      <c r="A160" s="2" t="s">
        <v>22</v>
      </c>
      <c r="B160" s="2" t="s">
        <v>159</v>
      </c>
      <c r="C160" s="4">
        <v>132.29</v>
      </c>
      <c r="D160" s="7">
        <v>4</v>
      </c>
      <c r="E160" s="2" t="s">
        <v>152</v>
      </c>
      <c r="F160" s="2" t="s">
        <v>90</v>
      </c>
      <c r="G160" s="7">
        <v>12</v>
      </c>
    </row>
    <row r="161" spans="1:7">
      <c r="A161" s="2" t="s">
        <v>22</v>
      </c>
      <c r="B161" s="2" t="s">
        <v>159</v>
      </c>
      <c r="C161" s="4">
        <v>132.72</v>
      </c>
      <c r="D161" s="7">
        <v>5</v>
      </c>
      <c r="E161" s="2" t="s">
        <v>153</v>
      </c>
      <c r="F161" s="2" t="s">
        <v>90</v>
      </c>
      <c r="G161" s="7">
        <v>11</v>
      </c>
    </row>
    <row r="162" spans="1:7">
      <c r="A162" s="2" t="s">
        <v>22</v>
      </c>
      <c r="B162" s="2" t="s">
        <v>159</v>
      </c>
      <c r="C162" s="4">
        <v>133.15</v>
      </c>
      <c r="D162" s="7">
        <v>6</v>
      </c>
      <c r="E162" s="2" t="s">
        <v>120</v>
      </c>
      <c r="F162" s="2" t="s">
        <v>96</v>
      </c>
      <c r="G162" s="7">
        <v>12</v>
      </c>
    </row>
    <row r="163" spans="1:7">
      <c r="A163" s="2" t="s">
        <v>22</v>
      </c>
      <c r="B163" s="2" t="s">
        <v>159</v>
      </c>
      <c r="C163" s="4">
        <v>133.58000000000001</v>
      </c>
      <c r="D163" s="7">
        <v>7</v>
      </c>
      <c r="E163" s="2" t="s">
        <v>115</v>
      </c>
      <c r="F163" s="2" t="s">
        <v>90</v>
      </c>
      <c r="G163" s="7">
        <v>11</v>
      </c>
    </row>
    <row r="164" spans="1:7">
      <c r="A164" s="2" t="s">
        <v>22</v>
      </c>
      <c r="B164" s="2" t="s">
        <v>159</v>
      </c>
      <c r="C164" s="4">
        <v>134.01</v>
      </c>
      <c r="D164" s="7">
        <v>8</v>
      </c>
      <c r="E164" s="2" t="s">
        <v>116</v>
      </c>
      <c r="F164" s="2" t="s">
        <v>90</v>
      </c>
      <c r="G164" s="7">
        <v>11</v>
      </c>
    </row>
    <row r="165" spans="1:7">
      <c r="A165" s="2" t="s">
        <v>22</v>
      </c>
      <c r="B165" s="2" t="s">
        <v>159</v>
      </c>
      <c r="C165" s="4">
        <v>134.44</v>
      </c>
      <c r="D165" s="7">
        <v>9</v>
      </c>
      <c r="E165" s="2" t="s">
        <v>117</v>
      </c>
      <c r="F165" s="2" t="s">
        <v>93</v>
      </c>
      <c r="G165" s="7">
        <v>12</v>
      </c>
    </row>
    <row r="166" spans="1:7">
      <c r="A166" s="2" t="s">
        <v>22</v>
      </c>
      <c r="B166" s="2" t="s">
        <v>159</v>
      </c>
      <c r="C166" s="4">
        <v>134.87</v>
      </c>
      <c r="D166" s="7">
        <v>10</v>
      </c>
      <c r="E166" s="2" t="s">
        <v>118</v>
      </c>
      <c r="F166" s="2" t="s">
        <v>90</v>
      </c>
      <c r="G166" s="7">
        <v>11</v>
      </c>
    </row>
    <row r="167" spans="1:7">
      <c r="A167" s="2" t="s">
        <v>22</v>
      </c>
      <c r="B167" s="2" t="s">
        <v>159</v>
      </c>
      <c r="C167" s="4">
        <v>135.30000000000001</v>
      </c>
      <c r="D167" s="7">
        <v>11</v>
      </c>
      <c r="E167" s="2" t="s">
        <v>122</v>
      </c>
      <c r="F167" s="2" t="s">
        <v>90</v>
      </c>
      <c r="G167" s="7">
        <v>12</v>
      </c>
    </row>
    <row r="168" spans="1:7">
      <c r="A168" s="2" t="s">
        <v>22</v>
      </c>
      <c r="B168" s="2" t="s">
        <v>159</v>
      </c>
      <c r="C168" s="4">
        <v>135.72999999999999</v>
      </c>
      <c r="D168" s="7">
        <v>12</v>
      </c>
      <c r="E168" s="2" t="s">
        <v>124</v>
      </c>
      <c r="F168" s="2" t="s">
        <v>90</v>
      </c>
      <c r="G168" s="7">
        <v>11</v>
      </c>
    </row>
    <row r="169" spans="1:7">
      <c r="A169" s="2" t="s">
        <v>22</v>
      </c>
      <c r="B169" s="2" t="s">
        <v>159</v>
      </c>
      <c r="C169" s="4">
        <v>136.16</v>
      </c>
      <c r="D169" s="7">
        <v>13</v>
      </c>
      <c r="E169" s="2" t="s">
        <v>125</v>
      </c>
      <c r="F169" s="2" t="s">
        <v>93</v>
      </c>
      <c r="G169" s="7">
        <v>12</v>
      </c>
    </row>
    <row r="170" spans="1:7">
      <c r="A170" s="2" t="s">
        <v>22</v>
      </c>
      <c r="B170" s="2" t="s">
        <v>159</v>
      </c>
      <c r="C170" s="4">
        <v>136.59</v>
      </c>
      <c r="D170" s="7">
        <v>14</v>
      </c>
      <c r="E170" s="2" t="s">
        <v>127</v>
      </c>
      <c r="F170" s="2" t="s">
        <v>90</v>
      </c>
      <c r="G170" s="7">
        <v>11</v>
      </c>
    </row>
    <row r="171" spans="1:7">
      <c r="A171" s="2" t="s">
        <v>22</v>
      </c>
      <c r="B171" s="2" t="s">
        <v>159</v>
      </c>
      <c r="C171" s="4">
        <v>137.02000000000001</v>
      </c>
      <c r="D171" s="7">
        <v>15</v>
      </c>
      <c r="E171" s="2" t="s">
        <v>128</v>
      </c>
      <c r="F171" s="2" t="s">
        <v>90</v>
      </c>
      <c r="G171" s="7">
        <v>11</v>
      </c>
    </row>
    <row r="172" spans="1:7">
      <c r="A172" s="2" t="s">
        <v>22</v>
      </c>
      <c r="B172" s="2" t="s">
        <v>159</v>
      </c>
      <c r="C172" s="4">
        <v>137.44999999999999</v>
      </c>
      <c r="D172" s="7">
        <v>16</v>
      </c>
      <c r="E172" s="2" t="s">
        <v>129</v>
      </c>
      <c r="F172" s="2" t="s">
        <v>96</v>
      </c>
      <c r="G172" s="7">
        <v>12</v>
      </c>
    </row>
    <row r="173" spans="1:7">
      <c r="A173" s="2" t="s">
        <v>22</v>
      </c>
      <c r="B173" s="2" t="s">
        <v>159</v>
      </c>
      <c r="C173" s="4">
        <v>137.88</v>
      </c>
      <c r="D173" s="7">
        <v>17</v>
      </c>
      <c r="E173" s="2" t="s">
        <v>130</v>
      </c>
      <c r="F173" s="2" t="s">
        <v>90</v>
      </c>
      <c r="G173" s="7">
        <v>11</v>
      </c>
    </row>
    <row r="174" spans="1:7">
      <c r="A174" s="2" t="s">
        <v>22</v>
      </c>
      <c r="B174" s="2" t="s">
        <v>159</v>
      </c>
      <c r="C174" s="4">
        <v>138.31</v>
      </c>
      <c r="D174" s="7">
        <v>18</v>
      </c>
      <c r="E174" s="2" t="s">
        <v>131</v>
      </c>
      <c r="F174" s="2" t="s">
        <v>90</v>
      </c>
      <c r="G174" s="7">
        <v>12</v>
      </c>
    </row>
    <row r="175" spans="1:7">
      <c r="A175" s="2" t="s">
        <v>22</v>
      </c>
      <c r="B175" s="2" t="s">
        <v>159</v>
      </c>
      <c r="C175" s="4">
        <v>138.74</v>
      </c>
      <c r="D175" s="7">
        <v>19</v>
      </c>
      <c r="E175" s="2" t="s">
        <v>133</v>
      </c>
      <c r="F175" s="2" t="s">
        <v>93</v>
      </c>
      <c r="G175" s="7">
        <v>11</v>
      </c>
    </row>
    <row r="176" spans="1:7">
      <c r="A176" s="2" t="s">
        <v>22</v>
      </c>
      <c r="B176" s="2" t="s">
        <v>159</v>
      </c>
      <c r="C176" s="4">
        <v>139.16999999999999</v>
      </c>
      <c r="D176" s="7">
        <v>20</v>
      </c>
      <c r="E176" s="2" t="s">
        <v>134</v>
      </c>
      <c r="F176" s="2" t="s">
        <v>90</v>
      </c>
      <c r="G176" s="7">
        <v>12</v>
      </c>
    </row>
    <row r="177" spans="1:7">
      <c r="A177" s="2" t="s">
        <v>22</v>
      </c>
      <c r="B177" s="2" t="s">
        <v>159</v>
      </c>
      <c r="C177" s="4">
        <v>139.6</v>
      </c>
      <c r="D177" s="7">
        <v>21</v>
      </c>
      <c r="E177" s="2" t="s">
        <v>135</v>
      </c>
      <c r="F177" s="2" t="s">
        <v>90</v>
      </c>
      <c r="G177" s="7">
        <v>11</v>
      </c>
    </row>
    <row r="178" spans="1:7">
      <c r="A178" s="2" t="s">
        <v>22</v>
      </c>
      <c r="B178" s="2" t="s">
        <v>160</v>
      </c>
      <c r="C178" s="4">
        <v>141</v>
      </c>
      <c r="D178" s="7">
        <v>1</v>
      </c>
      <c r="E178" s="2" t="s">
        <v>130</v>
      </c>
      <c r="F178" s="2" t="s">
        <v>90</v>
      </c>
      <c r="G178" s="7">
        <v>12</v>
      </c>
    </row>
    <row r="179" spans="1:7">
      <c r="A179" s="2" t="s">
        <v>22</v>
      </c>
      <c r="B179" s="2" t="s">
        <v>160</v>
      </c>
      <c r="C179" s="4">
        <v>141.38999999999999</v>
      </c>
      <c r="D179" s="7">
        <v>2</v>
      </c>
      <c r="E179" s="2" t="s">
        <v>131</v>
      </c>
      <c r="F179" s="2" t="s">
        <v>93</v>
      </c>
      <c r="G179" s="7">
        <v>13</v>
      </c>
    </row>
    <row r="180" spans="1:7">
      <c r="A180" s="2" t="s">
        <v>22</v>
      </c>
      <c r="B180" s="2" t="s">
        <v>160</v>
      </c>
      <c r="C180" s="4">
        <v>141.78</v>
      </c>
      <c r="D180" s="7">
        <v>3</v>
      </c>
      <c r="E180" s="2" t="s">
        <v>133</v>
      </c>
      <c r="F180" s="2" t="s">
        <v>90</v>
      </c>
      <c r="G180" s="7">
        <v>12</v>
      </c>
    </row>
    <row r="181" spans="1:7">
      <c r="A181" s="2" t="s">
        <v>22</v>
      </c>
      <c r="B181" s="2" t="s">
        <v>160</v>
      </c>
      <c r="C181" s="4">
        <v>142.16999999999999</v>
      </c>
      <c r="D181" s="7">
        <v>4</v>
      </c>
      <c r="E181" s="2" t="s">
        <v>134</v>
      </c>
      <c r="F181" s="2" t="s">
        <v>90</v>
      </c>
      <c r="G181" s="7">
        <v>13</v>
      </c>
    </row>
    <row r="182" spans="1:7">
      <c r="A182" s="2" t="s">
        <v>22</v>
      </c>
      <c r="B182" s="2" t="s">
        <v>160</v>
      </c>
      <c r="C182" s="4">
        <v>142.56</v>
      </c>
      <c r="D182" s="7">
        <v>5</v>
      </c>
      <c r="E182" s="2" t="s">
        <v>135</v>
      </c>
      <c r="F182" s="2" t="s">
        <v>90</v>
      </c>
      <c r="G182" s="7">
        <v>12</v>
      </c>
    </row>
    <row r="183" spans="1:7">
      <c r="A183" s="2" t="s">
        <v>22</v>
      </c>
      <c r="B183" s="2" t="s">
        <v>160</v>
      </c>
      <c r="C183" s="4">
        <v>142.94999999999999</v>
      </c>
      <c r="D183" s="7">
        <v>6</v>
      </c>
      <c r="E183" s="2" t="s">
        <v>136</v>
      </c>
      <c r="F183" s="2" t="s">
        <v>96</v>
      </c>
      <c r="G183" s="7">
        <v>13</v>
      </c>
    </row>
    <row r="184" spans="1:7">
      <c r="A184" s="2" t="s">
        <v>22</v>
      </c>
      <c r="B184" s="2" t="s">
        <v>160</v>
      </c>
      <c r="C184" s="4">
        <v>143.35</v>
      </c>
      <c r="D184" s="7">
        <v>7</v>
      </c>
      <c r="E184" s="2" t="s">
        <v>137</v>
      </c>
      <c r="F184" s="2" t="s">
        <v>90</v>
      </c>
      <c r="G184" s="7">
        <v>12</v>
      </c>
    </row>
    <row r="185" spans="1:7">
      <c r="A185" s="2" t="s">
        <v>22</v>
      </c>
      <c r="B185" s="2" t="s">
        <v>160</v>
      </c>
      <c r="C185" s="4">
        <v>143.74</v>
      </c>
      <c r="D185" s="7">
        <v>8</v>
      </c>
      <c r="E185" s="2" t="s">
        <v>138</v>
      </c>
      <c r="F185" s="2" t="s">
        <v>93</v>
      </c>
      <c r="G185" s="7">
        <v>13</v>
      </c>
    </row>
    <row r="186" spans="1:7">
      <c r="A186" s="2" t="s">
        <v>22</v>
      </c>
      <c r="B186" s="2" t="s">
        <v>160</v>
      </c>
      <c r="C186" s="4">
        <v>144.13</v>
      </c>
      <c r="D186" s="7">
        <v>9</v>
      </c>
      <c r="E186" s="2" t="s">
        <v>140</v>
      </c>
      <c r="F186" s="2" t="s">
        <v>90</v>
      </c>
      <c r="G186" s="7">
        <v>12</v>
      </c>
    </row>
    <row r="187" spans="1:7">
      <c r="A187" s="2" t="s">
        <v>22</v>
      </c>
      <c r="B187" s="2" t="s">
        <v>160</v>
      </c>
      <c r="C187" s="4">
        <v>144.52000000000001</v>
      </c>
      <c r="D187" s="7">
        <v>10</v>
      </c>
      <c r="E187" s="2" t="s">
        <v>141</v>
      </c>
      <c r="F187" s="2" t="s">
        <v>90</v>
      </c>
      <c r="G187" s="7">
        <v>13</v>
      </c>
    </row>
    <row r="188" spans="1:7">
      <c r="A188" s="2" t="s">
        <v>22</v>
      </c>
      <c r="B188" s="2" t="s">
        <v>160</v>
      </c>
      <c r="C188" s="4">
        <v>144.91</v>
      </c>
      <c r="D188" s="7">
        <v>11</v>
      </c>
      <c r="E188" s="2" t="s">
        <v>142</v>
      </c>
      <c r="F188" s="2" t="s">
        <v>90</v>
      </c>
      <c r="G188" s="7">
        <v>12</v>
      </c>
    </row>
    <row r="189" spans="1:7">
      <c r="A189" s="2" t="s">
        <v>22</v>
      </c>
      <c r="B189" s="2" t="s">
        <v>160</v>
      </c>
      <c r="C189" s="4">
        <v>145.30000000000001</v>
      </c>
      <c r="D189" s="7">
        <v>12</v>
      </c>
      <c r="E189" s="2" t="s">
        <v>143</v>
      </c>
      <c r="F189" s="2" t="s">
        <v>93</v>
      </c>
      <c r="G189" s="7">
        <v>13</v>
      </c>
    </row>
    <row r="190" spans="1:7">
      <c r="A190" s="2" t="s">
        <v>22</v>
      </c>
      <c r="B190" s="2" t="s">
        <v>160</v>
      </c>
      <c r="C190" s="4">
        <v>145.69</v>
      </c>
      <c r="D190" s="7">
        <v>13</v>
      </c>
      <c r="E190" s="2" t="s">
        <v>144</v>
      </c>
      <c r="F190" s="2" t="s">
        <v>90</v>
      </c>
      <c r="G190" s="7">
        <v>12</v>
      </c>
    </row>
    <row r="191" spans="1:7">
      <c r="A191" s="2" t="s">
        <v>22</v>
      </c>
      <c r="B191" s="2" t="s">
        <v>160</v>
      </c>
      <c r="C191" s="4">
        <v>146.08000000000001</v>
      </c>
      <c r="D191" s="7">
        <v>14</v>
      </c>
      <c r="E191" s="2" t="s">
        <v>145</v>
      </c>
      <c r="F191" s="2" t="s">
        <v>90</v>
      </c>
      <c r="G191" s="7">
        <v>13</v>
      </c>
    </row>
    <row r="192" spans="1:7">
      <c r="A192" s="2" t="s">
        <v>22</v>
      </c>
      <c r="B192" s="2" t="s">
        <v>160</v>
      </c>
      <c r="C192" s="4">
        <v>146.47</v>
      </c>
      <c r="D192" s="7">
        <v>15</v>
      </c>
      <c r="E192" s="2" t="s">
        <v>146</v>
      </c>
      <c r="F192" s="2" t="s">
        <v>90</v>
      </c>
      <c r="G192" s="7">
        <v>12</v>
      </c>
    </row>
    <row r="193" spans="1:7">
      <c r="A193" s="2" t="s">
        <v>22</v>
      </c>
      <c r="B193" s="2" t="s">
        <v>160</v>
      </c>
      <c r="C193" s="4">
        <v>146.86000000000001</v>
      </c>
      <c r="D193" s="7">
        <v>16</v>
      </c>
      <c r="E193" s="2" t="s">
        <v>148</v>
      </c>
      <c r="F193" s="2" t="s">
        <v>93</v>
      </c>
      <c r="G193" s="7">
        <v>13</v>
      </c>
    </row>
    <row r="194" spans="1:7">
      <c r="A194" s="2" t="s">
        <v>22</v>
      </c>
      <c r="B194" s="2" t="s">
        <v>160</v>
      </c>
      <c r="C194" s="4">
        <v>147.25</v>
      </c>
      <c r="D194" s="7">
        <v>17</v>
      </c>
      <c r="E194" s="2" t="s">
        <v>149</v>
      </c>
      <c r="F194" s="2" t="s">
        <v>90</v>
      </c>
      <c r="G194" s="7">
        <v>12</v>
      </c>
    </row>
    <row r="195" spans="1:7">
      <c r="A195" s="2" t="s">
        <v>22</v>
      </c>
      <c r="B195" s="2" t="s">
        <v>160</v>
      </c>
      <c r="C195" s="4">
        <v>147.65</v>
      </c>
      <c r="D195" s="7">
        <v>18</v>
      </c>
      <c r="E195" s="2" t="s">
        <v>150</v>
      </c>
      <c r="F195" s="2" t="s">
        <v>96</v>
      </c>
      <c r="G195" s="7">
        <v>13</v>
      </c>
    </row>
    <row r="196" spans="1:7">
      <c r="A196" s="2" t="s">
        <v>22</v>
      </c>
      <c r="B196" s="2" t="s">
        <v>160</v>
      </c>
      <c r="C196" s="4">
        <v>148.04</v>
      </c>
      <c r="D196" s="7">
        <v>19</v>
      </c>
      <c r="E196" s="2" t="s">
        <v>151</v>
      </c>
      <c r="F196" s="2" t="s">
        <v>90</v>
      </c>
      <c r="G196" s="7">
        <v>12</v>
      </c>
    </row>
    <row r="197" spans="1:7">
      <c r="A197" s="2" t="s">
        <v>22</v>
      </c>
      <c r="B197" s="2" t="s">
        <v>160</v>
      </c>
      <c r="C197" s="4">
        <v>148.43</v>
      </c>
      <c r="D197" s="7">
        <v>20</v>
      </c>
      <c r="E197" s="2" t="s">
        <v>152</v>
      </c>
      <c r="F197" s="2" t="s">
        <v>90</v>
      </c>
      <c r="G197" s="7">
        <v>13</v>
      </c>
    </row>
    <row r="198" spans="1:7">
      <c r="A198" s="2" t="s">
        <v>22</v>
      </c>
      <c r="B198" s="2" t="s">
        <v>160</v>
      </c>
      <c r="C198" s="4">
        <v>148.82</v>
      </c>
      <c r="D198" s="7">
        <v>21</v>
      </c>
      <c r="E198" s="2" t="s">
        <v>153</v>
      </c>
      <c r="F198" s="2" t="s">
        <v>90</v>
      </c>
      <c r="G198" s="7">
        <v>12</v>
      </c>
    </row>
    <row r="199" spans="1:7">
      <c r="A199" s="2" t="s">
        <v>22</v>
      </c>
      <c r="B199" s="2" t="s">
        <v>160</v>
      </c>
      <c r="C199" s="4">
        <v>149.21</v>
      </c>
      <c r="D199" s="7">
        <v>22</v>
      </c>
      <c r="E199" s="2" t="s">
        <v>120</v>
      </c>
      <c r="F199" s="2" t="s">
        <v>93</v>
      </c>
      <c r="G199" s="7">
        <v>13</v>
      </c>
    </row>
    <row r="200" spans="1:7">
      <c r="A200" s="2" t="s">
        <v>22</v>
      </c>
      <c r="B200" s="2" t="s">
        <v>160</v>
      </c>
      <c r="C200" s="4">
        <v>149.6</v>
      </c>
      <c r="D200" s="7">
        <v>23</v>
      </c>
      <c r="E200" s="2" t="s">
        <v>115</v>
      </c>
      <c r="F200" s="2" t="s">
        <v>90</v>
      </c>
      <c r="G200" s="7">
        <v>12</v>
      </c>
    </row>
    <row r="201" spans="1:7">
      <c r="A201" s="2" t="s">
        <v>22</v>
      </c>
      <c r="B201" s="2" t="s">
        <v>161</v>
      </c>
      <c r="C201" s="4">
        <v>151</v>
      </c>
      <c r="D201" s="7">
        <v>1</v>
      </c>
      <c r="E201" s="2" t="s">
        <v>151</v>
      </c>
      <c r="F201" s="2" t="s">
        <v>90</v>
      </c>
      <c r="G201" s="7">
        <v>13</v>
      </c>
    </row>
    <row r="202" spans="1:7">
      <c r="A202" s="2" t="s">
        <v>22</v>
      </c>
      <c r="B202" s="2" t="s">
        <v>161</v>
      </c>
      <c r="C202" s="4">
        <v>151.37</v>
      </c>
      <c r="D202" s="7">
        <v>2</v>
      </c>
      <c r="E202" s="2" t="s">
        <v>152</v>
      </c>
      <c r="F202" s="2" t="s">
        <v>90</v>
      </c>
      <c r="G202" s="7">
        <v>14</v>
      </c>
    </row>
    <row r="203" spans="1:7">
      <c r="A203" s="2" t="s">
        <v>22</v>
      </c>
      <c r="B203" s="2" t="s">
        <v>161</v>
      </c>
      <c r="C203" s="4">
        <v>151.75</v>
      </c>
      <c r="D203" s="7">
        <v>3</v>
      </c>
      <c r="E203" s="2" t="s">
        <v>153</v>
      </c>
      <c r="F203" s="2" t="s">
        <v>93</v>
      </c>
      <c r="G203" s="7">
        <v>13</v>
      </c>
    </row>
    <row r="204" spans="1:7">
      <c r="A204" s="2" t="s">
        <v>22</v>
      </c>
      <c r="B204" s="2" t="s">
        <v>161</v>
      </c>
      <c r="C204" s="4">
        <v>152.12</v>
      </c>
      <c r="D204" s="7">
        <v>4</v>
      </c>
      <c r="E204" s="2" t="s">
        <v>120</v>
      </c>
      <c r="F204" s="2" t="s">
        <v>90</v>
      </c>
      <c r="G204" s="7">
        <v>14</v>
      </c>
    </row>
    <row r="205" spans="1:7">
      <c r="A205" s="2" t="s">
        <v>22</v>
      </c>
      <c r="B205" s="2" t="s">
        <v>161</v>
      </c>
      <c r="C205" s="4">
        <v>152.5</v>
      </c>
      <c r="D205" s="7">
        <v>5</v>
      </c>
      <c r="E205" s="2" t="s">
        <v>115</v>
      </c>
      <c r="F205" s="2" t="s">
        <v>90</v>
      </c>
      <c r="G205" s="7">
        <v>13</v>
      </c>
    </row>
    <row r="206" spans="1:7">
      <c r="A206" s="2" t="s">
        <v>22</v>
      </c>
      <c r="B206" s="2" t="s">
        <v>161</v>
      </c>
      <c r="C206" s="4">
        <v>152.87</v>
      </c>
      <c r="D206" s="7">
        <v>6</v>
      </c>
      <c r="E206" s="2" t="s">
        <v>116</v>
      </c>
      <c r="F206" s="2" t="s">
        <v>96</v>
      </c>
      <c r="G206" s="7">
        <v>14</v>
      </c>
    </row>
    <row r="207" spans="1:7">
      <c r="A207" s="2" t="s">
        <v>22</v>
      </c>
      <c r="B207" s="2" t="s">
        <v>161</v>
      </c>
      <c r="C207" s="4">
        <v>153.24</v>
      </c>
      <c r="D207" s="7">
        <v>7</v>
      </c>
      <c r="E207" s="2" t="s">
        <v>117</v>
      </c>
      <c r="F207" s="2" t="s">
        <v>90</v>
      </c>
      <c r="G207" s="7">
        <v>13</v>
      </c>
    </row>
    <row r="208" spans="1:7">
      <c r="A208" s="2" t="s">
        <v>22</v>
      </c>
      <c r="B208" s="2" t="s">
        <v>161</v>
      </c>
      <c r="C208" s="4">
        <v>153.62</v>
      </c>
      <c r="D208" s="7">
        <v>8</v>
      </c>
      <c r="E208" s="2" t="s">
        <v>118</v>
      </c>
      <c r="F208" s="2" t="s">
        <v>90</v>
      </c>
      <c r="G208" s="7">
        <v>14</v>
      </c>
    </row>
    <row r="209" spans="1:7">
      <c r="A209" s="2" t="s">
        <v>22</v>
      </c>
      <c r="B209" s="2" t="s">
        <v>161</v>
      </c>
      <c r="C209" s="4">
        <v>153.99</v>
      </c>
      <c r="D209" s="7">
        <v>9</v>
      </c>
      <c r="E209" s="2" t="s">
        <v>122</v>
      </c>
      <c r="F209" s="2" t="s">
        <v>93</v>
      </c>
      <c r="G209" s="7">
        <v>13</v>
      </c>
    </row>
    <row r="210" spans="1:7">
      <c r="A210" s="2" t="s">
        <v>22</v>
      </c>
      <c r="B210" s="2" t="s">
        <v>161</v>
      </c>
      <c r="C210" s="4">
        <v>154.37</v>
      </c>
      <c r="D210" s="7">
        <v>10</v>
      </c>
      <c r="E210" s="2" t="s">
        <v>124</v>
      </c>
      <c r="F210" s="2" t="s">
        <v>90</v>
      </c>
      <c r="G210" s="7">
        <v>14</v>
      </c>
    </row>
    <row r="211" spans="1:7">
      <c r="A211" s="2" t="s">
        <v>22</v>
      </c>
      <c r="B211" s="2" t="s">
        <v>161</v>
      </c>
      <c r="C211" s="4">
        <v>154.74</v>
      </c>
      <c r="D211" s="7">
        <v>11</v>
      </c>
      <c r="E211" s="2" t="s">
        <v>125</v>
      </c>
      <c r="F211" s="2" t="s">
        <v>90</v>
      </c>
      <c r="G211" s="7">
        <v>13</v>
      </c>
    </row>
    <row r="212" spans="1:7">
      <c r="A212" s="2" t="s">
        <v>22</v>
      </c>
      <c r="B212" s="2" t="s">
        <v>161</v>
      </c>
      <c r="C212" s="4">
        <v>155.11000000000001</v>
      </c>
      <c r="D212" s="7">
        <v>12</v>
      </c>
      <c r="E212" s="2" t="s">
        <v>127</v>
      </c>
      <c r="F212" s="2" t="s">
        <v>90</v>
      </c>
      <c r="G212" s="7">
        <v>14</v>
      </c>
    </row>
    <row r="213" spans="1:7">
      <c r="A213" s="2" t="s">
        <v>22</v>
      </c>
      <c r="B213" s="2" t="s">
        <v>161</v>
      </c>
      <c r="C213" s="4">
        <v>155.49</v>
      </c>
      <c r="D213" s="7">
        <v>13</v>
      </c>
      <c r="E213" s="2" t="s">
        <v>128</v>
      </c>
      <c r="F213" s="2" t="s">
        <v>93</v>
      </c>
      <c r="G213" s="7">
        <v>13</v>
      </c>
    </row>
    <row r="214" spans="1:7">
      <c r="A214" s="2" t="s">
        <v>22</v>
      </c>
      <c r="B214" s="2" t="s">
        <v>161</v>
      </c>
      <c r="C214" s="4">
        <v>155.86000000000001</v>
      </c>
      <c r="D214" s="7">
        <v>14</v>
      </c>
      <c r="E214" s="2" t="s">
        <v>129</v>
      </c>
      <c r="F214" s="2" t="s">
        <v>90</v>
      </c>
      <c r="G214" s="7">
        <v>14</v>
      </c>
    </row>
    <row r="215" spans="1:7">
      <c r="A215" s="2" t="s">
        <v>22</v>
      </c>
      <c r="B215" s="2" t="s">
        <v>161</v>
      </c>
      <c r="C215" s="4">
        <v>156.22999999999999</v>
      </c>
      <c r="D215" s="7">
        <v>15</v>
      </c>
      <c r="E215" s="2" t="s">
        <v>130</v>
      </c>
      <c r="F215" s="2" t="s">
        <v>90</v>
      </c>
      <c r="G215" s="7">
        <v>13</v>
      </c>
    </row>
    <row r="216" spans="1:7">
      <c r="A216" s="2" t="s">
        <v>22</v>
      </c>
      <c r="B216" s="2" t="s">
        <v>161</v>
      </c>
      <c r="C216" s="4">
        <v>156.61000000000001</v>
      </c>
      <c r="D216" s="7">
        <v>16</v>
      </c>
      <c r="E216" s="2" t="s">
        <v>131</v>
      </c>
      <c r="F216" s="2" t="s">
        <v>90</v>
      </c>
      <c r="G216" s="7">
        <v>14</v>
      </c>
    </row>
    <row r="217" spans="1:7">
      <c r="A217" s="2" t="s">
        <v>22</v>
      </c>
      <c r="B217" s="2" t="s">
        <v>161</v>
      </c>
      <c r="C217" s="4">
        <v>156.97999999999999</v>
      </c>
      <c r="D217" s="7">
        <v>17</v>
      </c>
      <c r="E217" s="2" t="s">
        <v>133</v>
      </c>
      <c r="F217" s="2" t="s">
        <v>93</v>
      </c>
      <c r="G217" s="7">
        <v>13</v>
      </c>
    </row>
    <row r="218" spans="1:7">
      <c r="A218" s="2" t="s">
        <v>22</v>
      </c>
      <c r="B218" s="2" t="s">
        <v>161</v>
      </c>
      <c r="C218" s="4">
        <v>157.36000000000001</v>
      </c>
      <c r="D218" s="7">
        <v>18</v>
      </c>
      <c r="E218" s="2" t="s">
        <v>134</v>
      </c>
      <c r="F218" s="2" t="s">
        <v>90</v>
      </c>
      <c r="G218" s="7">
        <v>14</v>
      </c>
    </row>
    <row r="219" spans="1:7">
      <c r="A219" s="2" t="s">
        <v>22</v>
      </c>
      <c r="B219" s="2" t="s">
        <v>161</v>
      </c>
      <c r="C219" s="4">
        <v>157.72999999999999</v>
      </c>
      <c r="D219" s="7">
        <v>19</v>
      </c>
      <c r="E219" s="2" t="s">
        <v>135</v>
      </c>
      <c r="F219" s="2" t="s">
        <v>96</v>
      </c>
      <c r="G219" s="7">
        <v>13</v>
      </c>
    </row>
    <row r="220" spans="1:7">
      <c r="A220" s="2" t="s">
        <v>22</v>
      </c>
      <c r="B220" s="2" t="s">
        <v>161</v>
      </c>
      <c r="C220" s="4">
        <v>158.1</v>
      </c>
      <c r="D220" s="7">
        <v>20</v>
      </c>
      <c r="E220" s="2" t="s">
        <v>136</v>
      </c>
      <c r="F220" s="2" t="s">
        <v>90</v>
      </c>
      <c r="G220" s="7">
        <v>14</v>
      </c>
    </row>
    <row r="221" spans="1:7">
      <c r="A221" s="2" t="s">
        <v>22</v>
      </c>
      <c r="B221" s="2" t="s">
        <v>161</v>
      </c>
      <c r="C221" s="4">
        <v>158.47999999999999</v>
      </c>
      <c r="D221" s="7">
        <v>21</v>
      </c>
      <c r="E221" s="2" t="s">
        <v>137</v>
      </c>
      <c r="F221" s="2" t="s">
        <v>90</v>
      </c>
      <c r="G221" s="7">
        <v>13</v>
      </c>
    </row>
    <row r="222" spans="1:7">
      <c r="A222" s="2" t="s">
        <v>22</v>
      </c>
      <c r="B222" s="2" t="s">
        <v>161</v>
      </c>
      <c r="C222" s="4">
        <v>158.85</v>
      </c>
      <c r="D222" s="7">
        <v>22</v>
      </c>
      <c r="E222" s="2" t="s">
        <v>138</v>
      </c>
      <c r="F222" s="2" t="s">
        <v>90</v>
      </c>
      <c r="G222" s="7">
        <v>14</v>
      </c>
    </row>
    <row r="223" spans="1:7">
      <c r="A223" s="2" t="s">
        <v>22</v>
      </c>
      <c r="B223" s="2" t="s">
        <v>161</v>
      </c>
      <c r="C223" s="4">
        <v>159.22999999999999</v>
      </c>
      <c r="D223" s="7">
        <v>23</v>
      </c>
      <c r="E223" s="2" t="s">
        <v>140</v>
      </c>
      <c r="F223" s="2" t="s">
        <v>93</v>
      </c>
      <c r="G223" s="7">
        <v>13</v>
      </c>
    </row>
    <row r="224" spans="1:7">
      <c r="A224" s="2" t="s">
        <v>22</v>
      </c>
      <c r="B224" s="2" t="s">
        <v>161</v>
      </c>
      <c r="C224" s="4">
        <v>159.6</v>
      </c>
      <c r="D224" s="7">
        <v>24</v>
      </c>
      <c r="E224" s="2" t="s">
        <v>141</v>
      </c>
      <c r="F224" s="2" t="s">
        <v>90</v>
      </c>
      <c r="G224" s="7">
        <v>14</v>
      </c>
    </row>
    <row r="225" spans="1:7">
      <c r="A225" s="2" t="s">
        <v>22</v>
      </c>
      <c r="B225" s="2" t="s">
        <v>162</v>
      </c>
      <c r="C225" s="4">
        <v>161</v>
      </c>
      <c r="D225" s="7">
        <v>1</v>
      </c>
      <c r="E225" s="2" t="s">
        <v>136</v>
      </c>
      <c r="F225" s="2" t="s">
        <v>90</v>
      </c>
      <c r="G225" s="7">
        <v>15</v>
      </c>
    </row>
    <row r="226" spans="1:7">
      <c r="A226" s="2" t="s">
        <v>22</v>
      </c>
      <c r="B226" s="2" t="s">
        <v>162</v>
      </c>
      <c r="C226" s="4">
        <v>161.34</v>
      </c>
      <c r="D226" s="7">
        <v>2</v>
      </c>
      <c r="E226" s="2" t="s">
        <v>137</v>
      </c>
      <c r="F226" s="2" t="s">
        <v>93</v>
      </c>
      <c r="G226" s="7">
        <v>14</v>
      </c>
    </row>
    <row r="227" spans="1:7">
      <c r="A227" s="2" t="s">
        <v>22</v>
      </c>
      <c r="B227" s="2" t="s">
        <v>162</v>
      </c>
      <c r="C227" s="4">
        <v>161.69</v>
      </c>
      <c r="D227" s="7">
        <v>3</v>
      </c>
      <c r="E227" s="2" t="s">
        <v>138</v>
      </c>
      <c r="F227" s="2" t="s">
        <v>90</v>
      </c>
      <c r="G227" s="7">
        <v>15</v>
      </c>
    </row>
    <row r="228" spans="1:7">
      <c r="A228" s="2" t="s">
        <v>22</v>
      </c>
      <c r="B228" s="2" t="s">
        <v>162</v>
      </c>
      <c r="C228" s="4">
        <v>162.03</v>
      </c>
      <c r="D228" s="7">
        <v>4</v>
      </c>
      <c r="E228" s="2" t="s">
        <v>140</v>
      </c>
      <c r="F228" s="2" t="s">
        <v>90</v>
      </c>
      <c r="G228" s="7">
        <v>14</v>
      </c>
    </row>
    <row r="229" spans="1:7">
      <c r="A229" s="2" t="s">
        <v>22</v>
      </c>
      <c r="B229" s="2" t="s">
        <v>162</v>
      </c>
      <c r="C229" s="4">
        <v>162.38</v>
      </c>
      <c r="D229" s="7">
        <v>5</v>
      </c>
      <c r="E229" s="2" t="s">
        <v>141</v>
      </c>
      <c r="F229" s="2" t="s">
        <v>90</v>
      </c>
      <c r="G229" s="7">
        <v>15</v>
      </c>
    </row>
    <row r="230" spans="1:7">
      <c r="A230" s="2" t="s">
        <v>22</v>
      </c>
      <c r="B230" s="2" t="s">
        <v>162</v>
      </c>
      <c r="C230" s="4">
        <v>162.72</v>
      </c>
      <c r="D230" s="7">
        <v>6</v>
      </c>
      <c r="E230" s="2" t="s">
        <v>142</v>
      </c>
      <c r="F230" s="2" t="s">
        <v>96</v>
      </c>
      <c r="G230" s="7">
        <v>14</v>
      </c>
    </row>
    <row r="231" spans="1:7">
      <c r="A231" s="2" t="s">
        <v>22</v>
      </c>
      <c r="B231" s="2" t="s">
        <v>162</v>
      </c>
      <c r="C231" s="4">
        <v>163.06</v>
      </c>
      <c r="D231" s="7">
        <v>7</v>
      </c>
      <c r="E231" s="2" t="s">
        <v>143</v>
      </c>
      <c r="F231" s="2" t="s">
        <v>90</v>
      </c>
      <c r="G231" s="7">
        <v>15</v>
      </c>
    </row>
    <row r="232" spans="1:7">
      <c r="A232" s="2" t="s">
        <v>22</v>
      </c>
      <c r="B232" s="2" t="s">
        <v>162</v>
      </c>
      <c r="C232" s="4">
        <v>163.41</v>
      </c>
      <c r="D232" s="7">
        <v>8</v>
      </c>
      <c r="E232" s="2" t="s">
        <v>144</v>
      </c>
      <c r="F232" s="2" t="s">
        <v>93</v>
      </c>
      <c r="G232" s="7">
        <v>14</v>
      </c>
    </row>
    <row r="233" spans="1:7">
      <c r="A233" s="2" t="s">
        <v>22</v>
      </c>
      <c r="B233" s="2" t="s">
        <v>162</v>
      </c>
      <c r="C233" s="4">
        <v>163.75</v>
      </c>
      <c r="D233" s="7">
        <v>9</v>
      </c>
      <c r="E233" s="2" t="s">
        <v>145</v>
      </c>
      <c r="F233" s="2" t="s">
        <v>90</v>
      </c>
      <c r="G233" s="7">
        <v>15</v>
      </c>
    </row>
    <row r="234" spans="1:7">
      <c r="A234" s="2" t="s">
        <v>22</v>
      </c>
      <c r="B234" s="2" t="s">
        <v>162</v>
      </c>
      <c r="C234" s="4">
        <v>164.1</v>
      </c>
      <c r="D234" s="7">
        <v>10</v>
      </c>
      <c r="E234" s="2" t="s">
        <v>146</v>
      </c>
      <c r="F234" s="2" t="s">
        <v>90</v>
      </c>
      <c r="G234" s="7">
        <v>14</v>
      </c>
    </row>
    <row r="235" spans="1:7">
      <c r="A235" s="2" t="s">
        <v>22</v>
      </c>
      <c r="B235" s="2" t="s">
        <v>162</v>
      </c>
      <c r="C235" s="4">
        <v>164.44</v>
      </c>
      <c r="D235" s="7">
        <v>11</v>
      </c>
      <c r="E235" s="2" t="s">
        <v>148</v>
      </c>
      <c r="F235" s="2" t="s">
        <v>90</v>
      </c>
      <c r="G235" s="7">
        <v>15</v>
      </c>
    </row>
    <row r="236" spans="1:7">
      <c r="A236" s="2" t="s">
        <v>22</v>
      </c>
      <c r="B236" s="2" t="s">
        <v>162</v>
      </c>
      <c r="C236" s="4">
        <v>164.78</v>
      </c>
      <c r="D236" s="7">
        <v>12</v>
      </c>
      <c r="E236" s="2" t="s">
        <v>149</v>
      </c>
      <c r="F236" s="2" t="s">
        <v>93</v>
      </c>
      <c r="G236" s="7">
        <v>14</v>
      </c>
    </row>
    <row r="237" spans="1:7">
      <c r="A237" s="2" t="s">
        <v>22</v>
      </c>
      <c r="B237" s="2" t="s">
        <v>162</v>
      </c>
      <c r="C237" s="4">
        <v>165.13</v>
      </c>
      <c r="D237" s="7">
        <v>13</v>
      </c>
      <c r="E237" s="2" t="s">
        <v>150</v>
      </c>
      <c r="F237" s="2" t="s">
        <v>90</v>
      </c>
      <c r="G237" s="7">
        <v>15</v>
      </c>
    </row>
    <row r="238" spans="1:7">
      <c r="A238" s="2" t="s">
        <v>22</v>
      </c>
      <c r="B238" s="2" t="s">
        <v>162</v>
      </c>
      <c r="C238" s="4">
        <v>165.47</v>
      </c>
      <c r="D238" s="7">
        <v>14</v>
      </c>
      <c r="E238" s="2" t="s">
        <v>151</v>
      </c>
      <c r="F238" s="2" t="s">
        <v>90</v>
      </c>
      <c r="G238" s="7">
        <v>15</v>
      </c>
    </row>
    <row r="239" spans="1:7">
      <c r="A239" s="2" t="s">
        <v>22</v>
      </c>
      <c r="B239" s="2" t="s">
        <v>162</v>
      </c>
      <c r="C239" s="4">
        <v>165.82</v>
      </c>
      <c r="D239" s="7">
        <v>15</v>
      </c>
      <c r="E239" s="2" t="s">
        <v>152</v>
      </c>
      <c r="F239" s="2" t="s">
        <v>93</v>
      </c>
      <c r="G239" s="7">
        <v>14</v>
      </c>
    </row>
    <row r="240" spans="1:7">
      <c r="A240" s="2" t="s">
        <v>22</v>
      </c>
      <c r="B240" s="2" t="s">
        <v>162</v>
      </c>
      <c r="C240" s="4">
        <v>166.16</v>
      </c>
      <c r="D240" s="7">
        <v>16</v>
      </c>
      <c r="E240" s="2" t="s">
        <v>153</v>
      </c>
      <c r="F240" s="2" t="s">
        <v>90</v>
      </c>
      <c r="G240" s="7">
        <v>15</v>
      </c>
    </row>
    <row r="241" spans="1:7">
      <c r="A241" s="2" t="s">
        <v>22</v>
      </c>
      <c r="B241" s="2" t="s">
        <v>162</v>
      </c>
      <c r="C241" s="4">
        <v>166.5</v>
      </c>
      <c r="D241" s="7">
        <v>17</v>
      </c>
      <c r="E241" s="2" t="s">
        <v>120</v>
      </c>
      <c r="F241" s="2" t="s">
        <v>90</v>
      </c>
      <c r="G241" s="7">
        <v>14</v>
      </c>
    </row>
    <row r="242" spans="1:7">
      <c r="A242" s="2" t="s">
        <v>22</v>
      </c>
      <c r="B242" s="2" t="s">
        <v>162</v>
      </c>
      <c r="C242" s="4">
        <v>166.85</v>
      </c>
      <c r="D242" s="7">
        <v>18</v>
      </c>
      <c r="E242" s="2" t="s">
        <v>115</v>
      </c>
      <c r="F242" s="2" t="s">
        <v>90</v>
      </c>
      <c r="G242" s="7">
        <v>15</v>
      </c>
    </row>
    <row r="243" spans="1:7">
      <c r="A243" s="2" t="s">
        <v>22</v>
      </c>
      <c r="B243" s="2" t="s">
        <v>162</v>
      </c>
      <c r="C243" s="4">
        <v>167.19</v>
      </c>
      <c r="D243" s="7">
        <v>19</v>
      </c>
      <c r="E243" s="2" t="s">
        <v>116</v>
      </c>
      <c r="F243" s="2" t="s">
        <v>96</v>
      </c>
      <c r="G243" s="7">
        <v>14</v>
      </c>
    </row>
    <row r="244" spans="1:7">
      <c r="A244" s="2" t="s">
        <v>22</v>
      </c>
      <c r="B244" s="2" t="s">
        <v>162</v>
      </c>
      <c r="C244" s="4">
        <v>167.54</v>
      </c>
      <c r="D244" s="7">
        <v>20</v>
      </c>
      <c r="E244" s="2" t="s">
        <v>117</v>
      </c>
      <c r="F244" s="2" t="s">
        <v>90</v>
      </c>
      <c r="G244" s="7">
        <v>15</v>
      </c>
    </row>
    <row r="245" spans="1:7">
      <c r="A245" s="2" t="s">
        <v>22</v>
      </c>
      <c r="B245" s="2" t="s">
        <v>162</v>
      </c>
      <c r="C245" s="4">
        <v>167.88</v>
      </c>
      <c r="D245" s="7">
        <v>21</v>
      </c>
      <c r="E245" s="2" t="s">
        <v>118</v>
      </c>
      <c r="F245" s="2" t="s">
        <v>93</v>
      </c>
      <c r="G245" s="7">
        <v>14</v>
      </c>
    </row>
    <row r="246" spans="1:7">
      <c r="A246" s="2" t="s">
        <v>22</v>
      </c>
      <c r="B246" s="2" t="s">
        <v>162</v>
      </c>
      <c r="C246" s="4">
        <v>168.22</v>
      </c>
      <c r="D246" s="7">
        <v>22</v>
      </c>
      <c r="E246" s="2" t="s">
        <v>122</v>
      </c>
      <c r="F246" s="2" t="s">
        <v>90</v>
      </c>
      <c r="G246" s="7">
        <v>15</v>
      </c>
    </row>
    <row r="247" spans="1:7">
      <c r="A247" s="2" t="s">
        <v>22</v>
      </c>
      <c r="B247" s="2" t="s">
        <v>162</v>
      </c>
      <c r="C247" s="4">
        <v>168.57</v>
      </c>
      <c r="D247" s="7">
        <v>23</v>
      </c>
      <c r="E247" s="2" t="s">
        <v>124</v>
      </c>
      <c r="F247" s="2" t="s">
        <v>90</v>
      </c>
      <c r="G247" s="7">
        <v>14</v>
      </c>
    </row>
    <row r="248" spans="1:7">
      <c r="A248" s="2" t="s">
        <v>22</v>
      </c>
      <c r="B248" s="2" t="s">
        <v>162</v>
      </c>
      <c r="C248" s="4">
        <v>168.91</v>
      </c>
      <c r="D248" s="7">
        <v>24</v>
      </c>
      <c r="E248" s="2" t="s">
        <v>125</v>
      </c>
      <c r="F248" s="2" t="s">
        <v>90</v>
      </c>
      <c r="G248" s="7">
        <v>15</v>
      </c>
    </row>
    <row r="249" spans="1:7">
      <c r="A249" s="2" t="s">
        <v>22</v>
      </c>
      <c r="B249" s="2" t="s">
        <v>162</v>
      </c>
      <c r="C249" s="4">
        <v>169.26</v>
      </c>
      <c r="D249" s="7">
        <v>25</v>
      </c>
      <c r="E249" s="2" t="s">
        <v>127</v>
      </c>
      <c r="F249" s="2" t="s">
        <v>93</v>
      </c>
      <c r="G249" s="7">
        <v>14</v>
      </c>
    </row>
    <row r="250" spans="1:7">
      <c r="A250" s="2" t="s">
        <v>22</v>
      </c>
      <c r="B250" s="2" t="s">
        <v>162</v>
      </c>
      <c r="C250" s="4">
        <v>169.6</v>
      </c>
      <c r="D250" s="7">
        <v>26</v>
      </c>
      <c r="E250" s="2" t="s">
        <v>128</v>
      </c>
      <c r="F250" s="2" t="s">
        <v>90</v>
      </c>
      <c r="G250" s="7">
        <v>15</v>
      </c>
    </row>
    <row r="251" spans="1:7">
      <c r="A251" s="2" t="s">
        <v>22</v>
      </c>
      <c r="B251" s="2" t="s">
        <v>163</v>
      </c>
      <c r="C251" s="4">
        <v>171</v>
      </c>
      <c r="D251" s="7">
        <v>1</v>
      </c>
      <c r="E251" s="2" t="s">
        <v>122</v>
      </c>
      <c r="F251" s="2" t="s">
        <v>90</v>
      </c>
      <c r="G251" s="7">
        <v>15</v>
      </c>
    </row>
    <row r="252" spans="1:7">
      <c r="A252" t="s">
        <v>22</v>
      </c>
      <c r="B252" t="s">
        <v>163</v>
      </c>
      <c r="C252" s="32">
        <v>171.33</v>
      </c>
      <c r="D252" s="33">
        <v>2</v>
      </c>
      <c r="E252" t="s">
        <v>124</v>
      </c>
      <c r="F252" t="s">
        <v>93</v>
      </c>
      <c r="G252" s="33">
        <v>14</v>
      </c>
    </row>
    <row r="253" spans="1:7">
      <c r="A253" t="s">
        <v>22</v>
      </c>
      <c r="B253" t="s">
        <v>163</v>
      </c>
      <c r="C253" s="32">
        <v>171.66</v>
      </c>
      <c r="D253" s="33">
        <v>3</v>
      </c>
      <c r="E253" t="s">
        <v>125</v>
      </c>
      <c r="F253" t="s">
        <v>90</v>
      </c>
      <c r="G253" s="33">
        <v>15</v>
      </c>
    </row>
    <row r="254" spans="1:7">
      <c r="A254" t="s">
        <v>22</v>
      </c>
      <c r="B254" t="s">
        <v>163</v>
      </c>
      <c r="C254" s="32">
        <v>171.99</v>
      </c>
      <c r="D254" s="33">
        <v>4</v>
      </c>
      <c r="E254" t="s">
        <v>127</v>
      </c>
      <c r="F254" t="s">
        <v>90</v>
      </c>
      <c r="G254" s="33">
        <v>14</v>
      </c>
    </row>
    <row r="255" spans="1:7">
      <c r="A255" t="s">
        <v>22</v>
      </c>
      <c r="B255" t="s">
        <v>163</v>
      </c>
      <c r="C255" s="32">
        <v>172.32</v>
      </c>
      <c r="D255" s="33">
        <v>5</v>
      </c>
      <c r="E255" t="s">
        <v>128</v>
      </c>
      <c r="F255" t="s">
        <v>90</v>
      </c>
      <c r="G255" s="33">
        <v>15</v>
      </c>
    </row>
    <row r="256" spans="1:7">
      <c r="A256" t="s">
        <v>22</v>
      </c>
      <c r="B256" t="s">
        <v>163</v>
      </c>
      <c r="C256" s="32">
        <v>172.65</v>
      </c>
      <c r="D256" s="33">
        <v>6</v>
      </c>
      <c r="E256" t="s">
        <v>129</v>
      </c>
      <c r="F256" t="s">
        <v>96</v>
      </c>
      <c r="G256" s="33">
        <v>15</v>
      </c>
    </row>
    <row r="257" spans="1:7">
      <c r="A257" t="s">
        <v>22</v>
      </c>
      <c r="B257" t="s">
        <v>163</v>
      </c>
      <c r="C257" s="32">
        <v>172.98</v>
      </c>
      <c r="D257" s="33">
        <v>7</v>
      </c>
      <c r="E257" t="s">
        <v>130</v>
      </c>
      <c r="F257" t="s">
        <v>90</v>
      </c>
      <c r="G257" s="33">
        <v>14</v>
      </c>
    </row>
    <row r="258" spans="1:7">
      <c r="A258" t="s">
        <v>22</v>
      </c>
      <c r="B258" t="s">
        <v>163</v>
      </c>
      <c r="C258" s="32">
        <v>173.32</v>
      </c>
      <c r="D258" s="33">
        <v>8</v>
      </c>
      <c r="E258" t="s">
        <v>131</v>
      </c>
      <c r="F258" t="s">
        <v>93</v>
      </c>
      <c r="G258" s="33">
        <v>15</v>
      </c>
    </row>
    <row r="259" spans="1:7">
      <c r="A259" t="s">
        <v>22</v>
      </c>
      <c r="B259" t="s">
        <v>163</v>
      </c>
      <c r="C259" s="32">
        <v>173.65</v>
      </c>
      <c r="D259" s="33">
        <v>9</v>
      </c>
      <c r="E259" t="s">
        <v>133</v>
      </c>
      <c r="F259" t="s">
        <v>90</v>
      </c>
      <c r="G259" s="33">
        <v>14</v>
      </c>
    </row>
    <row r="260" spans="1:7">
      <c r="A260" t="s">
        <v>22</v>
      </c>
      <c r="B260" t="s">
        <v>163</v>
      </c>
      <c r="C260" s="32">
        <v>173.98</v>
      </c>
      <c r="D260" s="33">
        <v>10</v>
      </c>
      <c r="E260" t="s">
        <v>134</v>
      </c>
      <c r="F260" t="s">
        <v>90</v>
      </c>
      <c r="G260" s="33">
        <v>15</v>
      </c>
    </row>
    <row r="261" spans="1:7">
      <c r="A261" t="s">
        <v>22</v>
      </c>
      <c r="B261" t="s">
        <v>163</v>
      </c>
      <c r="C261" s="32">
        <v>174.31</v>
      </c>
      <c r="D261" s="33">
        <v>11</v>
      </c>
      <c r="E261" t="s">
        <v>135</v>
      </c>
      <c r="F261" t="s">
        <v>90</v>
      </c>
      <c r="G261" s="33">
        <v>15</v>
      </c>
    </row>
    <row r="262" spans="1:7">
      <c r="A262" t="s">
        <v>22</v>
      </c>
      <c r="B262" t="s">
        <v>163</v>
      </c>
      <c r="C262" s="32">
        <v>174.64</v>
      </c>
      <c r="D262" s="33">
        <v>12</v>
      </c>
      <c r="E262" t="s">
        <v>136</v>
      </c>
      <c r="F262" t="s">
        <v>93</v>
      </c>
      <c r="G262" s="33">
        <v>14</v>
      </c>
    </row>
    <row r="263" spans="1:7">
      <c r="A263" t="s">
        <v>22</v>
      </c>
      <c r="B263" t="s">
        <v>163</v>
      </c>
      <c r="C263" s="32">
        <v>174.97</v>
      </c>
      <c r="D263" s="33">
        <v>13</v>
      </c>
      <c r="E263" t="s">
        <v>137</v>
      </c>
      <c r="F263" t="s">
        <v>90</v>
      </c>
      <c r="G263" s="33">
        <v>15</v>
      </c>
    </row>
    <row r="264" spans="1:7">
      <c r="A264" t="s">
        <v>22</v>
      </c>
      <c r="B264" t="s">
        <v>163</v>
      </c>
      <c r="C264" s="32">
        <v>175.3</v>
      </c>
      <c r="D264" s="33">
        <v>14</v>
      </c>
      <c r="E264" t="s">
        <v>138</v>
      </c>
      <c r="F264" t="s">
        <v>90</v>
      </c>
      <c r="G264" s="33">
        <v>14</v>
      </c>
    </row>
    <row r="265" spans="1:7">
      <c r="A265" t="s">
        <v>22</v>
      </c>
      <c r="B265" t="s">
        <v>163</v>
      </c>
      <c r="C265" s="32">
        <v>175.63</v>
      </c>
      <c r="D265" s="33">
        <v>15</v>
      </c>
      <c r="E265" t="s">
        <v>140</v>
      </c>
      <c r="F265" t="s">
        <v>90</v>
      </c>
      <c r="G265" s="33">
        <v>15</v>
      </c>
    </row>
    <row r="266" spans="1:7">
      <c r="A266" t="s">
        <v>22</v>
      </c>
      <c r="B266" t="s">
        <v>163</v>
      </c>
      <c r="C266" s="32">
        <v>175.96</v>
      </c>
      <c r="D266" s="33">
        <v>16</v>
      </c>
      <c r="E266" t="s">
        <v>141</v>
      </c>
      <c r="F266" t="s">
        <v>93</v>
      </c>
      <c r="G266" s="33">
        <v>14</v>
      </c>
    </row>
    <row r="267" spans="1:7">
      <c r="A267" t="s">
        <v>22</v>
      </c>
      <c r="B267" t="s">
        <v>163</v>
      </c>
      <c r="C267" s="32">
        <v>176.29</v>
      </c>
      <c r="D267" s="33">
        <v>17</v>
      </c>
      <c r="E267" t="s">
        <v>142</v>
      </c>
      <c r="F267" t="s">
        <v>90</v>
      </c>
      <c r="G267" s="33">
        <v>15</v>
      </c>
    </row>
    <row r="268" spans="1:7">
      <c r="A268" t="s">
        <v>22</v>
      </c>
      <c r="B268" t="s">
        <v>163</v>
      </c>
      <c r="C268" s="32">
        <v>176.62</v>
      </c>
      <c r="D268" s="33">
        <v>18</v>
      </c>
      <c r="E268" t="s">
        <v>143</v>
      </c>
      <c r="F268" t="s">
        <v>90</v>
      </c>
      <c r="G268" s="33">
        <v>15</v>
      </c>
    </row>
    <row r="269" spans="1:7">
      <c r="A269" t="s">
        <v>22</v>
      </c>
      <c r="B269" t="s">
        <v>163</v>
      </c>
      <c r="C269" s="32">
        <v>176.95</v>
      </c>
      <c r="D269" s="33">
        <v>19</v>
      </c>
      <c r="E269" t="s">
        <v>144</v>
      </c>
      <c r="F269" t="s">
        <v>96</v>
      </c>
      <c r="G269" s="33">
        <v>14</v>
      </c>
    </row>
    <row r="270" spans="1:7">
      <c r="A270" t="s">
        <v>22</v>
      </c>
      <c r="B270" t="s">
        <v>163</v>
      </c>
      <c r="C270" s="32">
        <v>177.28</v>
      </c>
      <c r="D270" s="33">
        <v>20</v>
      </c>
      <c r="E270" t="s">
        <v>145</v>
      </c>
      <c r="F270" t="s">
        <v>90</v>
      </c>
      <c r="G270" s="33">
        <v>15</v>
      </c>
    </row>
    <row r="271" spans="1:7">
      <c r="A271" t="s">
        <v>22</v>
      </c>
      <c r="B271" t="s">
        <v>163</v>
      </c>
      <c r="C271" s="32">
        <v>177.62</v>
      </c>
      <c r="D271" s="33">
        <v>21</v>
      </c>
      <c r="E271" t="s">
        <v>146</v>
      </c>
      <c r="F271" t="s">
        <v>90</v>
      </c>
      <c r="G271" s="33">
        <v>14</v>
      </c>
    </row>
    <row r="272" spans="1:7">
      <c r="A272" t="s">
        <v>22</v>
      </c>
      <c r="B272" t="s">
        <v>163</v>
      </c>
      <c r="C272" s="32">
        <v>177.95</v>
      </c>
      <c r="D272" s="33">
        <v>22</v>
      </c>
      <c r="E272" t="s">
        <v>148</v>
      </c>
      <c r="F272" t="s">
        <v>93</v>
      </c>
      <c r="G272" s="33">
        <v>15</v>
      </c>
    </row>
    <row r="273" spans="1:7">
      <c r="A273" t="s">
        <v>22</v>
      </c>
      <c r="B273" t="s">
        <v>163</v>
      </c>
      <c r="C273" s="32">
        <v>178.28</v>
      </c>
      <c r="D273" s="33">
        <v>23</v>
      </c>
      <c r="E273" t="s">
        <v>149</v>
      </c>
      <c r="F273" t="s">
        <v>90</v>
      </c>
      <c r="G273" s="33">
        <v>15</v>
      </c>
    </row>
    <row r="274" spans="1:7">
      <c r="A274" t="s">
        <v>22</v>
      </c>
      <c r="B274" t="s">
        <v>163</v>
      </c>
      <c r="C274" s="32">
        <v>178.61</v>
      </c>
      <c r="D274" s="33">
        <v>24</v>
      </c>
      <c r="E274" t="s">
        <v>150</v>
      </c>
      <c r="F274" t="s">
        <v>90</v>
      </c>
      <c r="G274" s="33">
        <v>14</v>
      </c>
    </row>
    <row r="275" spans="1:7">
      <c r="A275" t="s">
        <v>22</v>
      </c>
      <c r="B275" t="s">
        <v>163</v>
      </c>
      <c r="C275" s="32">
        <v>178.94</v>
      </c>
      <c r="D275" s="33">
        <v>25</v>
      </c>
      <c r="E275" t="s">
        <v>151</v>
      </c>
      <c r="F275" t="s">
        <v>90</v>
      </c>
      <c r="G275" s="33">
        <v>15</v>
      </c>
    </row>
    <row r="276" spans="1:7">
      <c r="A276" t="s">
        <v>22</v>
      </c>
      <c r="B276" t="s">
        <v>163</v>
      </c>
      <c r="C276" s="32">
        <v>179.27</v>
      </c>
      <c r="D276" s="33">
        <v>26</v>
      </c>
      <c r="E276" t="s">
        <v>152</v>
      </c>
      <c r="F276" t="s">
        <v>93</v>
      </c>
      <c r="G276" s="33">
        <v>14</v>
      </c>
    </row>
    <row r="277" spans="1:7">
      <c r="A277" t="s">
        <v>22</v>
      </c>
      <c r="B277" t="s">
        <v>163</v>
      </c>
      <c r="C277" s="32">
        <v>179.6</v>
      </c>
      <c r="D277" s="33">
        <v>27</v>
      </c>
      <c r="E277" t="s">
        <v>153</v>
      </c>
      <c r="F277" t="s">
        <v>90</v>
      </c>
      <c r="G277" s="33">
        <v>15</v>
      </c>
    </row>
    <row r="278" spans="1:7">
      <c r="A278" t="s">
        <v>22</v>
      </c>
      <c r="B278" t="s">
        <v>164</v>
      </c>
      <c r="C278" s="32">
        <v>181</v>
      </c>
      <c r="D278" s="33">
        <v>1</v>
      </c>
      <c r="E278" t="s">
        <v>149</v>
      </c>
      <c r="F278" t="s">
        <v>90</v>
      </c>
      <c r="G278" s="33">
        <v>16</v>
      </c>
    </row>
    <row r="279" spans="1:7">
      <c r="A279" t="s">
        <v>22</v>
      </c>
      <c r="B279" t="s">
        <v>164</v>
      </c>
      <c r="C279" s="32">
        <v>181.31</v>
      </c>
      <c r="D279" s="33">
        <v>2</v>
      </c>
      <c r="E279" t="s">
        <v>150</v>
      </c>
      <c r="F279" t="s">
        <v>90</v>
      </c>
      <c r="G279" s="33">
        <v>15</v>
      </c>
    </row>
    <row r="280" spans="1:7">
      <c r="A280" t="s">
        <v>22</v>
      </c>
      <c r="B280" t="s">
        <v>164</v>
      </c>
      <c r="C280" s="32">
        <v>181.61</v>
      </c>
      <c r="D280" s="33">
        <v>3</v>
      </c>
      <c r="E280" t="s">
        <v>151</v>
      </c>
      <c r="F280" t="s">
        <v>93</v>
      </c>
      <c r="G280" s="33">
        <v>16</v>
      </c>
    </row>
    <row r="281" spans="1:7">
      <c r="A281" t="s">
        <v>22</v>
      </c>
      <c r="B281" t="s">
        <v>164</v>
      </c>
      <c r="C281" s="32">
        <v>181.92</v>
      </c>
      <c r="D281" s="33">
        <v>4</v>
      </c>
      <c r="E281" t="s">
        <v>152</v>
      </c>
      <c r="F281" t="s">
        <v>90</v>
      </c>
      <c r="G281" s="33">
        <v>15</v>
      </c>
    </row>
    <row r="282" spans="1:7">
      <c r="A282" t="s">
        <v>22</v>
      </c>
      <c r="B282" t="s">
        <v>164</v>
      </c>
      <c r="C282" s="32">
        <v>182.23</v>
      </c>
      <c r="D282" s="33">
        <v>5</v>
      </c>
      <c r="E282" t="s">
        <v>153</v>
      </c>
      <c r="F282" t="s">
        <v>90</v>
      </c>
      <c r="G282" s="33">
        <v>16</v>
      </c>
    </row>
    <row r="283" spans="1:7">
      <c r="A283" t="s">
        <v>22</v>
      </c>
      <c r="B283" t="s">
        <v>164</v>
      </c>
      <c r="C283" s="32">
        <v>182.54</v>
      </c>
      <c r="D283" s="33">
        <v>6</v>
      </c>
      <c r="E283" t="s">
        <v>120</v>
      </c>
      <c r="F283" t="s">
        <v>96</v>
      </c>
      <c r="G283" s="33">
        <v>16</v>
      </c>
    </row>
    <row r="284" spans="1:7">
      <c r="A284" t="s">
        <v>22</v>
      </c>
      <c r="B284" t="s">
        <v>164</v>
      </c>
      <c r="C284" s="32">
        <v>182.84</v>
      </c>
      <c r="D284" s="33">
        <v>7</v>
      </c>
      <c r="E284" t="s">
        <v>115</v>
      </c>
      <c r="F284" t="s">
        <v>90</v>
      </c>
      <c r="G284" s="33">
        <v>15</v>
      </c>
    </row>
    <row r="285" spans="1:7">
      <c r="A285" t="s">
        <v>22</v>
      </c>
      <c r="B285" t="s">
        <v>164</v>
      </c>
      <c r="C285" s="32">
        <v>183.15</v>
      </c>
      <c r="D285" s="33">
        <v>8</v>
      </c>
      <c r="E285" t="s">
        <v>116</v>
      </c>
      <c r="F285" t="s">
        <v>90</v>
      </c>
      <c r="G285" s="33">
        <v>16</v>
      </c>
    </row>
    <row r="286" spans="1:7">
      <c r="A286" t="s">
        <v>22</v>
      </c>
      <c r="B286" t="s">
        <v>164</v>
      </c>
      <c r="C286" s="32">
        <v>183.46</v>
      </c>
      <c r="D286" s="33">
        <v>9</v>
      </c>
      <c r="E286" t="s">
        <v>117</v>
      </c>
      <c r="F286" t="s">
        <v>93</v>
      </c>
      <c r="G286" s="33">
        <v>16</v>
      </c>
    </row>
    <row r="287" spans="1:7">
      <c r="A287" t="s">
        <v>22</v>
      </c>
      <c r="B287" t="s">
        <v>164</v>
      </c>
      <c r="C287" s="32">
        <v>183.76</v>
      </c>
      <c r="D287" s="33">
        <v>10</v>
      </c>
      <c r="E287" t="s">
        <v>118</v>
      </c>
      <c r="F287" t="s">
        <v>90</v>
      </c>
      <c r="G287" s="33">
        <v>15</v>
      </c>
    </row>
    <row r="288" spans="1:7">
      <c r="A288" t="s">
        <v>22</v>
      </c>
      <c r="B288" t="s">
        <v>164</v>
      </c>
      <c r="C288" s="32">
        <v>184.07</v>
      </c>
      <c r="D288" s="33">
        <v>11</v>
      </c>
      <c r="E288" t="s">
        <v>122</v>
      </c>
      <c r="F288" t="s">
        <v>90</v>
      </c>
      <c r="G288" s="33">
        <v>16</v>
      </c>
    </row>
    <row r="289" spans="1:7">
      <c r="A289" t="s">
        <v>22</v>
      </c>
      <c r="B289" t="s">
        <v>164</v>
      </c>
      <c r="C289" s="32">
        <v>184.38</v>
      </c>
      <c r="D289" s="33">
        <v>12</v>
      </c>
      <c r="E289" t="s">
        <v>124</v>
      </c>
      <c r="F289" t="s">
        <v>90</v>
      </c>
      <c r="G289" s="33">
        <v>15</v>
      </c>
    </row>
    <row r="290" spans="1:7">
      <c r="A290" t="s">
        <v>22</v>
      </c>
      <c r="B290" t="s">
        <v>164</v>
      </c>
      <c r="C290" s="32">
        <v>184.69</v>
      </c>
      <c r="D290" s="33">
        <v>13</v>
      </c>
      <c r="E290" t="s">
        <v>125</v>
      </c>
      <c r="F290" t="s">
        <v>93</v>
      </c>
      <c r="G290" s="33">
        <v>16</v>
      </c>
    </row>
    <row r="291" spans="1:7">
      <c r="A291" t="s">
        <v>22</v>
      </c>
      <c r="B291" t="s">
        <v>164</v>
      </c>
      <c r="C291" s="32">
        <v>184.99</v>
      </c>
      <c r="D291" s="33">
        <v>14</v>
      </c>
      <c r="E291" t="s">
        <v>127</v>
      </c>
      <c r="F291" t="s">
        <v>90</v>
      </c>
      <c r="G291" s="33">
        <v>16</v>
      </c>
    </row>
    <row r="292" spans="1:7">
      <c r="A292" t="s">
        <v>22</v>
      </c>
      <c r="B292" t="s">
        <v>164</v>
      </c>
      <c r="C292" s="32">
        <v>185.3</v>
      </c>
      <c r="D292" s="33">
        <v>15</v>
      </c>
      <c r="E292" t="s">
        <v>128</v>
      </c>
      <c r="F292" t="s">
        <v>90</v>
      </c>
      <c r="G292" s="33">
        <v>15</v>
      </c>
    </row>
    <row r="293" spans="1:7">
      <c r="A293" t="s">
        <v>22</v>
      </c>
      <c r="B293" t="s">
        <v>164</v>
      </c>
      <c r="C293" s="32">
        <v>185.61</v>
      </c>
      <c r="D293" s="33">
        <v>16</v>
      </c>
      <c r="E293" t="s">
        <v>129</v>
      </c>
      <c r="F293" t="s">
        <v>90</v>
      </c>
      <c r="G293" s="33">
        <v>16</v>
      </c>
    </row>
    <row r="294" spans="1:7">
      <c r="A294" t="s">
        <v>22</v>
      </c>
      <c r="B294" t="s">
        <v>164</v>
      </c>
      <c r="C294" s="32">
        <v>185.91</v>
      </c>
      <c r="D294" s="33">
        <v>17</v>
      </c>
      <c r="E294" t="s">
        <v>130</v>
      </c>
      <c r="F294" t="s">
        <v>93</v>
      </c>
      <c r="G294" s="33">
        <v>16</v>
      </c>
    </row>
    <row r="295" spans="1:7">
      <c r="A295" t="s">
        <v>22</v>
      </c>
      <c r="B295" t="s">
        <v>164</v>
      </c>
      <c r="C295" s="32">
        <v>186.22</v>
      </c>
      <c r="D295" s="33">
        <v>18</v>
      </c>
      <c r="E295" t="s">
        <v>131</v>
      </c>
      <c r="F295" t="s">
        <v>90</v>
      </c>
      <c r="G295" s="33">
        <v>15</v>
      </c>
    </row>
    <row r="296" spans="1:7">
      <c r="A296" t="s">
        <v>22</v>
      </c>
      <c r="B296" t="s">
        <v>164</v>
      </c>
      <c r="C296" s="32">
        <v>186.53</v>
      </c>
      <c r="D296" s="33">
        <v>19</v>
      </c>
      <c r="E296" t="s">
        <v>133</v>
      </c>
      <c r="F296" t="s">
        <v>90</v>
      </c>
      <c r="G296" s="33">
        <v>16</v>
      </c>
    </row>
    <row r="297" spans="1:7">
      <c r="A297" t="s">
        <v>22</v>
      </c>
      <c r="B297" t="s">
        <v>164</v>
      </c>
      <c r="C297" s="32">
        <v>186.84</v>
      </c>
      <c r="D297" s="33">
        <v>20</v>
      </c>
      <c r="E297" t="s">
        <v>134</v>
      </c>
      <c r="F297" t="s">
        <v>90</v>
      </c>
      <c r="G297" s="33">
        <v>15</v>
      </c>
    </row>
    <row r="298" spans="1:7">
      <c r="A298" t="s">
        <v>22</v>
      </c>
      <c r="B298" t="s">
        <v>164</v>
      </c>
      <c r="C298" s="32">
        <v>187.14</v>
      </c>
      <c r="D298" s="33">
        <v>21</v>
      </c>
      <c r="E298" t="s">
        <v>135</v>
      </c>
      <c r="F298" t="s">
        <v>96</v>
      </c>
      <c r="G298" s="33">
        <v>16</v>
      </c>
    </row>
    <row r="299" spans="1:7">
      <c r="A299" t="s">
        <v>22</v>
      </c>
      <c r="B299" t="s">
        <v>164</v>
      </c>
      <c r="C299" s="32">
        <v>187.45</v>
      </c>
      <c r="D299" s="33">
        <v>22</v>
      </c>
      <c r="E299" t="s">
        <v>136</v>
      </c>
      <c r="F299" t="s">
        <v>90</v>
      </c>
      <c r="G299" s="33">
        <v>16</v>
      </c>
    </row>
    <row r="300" spans="1:7">
      <c r="A300" t="s">
        <v>22</v>
      </c>
      <c r="B300" t="s">
        <v>164</v>
      </c>
      <c r="C300" s="32">
        <v>187.76</v>
      </c>
      <c r="D300" s="33">
        <v>23</v>
      </c>
      <c r="E300" t="s">
        <v>137</v>
      </c>
      <c r="F300" t="s">
        <v>93</v>
      </c>
      <c r="G300" s="33">
        <v>15</v>
      </c>
    </row>
    <row r="301" spans="1:7">
      <c r="A301" t="s">
        <v>22</v>
      </c>
      <c r="B301" t="s">
        <v>164</v>
      </c>
      <c r="C301" s="32">
        <v>188.06</v>
      </c>
      <c r="D301" s="33">
        <v>24</v>
      </c>
      <c r="E301" t="s">
        <v>138</v>
      </c>
      <c r="F301" t="s">
        <v>90</v>
      </c>
      <c r="G301" s="33">
        <v>16</v>
      </c>
    </row>
    <row r="302" spans="1:7">
      <c r="A302" t="s">
        <v>22</v>
      </c>
      <c r="B302" t="s">
        <v>164</v>
      </c>
      <c r="C302" s="32">
        <v>188.37</v>
      </c>
      <c r="D302" s="33">
        <v>25</v>
      </c>
      <c r="E302" t="s">
        <v>140</v>
      </c>
      <c r="F302" t="s">
        <v>90</v>
      </c>
      <c r="G302" s="33">
        <v>16</v>
      </c>
    </row>
    <row r="303" spans="1:7">
      <c r="A303" t="s">
        <v>22</v>
      </c>
      <c r="B303" t="s">
        <v>164</v>
      </c>
      <c r="C303" s="32">
        <v>188.68</v>
      </c>
      <c r="D303" s="33">
        <v>26</v>
      </c>
      <c r="E303" t="s">
        <v>141</v>
      </c>
      <c r="F303" t="s">
        <v>90</v>
      </c>
      <c r="G303" s="33">
        <v>15</v>
      </c>
    </row>
    <row r="304" spans="1:7">
      <c r="A304" t="s">
        <v>22</v>
      </c>
      <c r="B304" t="s">
        <v>164</v>
      </c>
      <c r="C304" s="32">
        <v>188.99</v>
      </c>
      <c r="D304" s="33">
        <v>27</v>
      </c>
      <c r="E304" t="s">
        <v>142</v>
      </c>
      <c r="F304" t="s">
        <v>93</v>
      </c>
      <c r="G304" s="33">
        <v>16</v>
      </c>
    </row>
    <row r="305" spans="1:7">
      <c r="A305" t="s">
        <v>22</v>
      </c>
      <c r="B305" t="s">
        <v>164</v>
      </c>
      <c r="C305" s="32">
        <v>189.29</v>
      </c>
      <c r="D305" s="33">
        <v>28</v>
      </c>
      <c r="E305" t="s">
        <v>143</v>
      </c>
      <c r="F305" t="s">
        <v>90</v>
      </c>
      <c r="G305" s="33">
        <v>15</v>
      </c>
    </row>
    <row r="306" spans="1:7">
      <c r="A306" t="s">
        <v>22</v>
      </c>
      <c r="B306" t="s">
        <v>164</v>
      </c>
      <c r="C306" s="32">
        <v>189.6</v>
      </c>
      <c r="D306" s="33">
        <v>29</v>
      </c>
      <c r="E306" t="s">
        <v>144</v>
      </c>
      <c r="F306" t="s">
        <v>90</v>
      </c>
      <c r="G306" s="33">
        <v>16</v>
      </c>
    </row>
    <row r="307" spans="1:7">
      <c r="A307" t="s">
        <v>22</v>
      </c>
      <c r="B307" t="s">
        <v>165</v>
      </c>
      <c r="C307" s="32">
        <v>191</v>
      </c>
      <c r="D307" s="33">
        <v>1</v>
      </c>
      <c r="E307" t="s">
        <v>140</v>
      </c>
      <c r="F307" t="s">
        <v>90</v>
      </c>
      <c r="G307" s="33">
        <v>17</v>
      </c>
    </row>
    <row r="308" spans="1:7">
      <c r="A308" t="s">
        <v>22</v>
      </c>
      <c r="B308" t="s">
        <v>165</v>
      </c>
      <c r="C308" s="32">
        <v>191.3</v>
      </c>
      <c r="D308" s="33">
        <v>2</v>
      </c>
      <c r="E308" t="s">
        <v>141</v>
      </c>
      <c r="F308" t="s">
        <v>93</v>
      </c>
      <c r="G308" s="33">
        <v>16</v>
      </c>
    </row>
    <row r="309" spans="1:7">
      <c r="A309" t="s">
        <v>22</v>
      </c>
      <c r="B309" t="s">
        <v>165</v>
      </c>
      <c r="C309" s="32">
        <v>191.59</v>
      </c>
      <c r="D309" s="33">
        <v>3</v>
      </c>
      <c r="E309" t="s">
        <v>142</v>
      </c>
      <c r="F309" t="s">
        <v>90</v>
      </c>
      <c r="G309" s="33">
        <v>17</v>
      </c>
    </row>
    <row r="310" spans="1:7">
      <c r="A310" t="s">
        <v>22</v>
      </c>
      <c r="B310" t="s">
        <v>165</v>
      </c>
      <c r="C310" s="32">
        <v>191.89</v>
      </c>
      <c r="D310" s="33">
        <v>4</v>
      </c>
      <c r="E310" t="s">
        <v>143</v>
      </c>
      <c r="F310" t="s">
        <v>90</v>
      </c>
      <c r="G310" s="33">
        <v>17</v>
      </c>
    </row>
    <row r="311" spans="1:7">
      <c r="A311" t="s">
        <v>22</v>
      </c>
      <c r="B311" t="s">
        <v>165</v>
      </c>
      <c r="C311" s="32">
        <v>192.19</v>
      </c>
      <c r="D311" s="33">
        <v>5</v>
      </c>
      <c r="E311" t="s">
        <v>144</v>
      </c>
      <c r="F311" t="s">
        <v>90</v>
      </c>
      <c r="G311" s="33">
        <v>16</v>
      </c>
    </row>
    <row r="312" spans="1:7">
      <c r="A312" t="s">
        <v>22</v>
      </c>
      <c r="B312" t="s">
        <v>165</v>
      </c>
      <c r="C312" s="32">
        <v>192.48</v>
      </c>
      <c r="D312" s="33">
        <v>6</v>
      </c>
      <c r="E312" t="s">
        <v>145</v>
      </c>
      <c r="F312" t="s">
        <v>96</v>
      </c>
      <c r="G312" s="33">
        <v>17</v>
      </c>
    </row>
    <row r="313" spans="1:7">
      <c r="A313" t="s">
        <v>22</v>
      </c>
      <c r="B313" t="s">
        <v>165</v>
      </c>
      <c r="C313" s="32">
        <v>192.78</v>
      </c>
      <c r="D313" s="33">
        <v>7</v>
      </c>
      <c r="E313" t="s">
        <v>146</v>
      </c>
      <c r="F313" t="s">
        <v>90</v>
      </c>
      <c r="G313" s="33">
        <v>16</v>
      </c>
    </row>
    <row r="314" spans="1:7">
      <c r="A314" t="s">
        <v>22</v>
      </c>
      <c r="B314" t="s">
        <v>165</v>
      </c>
      <c r="C314" s="32">
        <v>193.08</v>
      </c>
      <c r="D314" s="33">
        <v>8</v>
      </c>
      <c r="E314" t="s">
        <v>148</v>
      </c>
      <c r="F314" t="s">
        <v>93</v>
      </c>
      <c r="G314" s="33">
        <v>17</v>
      </c>
    </row>
    <row r="315" spans="1:7">
      <c r="A315" t="s">
        <v>22</v>
      </c>
      <c r="B315" t="s">
        <v>165</v>
      </c>
      <c r="C315" s="32">
        <v>193.37</v>
      </c>
      <c r="D315" s="33">
        <v>9</v>
      </c>
      <c r="E315" t="s">
        <v>149</v>
      </c>
      <c r="F315" t="s">
        <v>90</v>
      </c>
      <c r="G315" s="33">
        <v>17</v>
      </c>
    </row>
    <row r="316" spans="1:7">
      <c r="A316" t="s">
        <v>22</v>
      </c>
      <c r="B316" t="s">
        <v>165</v>
      </c>
      <c r="C316" s="32">
        <v>193.67</v>
      </c>
      <c r="D316" s="33">
        <v>10</v>
      </c>
      <c r="E316" t="s">
        <v>150</v>
      </c>
      <c r="F316" t="s">
        <v>90</v>
      </c>
      <c r="G316" s="33">
        <v>16</v>
      </c>
    </row>
    <row r="317" spans="1:7">
      <c r="A317" t="s">
        <v>22</v>
      </c>
      <c r="B317" t="s">
        <v>165</v>
      </c>
      <c r="C317" s="32">
        <v>193.97</v>
      </c>
      <c r="D317" s="33">
        <v>11</v>
      </c>
      <c r="E317" t="s">
        <v>151</v>
      </c>
      <c r="F317" t="s">
        <v>90</v>
      </c>
      <c r="G317" s="33">
        <v>17</v>
      </c>
    </row>
    <row r="318" spans="1:7">
      <c r="A318" t="s">
        <v>22</v>
      </c>
      <c r="B318" t="s">
        <v>165</v>
      </c>
      <c r="C318" s="32">
        <v>194.26</v>
      </c>
      <c r="D318" s="33">
        <v>12</v>
      </c>
      <c r="E318" t="s">
        <v>152</v>
      </c>
      <c r="F318" t="s">
        <v>93</v>
      </c>
      <c r="G318" s="33">
        <v>17</v>
      </c>
    </row>
    <row r="319" spans="1:7">
      <c r="A319" t="s">
        <v>22</v>
      </c>
      <c r="B319" t="s">
        <v>165</v>
      </c>
      <c r="C319" s="32">
        <v>194.56</v>
      </c>
      <c r="D319" s="33">
        <v>13</v>
      </c>
      <c r="E319" t="s">
        <v>153</v>
      </c>
      <c r="F319" t="s">
        <v>90</v>
      </c>
      <c r="G319" s="33">
        <v>16</v>
      </c>
    </row>
    <row r="320" spans="1:7">
      <c r="A320" t="s">
        <v>22</v>
      </c>
      <c r="B320" t="s">
        <v>165</v>
      </c>
      <c r="C320" s="32">
        <v>194.86</v>
      </c>
      <c r="D320" s="33">
        <v>14</v>
      </c>
      <c r="E320" t="s">
        <v>120</v>
      </c>
      <c r="F320" t="s">
        <v>90</v>
      </c>
      <c r="G320" s="33">
        <v>17</v>
      </c>
    </row>
    <row r="321" spans="1:7">
      <c r="A321" t="s">
        <v>22</v>
      </c>
      <c r="B321" t="s">
        <v>165</v>
      </c>
      <c r="C321" s="32">
        <v>195.15</v>
      </c>
      <c r="D321" s="33">
        <v>15</v>
      </c>
      <c r="E321" t="s">
        <v>115</v>
      </c>
      <c r="F321" t="s">
        <v>90</v>
      </c>
      <c r="G321" s="33">
        <v>16</v>
      </c>
    </row>
    <row r="322" spans="1:7">
      <c r="A322" t="s">
        <v>22</v>
      </c>
      <c r="B322" t="s">
        <v>165</v>
      </c>
      <c r="C322" s="32">
        <v>195.45</v>
      </c>
      <c r="D322" s="33">
        <v>16</v>
      </c>
      <c r="E322" t="s">
        <v>116</v>
      </c>
      <c r="F322" t="s">
        <v>93</v>
      </c>
      <c r="G322" s="33">
        <v>17</v>
      </c>
    </row>
    <row r="323" spans="1:7">
      <c r="A323" t="s">
        <v>22</v>
      </c>
      <c r="B323" t="s">
        <v>165</v>
      </c>
      <c r="C323" s="32">
        <v>195.74</v>
      </c>
      <c r="D323" s="33">
        <v>17</v>
      </c>
      <c r="E323" t="s">
        <v>117</v>
      </c>
      <c r="F323" t="s">
        <v>90</v>
      </c>
      <c r="G323" s="33">
        <v>17</v>
      </c>
    </row>
    <row r="324" spans="1:7">
      <c r="A324" t="s">
        <v>22</v>
      </c>
      <c r="B324" t="s">
        <v>165</v>
      </c>
      <c r="C324" s="32">
        <v>196.04</v>
      </c>
      <c r="D324" s="33">
        <v>18</v>
      </c>
      <c r="E324" t="s">
        <v>118</v>
      </c>
      <c r="F324" t="s">
        <v>90</v>
      </c>
      <c r="G324" s="33">
        <v>16</v>
      </c>
    </row>
    <row r="325" spans="1:7">
      <c r="A325" t="s">
        <v>22</v>
      </c>
      <c r="B325" t="s">
        <v>165</v>
      </c>
      <c r="C325" s="32">
        <v>196.34</v>
      </c>
      <c r="D325" s="33">
        <v>19</v>
      </c>
      <c r="E325" t="s">
        <v>122</v>
      </c>
      <c r="F325" t="s">
        <v>93</v>
      </c>
      <c r="G325" s="33">
        <v>17</v>
      </c>
    </row>
    <row r="326" spans="1:7">
      <c r="A326" t="s">
        <v>22</v>
      </c>
      <c r="B326" t="s">
        <v>165</v>
      </c>
      <c r="C326" s="32">
        <v>196.63</v>
      </c>
      <c r="D326" s="33">
        <v>20</v>
      </c>
      <c r="E326" t="s">
        <v>124</v>
      </c>
      <c r="F326" t="s">
        <v>90</v>
      </c>
      <c r="G326" s="33">
        <v>17</v>
      </c>
    </row>
    <row r="327" spans="1:7">
      <c r="A327" t="s">
        <v>22</v>
      </c>
      <c r="B327" t="s">
        <v>165</v>
      </c>
      <c r="C327" s="32">
        <v>196.93</v>
      </c>
      <c r="D327" s="33">
        <v>21</v>
      </c>
      <c r="E327" t="s">
        <v>125</v>
      </c>
      <c r="F327" t="s">
        <v>90</v>
      </c>
      <c r="G327" s="33">
        <v>16</v>
      </c>
    </row>
    <row r="328" spans="1:7">
      <c r="A328" t="s">
        <v>22</v>
      </c>
      <c r="B328" t="s">
        <v>165</v>
      </c>
      <c r="C328" s="32">
        <v>197.23</v>
      </c>
      <c r="D328" s="33">
        <v>22</v>
      </c>
      <c r="E328" t="s">
        <v>127</v>
      </c>
      <c r="F328" t="s">
        <v>96</v>
      </c>
      <c r="G328" s="33">
        <v>17</v>
      </c>
    </row>
    <row r="329" spans="1:7">
      <c r="A329" t="s">
        <v>22</v>
      </c>
      <c r="B329" t="s">
        <v>165</v>
      </c>
      <c r="C329" s="32">
        <v>197.52</v>
      </c>
      <c r="D329" s="33">
        <v>23</v>
      </c>
      <c r="E329" t="s">
        <v>128</v>
      </c>
      <c r="F329" t="s">
        <v>90</v>
      </c>
      <c r="G329" s="33">
        <v>17</v>
      </c>
    </row>
    <row r="330" spans="1:7">
      <c r="A330" t="s">
        <v>22</v>
      </c>
      <c r="B330" t="s">
        <v>165</v>
      </c>
      <c r="C330" s="32">
        <v>197.82</v>
      </c>
      <c r="D330" s="33">
        <v>24</v>
      </c>
      <c r="E330" t="s">
        <v>129</v>
      </c>
      <c r="F330" t="s">
        <v>90</v>
      </c>
      <c r="G330" s="33">
        <v>16</v>
      </c>
    </row>
    <row r="331" spans="1:7">
      <c r="A331" t="s">
        <v>22</v>
      </c>
      <c r="B331" t="s">
        <v>165</v>
      </c>
      <c r="C331" s="32">
        <v>198.12</v>
      </c>
      <c r="D331" s="33">
        <v>25</v>
      </c>
      <c r="E331" t="s">
        <v>130</v>
      </c>
      <c r="F331" t="s">
        <v>93</v>
      </c>
      <c r="G331" s="33">
        <v>17</v>
      </c>
    </row>
    <row r="332" spans="1:7">
      <c r="A332" t="s">
        <v>22</v>
      </c>
      <c r="B332" t="s">
        <v>165</v>
      </c>
      <c r="C332" s="32">
        <v>198.41</v>
      </c>
      <c r="D332" s="33">
        <v>26</v>
      </c>
      <c r="E332" t="s">
        <v>131</v>
      </c>
      <c r="F332" t="s">
        <v>90</v>
      </c>
      <c r="G332" s="33">
        <v>16</v>
      </c>
    </row>
    <row r="333" spans="1:7">
      <c r="A333" t="s">
        <v>22</v>
      </c>
      <c r="B333" t="s">
        <v>165</v>
      </c>
      <c r="C333" s="32">
        <v>198.71</v>
      </c>
      <c r="D333" s="33">
        <v>27</v>
      </c>
      <c r="E333" t="s">
        <v>133</v>
      </c>
      <c r="F333" t="s">
        <v>90</v>
      </c>
      <c r="G333" s="33">
        <v>17</v>
      </c>
    </row>
    <row r="334" spans="1:7">
      <c r="A334" t="s">
        <v>22</v>
      </c>
      <c r="B334" t="s">
        <v>165</v>
      </c>
      <c r="C334" s="32">
        <v>199.01</v>
      </c>
      <c r="D334" s="33">
        <v>28</v>
      </c>
      <c r="E334" t="s">
        <v>134</v>
      </c>
      <c r="F334" t="s">
        <v>90</v>
      </c>
      <c r="G334" s="33">
        <v>17</v>
      </c>
    </row>
    <row r="335" spans="1:7">
      <c r="A335" t="s">
        <v>22</v>
      </c>
      <c r="B335" t="s">
        <v>165</v>
      </c>
      <c r="C335" s="32">
        <v>199.3</v>
      </c>
      <c r="D335" s="33">
        <v>29</v>
      </c>
      <c r="E335" t="s">
        <v>135</v>
      </c>
      <c r="F335" t="s">
        <v>93</v>
      </c>
      <c r="G335" s="33">
        <v>16</v>
      </c>
    </row>
    <row r="336" spans="1:7">
      <c r="A336" t="s">
        <v>22</v>
      </c>
      <c r="B336" t="s">
        <v>165</v>
      </c>
      <c r="C336" s="32">
        <v>199.6</v>
      </c>
      <c r="D336" s="33">
        <v>30</v>
      </c>
      <c r="E336" t="s">
        <v>136</v>
      </c>
      <c r="F336" t="s">
        <v>90</v>
      </c>
      <c r="G336" s="33">
        <v>17</v>
      </c>
    </row>
    <row r="337" spans="1:7">
      <c r="A337" t="s">
        <v>22</v>
      </c>
      <c r="B337" t="s">
        <v>166</v>
      </c>
      <c r="C337" s="32">
        <v>201</v>
      </c>
      <c r="D337" s="33">
        <v>1</v>
      </c>
      <c r="E337" t="s">
        <v>131</v>
      </c>
      <c r="F337" t="s">
        <v>90</v>
      </c>
      <c r="G337" s="33">
        <v>18</v>
      </c>
    </row>
    <row r="338" spans="1:7">
      <c r="A338" t="s">
        <v>22</v>
      </c>
      <c r="B338" t="s">
        <v>166</v>
      </c>
      <c r="C338" s="32">
        <v>201.28</v>
      </c>
      <c r="D338" s="33">
        <v>2</v>
      </c>
      <c r="E338" t="s">
        <v>133</v>
      </c>
      <c r="F338" t="s">
        <v>93</v>
      </c>
      <c r="G338" s="33">
        <v>17</v>
      </c>
    </row>
    <row r="339" spans="1:7">
      <c r="A339" t="s">
        <v>22</v>
      </c>
      <c r="B339" t="s">
        <v>166</v>
      </c>
      <c r="C339" s="32">
        <v>201.55</v>
      </c>
      <c r="D339" s="33">
        <v>3</v>
      </c>
      <c r="E339" t="s">
        <v>134</v>
      </c>
      <c r="F339" t="s">
        <v>90</v>
      </c>
      <c r="G339" s="33">
        <v>18</v>
      </c>
    </row>
    <row r="340" spans="1:7">
      <c r="A340" t="s">
        <v>22</v>
      </c>
      <c r="B340" t="s">
        <v>166</v>
      </c>
      <c r="C340" s="32">
        <v>201.83</v>
      </c>
      <c r="D340" s="33">
        <v>4</v>
      </c>
      <c r="E340" t="s">
        <v>135</v>
      </c>
      <c r="F340" t="s">
        <v>90</v>
      </c>
      <c r="G340" s="33">
        <v>18</v>
      </c>
    </row>
    <row r="341" spans="1:7">
      <c r="A341" t="s">
        <v>22</v>
      </c>
      <c r="B341" t="s">
        <v>166</v>
      </c>
      <c r="C341" s="32">
        <v>202.11</v>
      </c>
      <c r="D341" s="33">
        <v>5</v>
      </c>
      <c r="E341" t="s">
        <v>136</v>
      </c>
      <c r="F341" t="s">
        <v>96</v>
      </c>
      <c r="G341" s="33">
        <v>17</v>
      </c>
    </row>
    <row r="342" spans="1:7">
      <c r="A342" t="s">
        <v>22</v>
      </c>
      <c r="B342" t="s">
        <v>166</v>
      </c>
      <c r="C342" s="32">
        <v>202.39</v>
      </c>
      <c r="D342" s="33">
        <v>6</v>
      </c>
      <c r="E342" t="s">
        <v>137</v>
      </c>
      <c r="F342" t="s">
        <v>90</v>
      </c>
      <c r="G342" s="33">
        <v>18</v>
      </c>
    </row>
    <row r="343" spans="1:7">
      <c r="A343" t="s">
        <v>22</v>
      </c>
      <c r="B343" t="s">
        <v>166</v>
      </c>
      <c r="C343" s="32">
        <v>202.66</v>
      </c>
      <c r="D343" s="33">
        <v>7</v>
      </c>
      <c r="E343" t="s">
        <v>138</v>
      </c>
      <c r="F343" t="s">
        <v>90</v>
      </c>
      <c r="G343" s="33">
        <v>18</v>
      </c>
    </row>
    <row r="344" spans="1:7">
      <c r="A344" t="s">
        <v>22</v>
      </c>
      <c r="B344" t="s">
        <v>166</v>
      </c>
      <c r="C344" s="32">
        <v>202.94</v>
      </c>
      <c r="D344" s="33">
        <v>8</v>
      </c>
      <c r="E344" t="s">
        <v>140</v>
      </c>
      <c r="F344" t="s">
        <v>93</v>
      </c>
      <c r="G344" s="33">
        <v>17</v>
      </c>
    </row>
    <row r="345" spans="1:7">
      <c r="A345" t="s">
        <v>22</v>
      </c>
      <c r="B345" t="s">
        <v>166</v>
      </c>
      <c r="C345" s="32">
        <v>203.22</v>
      </c>
      <c r="D345" s="33">
        <v>9</v>
      </c>
      <c r="E345" t="s">
        <v>141</v>
      </c>
      <c r="F345" t="s">
        <v>90</v>
      </c>
      <c r="G345" s="33">
        <v>18</v>
      </c>
    </row>
    <row r="346" spans="1:7">
      <c r="A346" t="s">
        <v>22</v>
      </c>
      <c r="B346" t="s">
        <v>166</v>
      </c>
      <c r="C346" s="32">
        <v>203.5</v>
      </c>
      <c r="D346" s="33">
        <v>10</v>
      </c>
      <c r="E346" t="s">
        <v>142</v>
      </c>
      <c r="F346" t="s">
        <v>90</v>
      </c>
      <c r="G346" s="33">
        <v>18</v>
      </c>
    </row>
    <row r="347" spans="1:7">
      <c r="A347" t="s">
        <v>22</v>
      </c>
      <c r="B347" t="s">
        <v>166</v>
      </c>
      <c r="C347" s="32">
        <v>203.77</v>
      </c>
      <c r="D347" s="33">
        <v>11</v>
      </c>
      <c r="E347" t="s">
        <v>143</v>
      </c>
      <c r="F347" t="s">
        <v>90</v>
      </c>
      <c r="G347" s="33">
        <v>18</v>
      </c>
    </row>
    <row r="348" spans="1:7">
      <c r="A348" t="s">
        <v>22</v>
      </c>
      <c r="B348" t="s">
        <v>166</v>
      </c>
      <c r="C348" s="32">
        <v>204.05</v>
      </c>
      <c r="D348" s="33">
        <v>12</v>
      </c>
      <c r="E348" t="s">
        <v>144</v>
      </c>
      <c r="F348" t="s">
        <v>93</v>
      </c>
      <c r="G348" s="33">
        <v>17</v>
      </c>
    </row>
    <row r="349" spans="1:7">
      <c r="A349" t="s">
        <v>22</v>
      </c>
      <c r="B349" t="s">
        <v>166</v>
      </c>
      <c r="C349" s="32">
        <v>204.33</v>
      </c>
      <c r="D349" s="33">
        <v>13</v>
      </c>
      <c r="E349" t="s">
        <v>145</v>
      </c>
      <c r="F349" t="s">
        <v>90</v>
      </c>
      <c r="G349" s="33">
        <v>18</v>
      </c>
    </row>
    <row r="350" spans="1:7">
      <c r="A350" t="s">
        <v>22</v>
      </c>
      <c r="B350" t="s">
        <v>166</v>
      </c>
      <c r="C350" s="32">
        <v>204.61</v>
      </c>
      <c r="D350" s="33">
        <v>14</v>
      </c>
      <c r="E350" t="s">
        <v>146</v>
      </c>
      <c r="F350" t="s">
        <v>90</v>
      </c>
      <c r="G350" s="33">
        <v>18</v>
      </c>
    </row>
    <row r="351" spans="1:7">
      <c r="A351" t="s">
        <v>22</v>
      </c>
      <c r="B351" t="s">
        <v>166</v>
      </c>
      <c r="C351" s="32">
        <v>204.88</v>
      </c>
      <c r="D351" s="33">
        <v>15</v>
      </c>
      <c r="E351" t="s">
        <v>148</v>
      </c>
      <c r="F351" t="s">
        <v>96</v>
      </c>
      <c r="G351" s="33">
        <v>17</v>
      </c>
    </row>
    <row r="352" spans="1:7">
      <c r="A352" t="s">
        <v>22</v>
      </c>
      <c r="B352" t="s">
        <v>166</v>
      </c>
      <c r="C352" s="32">
        <v>205.16</v>
      </c>
      <c r="D352" s="33">
        <v>16</v>
      </c>
      <c r="E352" t="s">
        <v>149</v>
      </c>
      <c r="F352" t="s">
        <v>90</v>
      </c>
      <c r="G352" s="33">
        <v>18</v>
      </c>
    </row>
    <row r="353" spans="1:7">
      <c r="A353" t="s">
        <v>22</v>
      </c>
      <c r="B353" t="s">
        <v>166</v>
      </c>
      <c r="C353" s="32">
        <v>205.44</v>
      </c>
      <c r="D353" s="33">
        <v>17</v>
      </c>
      <c r="E353" t="s">
        <v>150</v>
      </c>
      <c r="F353" t="s">
        <v>93</v>
      </c>
      <c r="G353" s="33">
        <v>18</v>
      </c>
    </row>
    <row r="354" spans="1:7">
      <c r="A354" t="s">
        <v>22</v>
      </c>
      <c r="B354" t="s">
        <v>166</v>
      </c>
      <c r="C354" s="32">
        <v>205.72</v>
      </c>
      <c r="D354" s="33">
        <v>18</v>
      </c>
      <c r="E354" t="s">
        <v>151</v>
      </c>
      <c r="F354" t="s">
        <v>90</v>
      </c>
      <c r="G354" s="33">
        <v>17</v>
      </c>
    </row>
    <row r="355" spans="1:7">
      <c r="A355" t="s">
        <v>22</v>
      </c>
      <c r="B355" t="s">
        <v>166</v>
      </c>
      <c r="C355" s="32">
        <v>205.99</v>
      </c>
      <c r="D355" s="33">
        <v>19</v>
      </c>
      <c r="E355" t="s">
        <v>152</v>
      </c>
      <c r="F355" t="s">
        <v>90</v>
      </c>
      <c r="G355" s="33">
        <v>18</v>
      </c>
    </row>
    <row r="356" spans="1:7">
      <c r="A356" t="s">
        <v>22</v>
      </c>
      <c r="B356" t="s">
        <v>166</v>
      </c>
      <c r="C356" s="32">
        <v>206.27</v>
      </c>
      <c r="D356" s="33">
        <v>20</v>
      </c>
      <c r="E356" t="s">
        <v>153</v>
      </c>
      <c r="F356" t="s">
        <v>90</v>
      </c>
      <c r="G356" s="33">
        <v>18</v>
      </c>
    </row>
    <row r="357" spans="1:7">
      <c r="A357" t="s">
        <v>22</v>
      </c>
      <c r="B357" t="s">
        <v>166</v>
      </c>
      <c r="C357" s="32">
        <v>206.55</v>
      </c>
      <c r="D357" s="33">
        <v>21</v>
      </c>
      <c r="E357" t="s">
        <v>120</v>
      </c>
      <c r="F357" t="s">
        <v>93</v>
      </c>
      <c r="G357" s="33">
        <v>17</v>
      </c>
    </row>
    <row r="358" spans="1:7">
      <c r="A358" t="s">
        <v>22</v>
      </c>
      <c r="B358" t="s">
        <v>166</v>
      </c>
      <c r="C358" s="32">
        <v>206.83</v>
      </c>
      <c r="D358" s="33">
        <v>22</v>
      </c>
      <c r="E358" t="s">
        <v>115</v>
      </c>
      <c r="F358" t="s">
        <v>90</v>
      </c>
      <c r="G358" s="33">
        <v>18</v>
      </c>
    </row>
    <row r="359" spans="1:7">
      <c r="A359" t="s">
        <v>22</v>
      </c>
      <c r="B359" t="s">
        <v>166</v>
      </c>
      <c r="C359" s="32">
        <v>207.1</v>
      </c>
      <c r="D359" s="33">
        <v>23</v>
      </c>
      <c r="E359" t="s">
        <v>116</v>
      </c>
      <c r="F359" t="s">
        <v>90</v>
      </c>
      <c r="G359" s="33">
        <v>18</v>
      </c>
    </row>
    <row r="360" spans="1:7">
      <c r="A360" t="s">
        <v>22</v>
      </c>
      <c r="B360" t="s">
        <v>166</v>
      </c>
      <c r="C360" s="32">
        <v>207.38</v>
      </c>
      <c r="D360" s="33">
        <v>24</v>
      </c>
      <c r="E360" t="s">
        <v>117</v>
      </c>
      <c r="F360" t="s">
        <v>90</v>
      </c>
      <c r="G360" s="33">
        <v>17</v>
      </c>
    </row>
    <row r="361" spans="1:7">
      <c r="A361" t="s">
        <v>22</v>
      </c>
      <c r="B361" t="s">
        <v>166</v>
      </c>
      <c r="C361" s="32">
        <v>207.66</v>
      </c>
      <c r="D361" s="33">
        <v>25</v>
      </c>
      <c r="E361" t="s">
        <v>118</v>
      </c>
      <c r="F361" t="s">
        <v>93</v>
      </c>
      <c r="G361" s="33">
        <v>18</v>
      </c>
    </row>
    <row r="362" spans="1:7">
      <c r="A362" t="s">
        <v>22</v>
      </c>
      <c r="B362" t="s">
        <v>166</v>
      </c>
      <c r="C362" s="32">
        <v>207.94</v>
      </c>
      <c r="D362" s="33">
        <v>26</v>
      </c>
      <c r="E362" t="s">
        <v>122</v>
      </c>
      <c r="F362" t="s">
        <v>90</v>
      </c>
      <c r="G362" s="33">
        <v>18</v>
      </c>
    </row>
    <row r="363" spans="1:7">
      <c r="A363" t="s">
        <v>22</v>
      </c>
      <c r="B363" t="s">
        <v>166</v>
      </c>
      <c r="C363" s="32">
        <v>208.21</v>
      </c>
      <c r="D363" s="33">
        <v>27</v>
      </c>
      <c r="E363" t="s">
        <v>124</v>
      </c>
      <c r="F363" t="s">
        <v>90</v>
      </c>
      <c r="G363" s="33">
        <v>18</v>
      </c>
    </row>
    <row r="364" spans="1:7">
      <c r="A364" t="s">
        <v>22</v>
      </c>
      <c r="B364" t="s">
        <v>166</v>
      </c>
      <c r="C364" s="32">
        <v>208.49</v>
      </c>
      <c r="D364" s="33">
        <v>28</v>
      </c>
      <c r="E364" t="s">
        <v>125</v>
      </c>
      <c r="F364" t="s">
        <v>96</v>
      </c>
      <c r="G364" s="33">
        <v>17</v>
      </c>
    </row>
    <row r="365" spans="1:7">
      <c r="A365" t="s">
        <v>22</v>
      </c>
      <c r="B365" t="s">
        <v>166</v>
      </c>
      <c r="C365" s="32">
        <v>208.77</v>
      </c>
      <c r="D365" s="33">
        <v>29</v>
      </c>
      <c r="E365" t="s">
        <v>127</v>
      </c>
      <c r="F365" t="s">
        <v>90</v>
      </c>
      <c r="G365" s="33">
        <v>18</v>
      </c>
    </row>
    <row r="366" spans="1:7">
      <c r="A366" t="s">
        <v>22</v>
      </c>
      <c r="B366" t="s">
        <v>166</v>
      </c>
      <c r="C366" s="32">
        <v>209.05</v>
      </c>
      <c r="D366" s="33">
        <v>30</v>
      </c>
      <c r="E366" t="s">
        <v>128</v>
      </c>
      <c r="F366" t="s">
        <v>90</v>
      </c>
      <c r="G366" s="33">
        <v>18</v>
      </c>
    </row>
    <row r="367" spans="1:7">
      <c r="A367" t="s">
        <v>22</v>
      </c>
      <c r="B367" t="s">
        <v>166</v>
      </c>
      <c r="C367" s="32">
        <v>209.32</v>
      </c>
      <c r="D367" s="33">
        <v>31</v>
      </c>
      <c r="E367" t="s">
        <v>129</v>
      </c>
      <c r="F367" t="s">
        <v>93</v>
      </c>
      <c r="G367" s="33">
        <v>17</v>
      </c>
    </row>
    <row r="368" spans="1:7">
      <c r="A368" t="s">
        <v>22</v>
      </c>
      <c r="B368" t="s">
        <v>166</v>
      </c>
      <c r="C368" s="32">
        <v>209.6</v>
      </c>
      <c r="D368" s="33">
        <v>32</v>
      </c>
      <c r="E368" t="s">
        <v>130</v>
      </c>
      <c r="F368" t="s">
        <v>90</v>
      </c>
      <c r="G368" s="33">
        <v>18</v>
      </c>
    </row>
    <row r="369" spans="1:7">
      <c r="A369" t="s">
        <v>22</v>
      </c>
      <c r="B369" t="s">
        <v>167</v>
      </c>
      <c r="C369" s="32">
        <v>211</v>
      </c>
      <c r="D369" s="33">
        <v>1</v>
      </c>
      <c r="E369" t="s">
        <v>125</v>
      </c>
      <c r="F369" t="s">
        <v>90</v>
      </c>
      <c r="G369" s="33">
        <v>18</v>
      </c>
    </row>
    <row r="370" spans="1:7">
      <c r="A370" t="s">
        <v>22</v>
      </c>
      <c r="B370" t="s">
        <v>167</v>
      </c>
      <c r="C370" s="32">
        <v>211.26</v>
      </c>
      <c r="D370" s="33">
        <v>2</v>
      </c>
      <c r="E370" t="s">
        <v>127</v>
      </c>
      <c r="F370" t="s">
        <v>93</v>
      </c>
      <c r="G370" s="33">
        <v>17</v>
      </c>
    </row>
    <row r="371" spans="1:7">
      <c r="A371" t="s">
        <v>22</v>
      </c>
      <c r="B371" t="s">
        <v>167</v>
      </c>
      <c r="C371" s="32">
        <v>211.52</v>
      </c>
      <c r="D371" s="33">
        <v>3</v>
      </c>
      <c r="E371" t="s">
        <v>128</v>
      </c>
      <c r="F371" t="s">
        <v>90</v>
      </c>
      <c r="G371" s="33">
        <v>18</v>
      </c>
    </row>
    <row r="372" spans="1:7">
      <c r="A372" t="s">
        <v>22</v>
      </c>
      <c r="B372" t="s">
        <v>167</v>
      </c>
      <c r="C372" s="32">
        <v>211.78</v>
      </c>
      <c r="D372" s="33">
        <v>4</v>
      </c>
      <c r="E372" t="s">
        <v>129</v>
      </c>
      <c r="F372" t="s">
        <v>90</v>
      </c>
      <c r="G372" s="33">
        <v>18</v>
      </c>
    </row>
    <row r="373" spans="1:7">
      <c r="A373" t="s">
        <v>22</v>
      </c>
      <c r="B373" t="s">
        <v>167</v>
      </c>
      <c r="C373" s="32">
        <v>212.04</v>
      </c>
      <c r="D373" s="33">
        <v>5</v>
      </c>
      <c r="E373" t="s">
        <v>130</v>
      </c>
      <c r="F373" t="s">
        <v>96</v>
      </c>
      <c r="G373" s="33">
        <v>18</v>
      </c>
    </row>
    <row r="374" spans="1:7">
      <c r="A374" t="s">
        <v>22</v>
      </c>
      <c r="B374" t="s">
        <v>167</v>
      </c>
      <c r="C374" s="32">
        <v>212.3</v>
      </c>
      <c r="D374" s="33">
        <v>6</v>
      </c>
      <c r="E374" t="s">
        <v>131</v>
      </c>
      <c r="F374" t="s">
        <v>90</v>
      </c>
      <c r="G374" s="33">
        <v>17</v>
      </c>
    </row>
    <row r="375" spans="1:7">
      <c r="A375" t="s">
        <v>22</v>
      </c>
      <c r="B375" t="s">
        <v>167</v>
      </c>
      <c r="C375" s="32">
        <v>212.56</v>
      </c>
      <c r="D375" s="33">
        <v>7</v>
      </c>
      <c r="E375" t="s">
        <v>133</v>
      </c>
      <c r="F375" t="s">
        <v>90</v>
      </c>
      <c r="G375" s="33">
        <v>18</v>
      </c>
    </row>
    <row r="376" spans="1:7">
      <c r="A376" t="s">
        <v>22</v>
      </c>
      <c r="B376" t="s">
        <v>167</v>
      </c>
      <c r="C376" s="32">
        <v>212.82</v>
      </c>
      <c r="D376" s="33">
        <v>8</v>
      </c>
      <c r="E376" t="s">
        <v>134</v>
      </c>
      <c r="F376" t="s">
        <v>93</v>
      </c>
      <c r="G376" s="33">
        <v>18</v>
      </c>
    </row>
    <row r="377" spans="1:7">
      <c r="A377" t="s">
        <v>22</v>
      </c>
      <c r="B377" t="s">
        <v>167</v>
      </c>
      <c r="C377" s="32">
        <v>213.08</v>
      </c>
      <c r="D377" s="33">
        <v>9</v>
      </c>
      <c r="E377" t="s">
        <v>135</v>
      </c>
      <c r="F377" t="s">
        <v>90</v>
      </c>
      <c r="G377" s="33">
        <v>17</v>
      </c>
    </row>
    <row r="378" spans="1:7">
      <c r="A378" t="s">
        <v>22</v>
      </c>
      <c r="B378" t="s">
        <v>167</v>
      </c>
      <c r="C378" s="32">
        <v>213.35</v>
      </c>
      <c r="D378" s="33">
        <v>10</v>
      </c>
      <c r="E378" t="s">
        <v>136</v>
      </c>
      <c r="F378" t="s">
        <v>90</v>
      </c>
      <c r="G378" s="33">
        <v>18</v>
      </c>
    </row>
    <row r="379" spans="1:7">
      <c r="A379" t="s">
        <v>22</v>
      </c>
      <c r="B379" t="s">
        <v>167</v>
      </c>
      <c r="C379" s="32">
        <v>213.61</v>
      </c>
      <c r="D379" s="33">
        <v>11</v>
      </c>
      <c r="E379" t="s">
        <v>137</v>
      </c>
      <c r="F379" t="s">
        <v>93</v>
      </c>
      <c r="G379" s="33">
        <v>18</v>
      </c>
    </row>
    <row r="380" spans="1:7">
      <c r="A380" t="s">
        <v>22</v>
      </c>
      <c r="B380" t="s">
        <v>167</v>
      </c>
      <c r="C380" s="32">
        <v>213.87</v>
      </c>
      <c r="D380" s="33">
        <v>12</v>
      </c>
      <c r="E380" t="s">
        <v>138</v>
      </c>
      <c r="F380" t="s">
        <v>90</v>
      </c>
      <c r="G380" s="33">
        <v>17</v>
      </c>
    </row>
    <row r="381" spans="1:7">
      <c r="A381" t="s">
        <v>22</v>
      </c>
      <c r="B381" t="s">
        <v>167</v>
      </c>
      <c r="C381" s="32">
        <v>214.13</v>
      </c>
      <c r="D381" s="33">
        <v>13</v>
      </c>
      <c r="E381" t="s">
        <v>140</v>
      </c>
      <c r="F381" t="s">
        <v>90</v>
      </c>
      <c r="G381" s="33">
        <v>18</v>
      </c>
    </row>
    <row r="382" spans="1:7">
      <c r="A382" t="s">
        <v>22</v>
      </c>
      <c r="B382" t="s">
        <v>167</v>
      </c>
      <c r="C382" s="32">
        <v>214.39</v>
      </c>
      <c r="D382" s="33">
        <v>14</v>
      </c>
      <c r="E382" t="s">
        <v>141</v>
      </c>
      <c r="F382" t="s">
        <v>90</v>
      </c>
      <c r="G382" s="33">
        <v>18</v>
      </c>
    </row>
    <row r="383" spans="1:7">
      <c r="A383" t="s">
        <v>22</v>
      </c>
      <c r="B383" t="s">
        <v>167</v>
      </c>
      <c r="C383" s="32">
        <v>214.65</v>
      </c>
      <c r="D383" s="33">
        <v>15</v>
      </c>
      <c r="E383" t="s">
        <v>142</v>
      </c>
      <c r="F383" t="s">
        <v>93</v>
      </c>
      <c r="G383" s="33">
        <v>18</v>
      </c>
    </row>
    <row r="384" spans="1:7">
      <c r="A384" t="s">
        <v>22</v>
      </c>
      <c r="B384" t="s">
        <v>167</v>
      </c>
      <c r="C384" s="32">
        <v>214.91</v>
      </c>
      <c r="D384" s="33">
        <v>16</v>
      </c>
      <c r="E384" t="s">
        <v>143</v>
      </c>
      <c r="F384" t="s">
        <v>90</v>
      </c>
      <c r="G384" s="33">
        <v>17</v>
      </c>
    </row>
    <row r="385" spans="1:7">
      <c r="A385" t="s">
        <v>22</v>
      </c>
      <c r="B385" t="s">
        <v>167</v>
      </c>
      <c r="C385" s="32">
        <v>215.17</v>
      </c>
      <c r="D385" s="33">
        <v>17</v>
      </c>
      <c r="E385" t="s">
        <v>144</v>
      </c>
      <c r="F385" t="s">
        <v>90</v>
      </c>
      <c r="G385" s="33">
        <v>18</v>
      </c>
    </row>
    <row r="386" spans="1:7">
      <c r="A386" t="s">
        <v>22</v>
      </c>
      <c r="B386" t="s">
        <v>167</v>
      </c>
      <c r="C386" s="32">
        <v>215.43</v>
      </c>
      <c r="D386" s="33">
        <v>18</v>
      </c>
      <c r="E386" t="s">
        <v>145</v>
      </c>
      <c r="F386" t="s">
        <v>96</v>
      </c>
      <c r="G386" s="33">
        <v>18</v>
      </c>
    </row>
    <row r="387" spans="1:7">
      <c r="A387" t="s">
        <v>22</v>
      </c>
      <c r="B387" t="s">
        <v>167</v>
      </c>
      <c r="C387" s="32">
        <v>215.69</v>
      </c>
      <c r="D387" s="33">
        <v>19</v>
      </c>
      <c r="E387" t="s">
        <v>146</v>
      </c>
      <c r="F387" t="s">
        <v>90</v>
      </c>
      <c r="G387" s="33">
        <v>17</v>
      </c>
    </row>
    <row r="388" spans="1:7">
      <c r="A388" t="s">
        <v>22</v>
      </c>
      <c r="B388" t="s">
        <v>167</v>
      </c>
      <c r="C388" s="32">
        <v>215.95</v>
      </c>
      <c r="D388" s="33">
        <v>20</v>
      </c>
      <c r="E388" t="s">
        <v>148</v>
      </c>
      <c r="F388" t="s">
        <v>93</v>
      </c>
      <c r="G388" s="33">
        <v>18</v>
      </c>
    </row>
    <row r="389" spans="1:7">
      <c r="A389" t="s">
        <v>22</v>
      </c>
      <c r="B389" t="s">
        <v>167</v>
      </c>
      <c r="C389" s="32">
        <v>216.21</v>
      </c>
      <c r="D389" s="33">
        <v>21</v>
      </c>
      <c r="E389" t="s">
        <v>149</v>
      </c>
      <c r="F389" t="s">
        <v>90</v>
      </c>
      <c r="G389" s="33">
        <v>18</v>
      </c>
    </row>
    <row r="390" spans="1:7">
      <c r="A390" t="s">
        <v>22</v>
      </c>
      <c r="B390" t="s">
        <v>167</v>
      </c>
      <c r="C390" s="32">
        <v>216.47</v>
      </c>
      <c r="D390" s="33">
        <v>22</v>
      </c>
      <c r="E390" t="s">
        <v>150</v>
      </c>
      <c r="F390" t="s">
        <v>90</v>
      </c>
      <c r="G390" s="33">
        <v>18</v>
      </c>
    </row>
    <row r="391" spans="1:7">
      <c r="A391" t="s">
        <v>22</v>
      </c>
      <c r="B391" t="s">
        <v>167</v>
      </c>
      <c r="C391" s="32">
        <v>216.73</v>
      </c>
      <c r="D391" s="33">
        <v>23</v>
      </c>
      <c r="E391" t="s">
        <v>151</v>
      </c>
      <c r="F391" t="s">
        <v>90</v>
      </c>
      <c r="G391" s="33">
        <v>17</v>
      </c>
    </row>
    <row r="392" spans="1:7">
      <c r="A392" t="s">
        <v>22</v>
      </c>
      <c r="B392" t="s">
        <v>167</v>
      </c>
      <c r="C392" s="32">
        <v>216.99</v>
      </c>
      <c r="D392" s="33">
        <v>24</v>
      </c>
      <c r="E392" t="s">
        <v>152</v>
      </c>
      <c r="F392" t="s">
        <v>93</v>
      </c>
      <c r="G392" s="33">
        <v>18</v>
      </c>
    </row>
    <row r="393" spans="1:7">
      <c r="A393" t="s">
        <v>22</v>
      </c>
      <c r="B393" t="s">
        <v>167</v>
      </c>
      <c r="C393" s="32">
        <v>217.25</v>
      </c>
      <c r="D393" s="33">
        <v>25</v>
      </c>
      <c r="E393" t="s">
        <v>153</v>
      </c>
      <c r="F393" t="s">
        <v>90</v>
      </c>
      <c r="G393" s="33">
        <v>18</v>
      </c>
    </row>
    <row r="394" spans="1:7">
      <c r="A394" t="s">
        <v>22</v>
      </c>
      <c r="B394" t="s">
        <v>167</v>
      </c>
      <c r="C394" s="32">
        <v>217.52</v>
      </c>
      <c r="D394" s="33">
        <v>26</v>
      </c>
      <c r="E394" t="s">
        <v>120</v>
      </c>
      <c r="F394" t="s">
        <v>90</v>
      </c>
      <c r="G394" s="33">
        <v>17</v>
      </c>
    </row>
    <row r="395" spans="1:7">
      <c r="A395" t="s">
        <v>22</v>
      </c>
      <c r="B395" t="s">
        <v>167</v>
      </c>
      <c r="C395" s="32">
        <v>217.78</v>
      </c>
      <c r="D395" s="33">
        <v>27</v>
      </c>
      <c r="E395" t="s">
        <v>115</v>
      </c>
      <c r="F395" t="s">
        <v>96</v>
      </c>
      <c r="G395" s="33">
        <v>18</v>
      </c>
    </row>
    <row r="396" spans="1:7">
      <c r="A396" t="s">
        <v>22</v>
      </c>
      <c r="B396" t="s">
        <v>167</v>
      </c>
      <c r="C396" s="32">
        <v>218.04</v>
      </c>
      <c r="D396" s="33">
        <v>28</v>
      </c>
      <c r="E396" t="s">
        <v>116</v>
      </c>
      <c r="F396" t="s">
        <v>90</v>
      </c>
      <c r="G396" s="33">
        <v>18</v>
      </c>
    </row>
    <row r="397" spans="1:7">
      <c r="A397" t="s">
        <v>22</v>
      </c>
      <c r="B397" t="s">
        <v>167</v>
      </c>
      <c r="C397" s="32">
        <v>218.3</v>
      </c>
      <c r="D397" s="33">
        <v>29</v>
      </c>
      <c r="E397" t="s">
        <v>117</v>
      </c>
      <c r="F397" t="s">
        <v>93</v>
      </c>
      <c r="G397" s="33">
        <v>17</v>
      </c>
    </row>
    <row r="398" spans="1:7">
      <c r="A398" t="s">
        <v>22</v>
      </c>
      <c r="B398" t="s">
        <v>167</v>
      </c>
      <c r="C398" s="32">
        <v>218.56</v>
      </c>
      <c r="D398" s="33">
        <v>30</v>
      </c>
      <c r="E398" t="s">
        <v>118</v>
      </c>
      <c r="F398" t="s">
        <v>90</v>
      </c>
      <c r="G398" s="33">
        <v>18</v>
      </c>
    </row>
    <row r="399" spans="1:7">
      <c r="A399" t="s">
        <v>22</v>
      </c>
      <c r="B399" t="s">
        <v>167</v>
      </c>
      <c r="C399" s="32">
        <v>218.82</v>
      </c>
      <c r="D399" s="33">
        <v>31</v>
      </c>
      <c r="E399" t="s">
        <v>122</v>
      </c>
      <c r="F399" t="s">
        <v>90</v>
      </c>
      <c r="G399" s="33">
        <v>18</v>
      </c>
    </row>
    <row r="400" spans="1:7">
      <c r="A400" t="s">
        <v>22</v>
      </c>
      <c r="B400" t="s">
        <v>167</v>
      </c>
      <c r="C400" s="32">
        <v>219.08</v>
      </c>
      <c r="D400" s="33">
        <v>32</v>
      </c>
      <c r="E400" t="s">
        <v>124</v>
      </c>
      <c r="F400" t="s">
        <v>90</v>
      </c>
      <c r="G400" s="33">
        <v>18</v>
      </c>
    </row>
    <row r="401" spans="1:7">
      <c r="A401" t="s">
        <v>22</v>
      </c>
      <c r="B401" t="s">
        <v>167</v>
      </c>
      <c r="C401" s="32">
        <v>219.34</v>
      </c>
      <c r="D401" s="33">
        <v>33</v>
      </c>
      <c r="E401" t="s">
        <v>125</v>
      </c>
      <c r="F401" t="s">
        <v>93</v>
      </c>
      <c r="G401" s="33">
        <v>17</v>
      </c>
    </row>
    <row r="402" spans="1:7">
      <c r="A402" t="s">
        <v>22</v>
      </c>
      <c r="B402" t="s">
        <v>167</v>
      </c>
      <c r="C402" s="32">
        <v>219.6</v>
      </c>
      <c r="D402" s="33">
        <v>34</v>
      </c>
      <c r="E402" t="s">
        <v>127</v>
      </c>
      <c r="F402" t="s">
        <v>90</v>
      </c>
      <c r="G402" s="33">
        <v>18</v>
      </c>
    </row>
    <row r="403" spans="1:7">
      <c r="A403" t="s">
        <v>22</v>
      </c>
      <c r="B403" t="s">
        <v>168</v>
      </c>
      <c r="C403" s="32">
        <v>221</v>
      </c>
      <c r="D403" s="33">
        <v>1</v>
      </c>
      <c r="E403" t="s">
        <v>118</v>
      </c>
      <c r="F403" t="s">
        <v>90</v>
      </c>
      <c r="G403" s="33">
        <v>19</v>
      </c>
    </row>
    <row r="404" spans="1:7">
      <c r="A404" t="s">
        <v>22</v>
      </c>
      <c r="B404" t="s">
        <v>168</v>
      </c>
      <c r="C404" s="32">
        <v>221.25</v>
      </c>
      <c r="D404" s="33">
        <v>2</v>
      </c>
      <c r="E404" t="s">
        <v>122</v>
      </c>
      <c r="F404" t="s">
        <v>93</v>
      </c>
      <c r="G404" s="33">
        <v>18</v>
      </c>
    </row>
    <row r="405" spans="1:7">
      <c r="A405" t="s">
        <v>22</v>
      </c>
      <c r="B405" t="s">
        <v>168</v>
      </c>
      <c r="C405" s="32">
        <v>221.51</v>
      </c>
      <c r="D405" s="33">
        <v>3</v>
      </c>
      <c r="E405" t="s">
        <v>124</v>
      </c>
      <c r="F405" t="s">
        <v>90</v>
      </c>
      <c r="G405" s="33">
        <v>19</v>
      </c>
    </row>
    <row r="406" spans="1:7">
      <c r="A406" t="s">
        <v>22</v>
      </c>
      <c r="B406" t="s">
        <v>168</v>
      </c>
      <c r="C406" s="32">
        <v>221.76</v>
      </c>
      <c r="D406" s="33">
        <v>4</v>
      </c>
      <c r="E406" t="s">
        <v>125</v>
      </c>
      <c r="F406" t="s">
        <v>90</v>
      </c>
      <c r="G406" s="33">
        <v>19</v>
      </c>
    </row>
    <row r="407" spans="1:7">
      <c r="A407" t="s">
        <v>22</v>
      </c>
      <c r="B407" t="s">
        <v>168</v>
      </c>
      <c r="C407" s="32">
        <v>222.01</v>
      </c>
      <c r="D407" s="33">
        <v>5</v>
      </c>
      <c r="E407" t="s">
        <v>127</v>
      </c>
      <c r="F407" t="s">
        <v>96</v>
      </c>
      <c r="G407" s="33">
        <v>19</v>
      </c>
    </row>
    <row r="408" spans="1:7">
      <c r="A408" t="s">
        <v>22</v>
      </c>
      <c r="B408" t="s">
        <v>168</v>
      </c>
      <c r="C408" s="32">
        <v>222.26</v>
      </c>
      <c r="D408" s="33">
        <v>6</v>
      </c>
      <c r="E408" t="s">
        <v>128</v>
      </c>
      <c r="F408" t="s">
        <v>90</v>
      </c>
      <c r="G408" s="33">
        <v>18</v>
      </c>
    </row>
    <row r="409" spans="1:7">
      <c r="A409" t="s">
        <v>22</v>
      </c>
      <c r="B409" t="s">
        <v>168</v>
      </c>
      <c r="C409" s="32">
        <v>222.52</v>
      </c>
      <c r="D409" s="33">
        <v>7</v>
      </c>
      <c r="E409" t="s">
        <v>129</v>
      </c>
      <c r="F409" t="s">
        <v>90</v>
      </c>
      <c r="G409" s="33">
        <v>19</v>
      </c>
    </row>
    <row r="410" spans="1:7">
      <c r="A410" t="s">
        <v>22</v>
      </c>
      <c r="B410" t="s">
        <v>168</v>
      </c>
      <c r="C410" s="32">
        <v>222.77</v>
      </c>
      <c r="D410" s="33">
        <v>8</v>
      </c>
      <c r="E410" t="s">
        <v>130</v>
      </c>
      <c r="F410" t="s">
        <v>93</v>
      </c>
      <c r="G410" s="33">
        <v>19</v>
      </c>
    </row>
    <row r="411" spans="1:7">
      <c r="A411" t="s">
        <v>22</v>
      </c>
      <c r="B411" t="s">
        <v>168</v>
      </c>
      <c r="C411" s="32">
        <v>223.02</v>
      </c>
      <c r="D411" s="33">
        <v>9</v>
      </c>
      <c r="E411" t="s">
        <v>131</v>
      </c>
      <c r="F411" t="s">
        <v>90</v>
      </c>
      <c r="G411" s="33">
        <v>19</v>
      </c>
    </row>
    <row r="412" spans="1:7">
      <c r="A412" t="s">
        <v>22</v>
      </c>
      <c r="B412" t="s">
        <v>168</v>
      </c>
      <c r="C412" s="32">
        <v>223.28</v>
      </c>
      <c r="D412" s="33">
        <v>10</v>
      </c>
      <c r="E412" t="s">
        <v>133</v>
      </c>
      <c r="F412" t="s">
        <v>90</v>
      </c>
      <c r="G412" s="33">
        <v>18</v>
      </c>
    </row>
    <row r="413" spans="1:7">
      <c r="A413" t="s">
        <v>22</v>
      </c>
      <c r="B413" t="s">
        <v>168</v>
      </c>
      <c r="C413" s="32">
        <v>223.53</v>
      </c>
      <c r="D413" s="33">
        <v>11</v>
      </c>
      <c r="E413" t="s">
        <v>134</v>
      </c>
      <c r="F413" t="s">
        <v>90</v>
      </c>
      <c r="G413" s="33">
        <v>19</v>
      </c>
    </row>
    <row r="414" spans="1:7">
      <c r="A414" t="s">
        <v>22</v>
      </c>
      <c r="B414" t="s">
        <v>168</v>
      </c>
      <c r="C414" s="32">
        <v>223.78</v>
      </c>
      <c r="D414" s="33">
        <v>12</v>
      </c>
      <c r="E414" t="s">
        <v>135</v>
      </c>
      <c r="F414" t="s">
        <v>93</v>
      </c>
      <c r="G414" s="33">
        <v>19</v>
      </c>
    </row>
    <row r="415" spans="1:7">
      <c r="A415" t="s">
        <v>22</v>
      </c>
      <c r="B415" t="s">
        <v>168</v>
      </c>
      <c r="C415" s="32">
        <v>224.04</v>
      </c>
      <c r="D415" s="33">
        <v>13</v>
      </c>
      <c r="E415" t="s">
        <v>136</v>
      </c>
      <c r="F415" t="s">
        <v>90</v>
      </c>
      <c r="G415" s="33">
        <v>19</v>
      </c>
    </row>
    <row r="416" spans="1:7">
      <c r="A416" t="s">
        <v>22</v>
      </c>
      <c r="B416" t="s">
        <v>168</v>
      </c>
      <c r="C416" s="32">
        <v>224.29</v>
      </c>
      <c r="D416" s="33">
        <v>14</v>
      </c>
      <c r="E416" t="s">
        <v>137</v>
      </c>
      <c r="F416" t="s">
        <v>90</v>
      </c>
      <c r="G416" s="33">
        <v>18</v>
      </c>
    </row>
    <row r="417" spans="1:7">
      <c r="A417" t="s">
        <v>22</v>
      </c>
      <c r="B417" t="s">
        <v>168</v>
      </c>
      <c r="C417" s="32">
        <v>224.54</v>
      </c>
      <c r="D417" s="33">
        <v>15</v>
      </c>
      <c r="E417" t="s">
        <v>138</v>
      </c>
      <c r="F417" t="s">
        <v>93</v>
      </c>
      <c r="G417" s="33">
        <v>19</v>
      </c>
    </row>
    <row r="418" spans="1:7">
      <c r="A418" t="s">
        <v>22</v>
      </c>
      <c r="B418" t="s">
        <v>168</v>
      </c>
      <c r="C418" s="32">
        <v>224.79</v>
      </c>
      <c r="D418" s="33">
        <v>16</v>
      </c>
      <c r="E418" t="s">
        <v>140</v>
      </c>
      <c r="F418" t="s">
        <v>90</v>
      </c>
      <c r="G418" s="33">
        <v>19</v>
      </c>
    </row>
    <row r="419" spans="1:7">
      <c r="A419" t="s">
        <v>22</v>
      </c>
      <c r="B419" t="s">
        <v>168</v>
      </c>
      <c r="C419" s="32">
        <v>225.05</v>
      </c>
      <c r="D419" s="33">
        <v>17</v>
      </c>
      <c r="E419" t="s">
        <v>141</v>
      </c>
      <c r="F419" t="s">
        <v>90</v>
      </c>
      <c r="G419" s="33">
        <v>19</v>
      </c>
    </row>
    <row r="420" spans="1:7">
      <c r="A420" t="s">
        <v>22</v>
      </c>
      <c r="B420" t="s">
        <v>168</v>
      </c>
      <c r="C420" s="32">
        <v>225.3</v>
      </c>
      <c r="D420" s="33">
        <v>18</v>
      </c>
      <c r="E420" t="s">
        <v>142</v>
      </c>
      <c r="F420" t="s">
        <v>96</v>
      </c>
      <c r="G420" s="33">
        <v>18</v>
      </c>
    </row>
    <row r="421" spans="1:7">
      <c r="A421" t="s">
        <v>22</v>
      </c>
      <c r="B421" t="s">
        <v>168</v>
      </c>
      <c r="C421" s="32">
        <v>225.55</v>
      </c>
      <c r="D421" s="33">
        <v>19</v>
      </c>
      <c r="E421" t="s">
        <v>143</v>
      </c>
      <c r="F421" t="s">
        <v>90</v>
      </c>
      <c r="G421" s="33">
        <v>19</v>
      </c>
    </row>
    <row r="422" spans="1:7">
      <c r="A422" t="s">
        <v>22</v>
      </c>
      <c r="B422" t="s">
        <v>168</v>
      </c>
      <c r="C422" s="32">
        <v>225.81</v>
      </c>
      <c r="D422" s="33">
        <v>20</v>
      </c>
      <c r="E422" t="s">
        <v>144</v>
      </c>
      <c r="F422" t="s">
        <v>90</v>
      </c>
      <c r="G422" s="33">
        <v>19</v>
      </c>
    </row>
    <row r="423" spans="1:7">
      <c r="A423" t="s">
        <v>22</v>
      </c>
      <c r="B423" t="s">
        <v>168</v>
      </c>
      <c r="C423" s="32">
        <v>226.06</v>
      </c>
      <c r="D423" s="33">
        <v>21</v>
      </c>
      <c r="E423" t="s">
        <v>145</v>
      </c>
      <c r="F423" t="s">
        <v>93</v>
      </c>
      <c r="G423" s="33">
        <v>19</v>
      </c>
    </row>
    <row r="424" spans="1:7">
      <c r="A424" t="s">
        <v>22</v>
      </c>
      <c r="B424" t="s">
        <v>168</v>
      </c>
      <c r="C424" s="32">
        <v>226.31</v>
      </c>
      <c r="D424" s="33">
        <v>22</v>
      </c>
      <c r="E424" t="s">
        <v>146</v>
      </c>
      <c r="F424" t="s">
        <v>90</v>
      </c>
      <c r="G424" s="33">
        <v>18</v>
      </c>
    </row>
    <row r="425" spans="1:7">
      <c r="A425" t="s">
        <v>22</v>
      </c>
      <c r="B425" t="s">
        <v>168</v>
      </c>
      <c r="C425" s="32">
        <v>226.56</v>
      </c>
      <c r="D425" s="33">
        <v>23</v>
      </c>
      <c r="E425" t="s">
        <v>148</v>
      </c>
      <c r="F425" t="s">
        <v>90</v>
      </c>
      <c r="G425" s="33">
        <v>19</v>
      </c>
    </row>
    <row r="426" spans="1:7">
      <c r="A426" t="s">
        <v>22</v>
      </c>
      <c r="B426" t="s">
        <v>168</v>
      </c>
      <c r="C426" s="32">
        <v>226.82</v>
      </c>
      <c r="D426" s="33">
        <v>24</v>
      </c>
      <c r="E426" t="s">
        <v>149</v>
      </c>
      <c r="F426" t="s">
        <v>93</v>
      </c>
      <c r="G426" s="33">
        <v>19</v>
      </c>
    </row>
    <row r="427" spans="1:7">
      <c r="A427" t="s">
        <v>22</v>
      </c>
      <c r="B427" t="s">
        <v>168</v>
      </c>
      <c r="C427" s="32">
        <v>227.07</v>
      </c>
      <c r="D427" s="33">
        <v>25</v>
      </c>
      <c r="E427" t="s">
        <v>150</v>
      </c>
      <c r="F427" t="s">
        <v>90</v>
      </c>
      <c r="G427" s="33">
        <v>19</v>
      </c>
    </row>
    <row r="428" spans="1:7">
      <c r="A428" t="s">
        <v>22</v>
      </c>
      <c r="B428" t="s">
        <v>168</v>
      </c>
      <c r="C428" s="32">
        <v>227.32</v>
      </c>
      <c r="D428" s="33">
        <v>26</v>
      </c>
      <c r="E428" t="s">
        <v>151</v>
      </c>
      <c r="F428" t="s">
        <v>90</v>
      </c>
      <c r="G428" s="33">
        <v>18</v>
      </c>
    </row>
    <row r="429" spans="1:7">
      <c r="A429" t="s">
        <v>22</v>
      </c>
      <c r="B429" t="s">
        <v>168</v>
      </c>
      <c r="C429" s="32">
        <v>227.58</v>
      </c>
      <c r="D429" s="33">
        <v>27</v>
      </c>
      <c r="E429" t="s">
        <v>152</v>
      </c>
      <c r="F429" t="s">
        <v>90</v>
      </c>
      <c r="G429" s="33">
        <v>19</v>
      </c>
    </row>
    <row r="430" spans="1:7">
      <c r="A430" t="s">
        <v>22</v>
      </c>
      <c r="B430" t="s">
        <v>168</v>
      </c>
      <c r="C430" s="32">
        <v>227.83</v>
      </c>
      <c r="D430" s="33">
        <v>28</v>
      </c>
      <c r="E430" t="s">
        <v>153</v>
      </c>
      <c r="F430" t="s">
        <v>93</v>
      </c>
      <c r="G430" s="33">
        <v>19</v>
      </c>
    </row>
    <row r="431" spans="1:7">
      <c r="A431" t="s">
        <v>22</v>
      </c>
      <c r="B431" t="s">
        <v>168</v>
      </c>
      <c r="C431" s="32">
        <v>228.08</v>
      </c>
      <c r="D431" s="33">
        <v>29</v>
      </c>
      <c r="E431" t="s">
        <v>120</v>
      </c>
      <c r="F431" t="s">
        <v>90</v>
      </c>
      <c r="G431" s="33">
        <v>19</v>
      </c>
    </row>
    <row r="432" spans="1:7">
      <c r="A432" t="s">
        <v>22</v>
      </c>
      <c r="B432" t="s">
        <v>168</v>
      </c>
      <c r="C432" s="32">
        <v>228.34</v>
      </c>
      <c r="D432" s="33">
        <v>30</v>
      </c>
      <c r="E432" t="s">
        <v>115</v>
      </c>
      <c r="F432" t="s">
        <v>90</v>
      </c>
      <c r="G432" s="33">
        <v>18</v>
      </c>
    </row>
    <row r="433" spans="1:7">
      <c r="A433" t="s">
        <v>22</v>
      </c>
      <c r="B433" t="s">
        <v>168</v>
      </c>
      <c r="C433" s="32">
        <v>228.59</v>
      </c>
      <c r="D433" s="33">
        <v>31</v>
      </c>
      <c r="E433" t="s">
        <v>116</v>
      </c>
      <c r="F433" t="s">
        <v>96</v>
      </c>
      <c r="G433" s="33">
        <v>19</v>
      </c>
    </row>
    <row r="434" spans="1:7">
      <c r="A434" t="s">
        <v>22</v>
      </c>
      <c r="B434" t="s">
        <v>168</v>
      </c>
      <c r="C434" s="32">
        <v>228.84</v>
      </c>
      <c r="D434" s="33">
        <v>32</v>
      </c>
      <c r="E434" t="s">
        <v>117</v>
      </c>
      <c r="F434" t="s">
        <v>90</v>
      </c>
      <c r="G434" s="33">
        <v>19</v>
      </c>
    </row>
    <row r="435" spans="1:7">
      <c r="A435" t="s">
        <v>22</v>
      </c>
      <c r="B435" t="s">
        <v>168</v>
      </c>
      <c r="C435" s="32">
        <v>229.09</v>
      </c>
      <c r="D435" s="33">
        <v>33</v>
      </c>
      <c r="E435" t="s">
        <v>118</v>
      </c>
      <c r="F435" t="s">
        <v>90</v>
      </c>
      <c r="G435" s="33">
        <v>19</v>
      </c>
    </row>
    <row r="436" spans="1:7">
      <c r="A436" t="s">
        <v>22</v>
      </c>
      <c r="B436" t="s">
        <v>168</v>
      </c>
      <c r="C436" s="32">
        <v>229.35</v>
      </c>
      <c r="D436" s="33">
        <v>34</v>
      </c>
      <c r="E436" t="s">
        <v>122</v>
      </c>
      <c r="F436" t="s">
        <v>93</v>
      </c>
      <c r="G436" s="33">
        <v>18</v>
      </c>
    </row>
    <row r="437" spans="1:7">
      <c r="A437" t="s">
        <v>22</v>
      </c>
      <c r="B437" t="s">
        <v>168</v>
      </c>
      <c r="C437" s="32">
        <v>229.6</v>
      </c>
      <c r="D437" s="33">
        <v>35</v>
      </c>
      <c r="E437" t="s">
        <v>124</v>
      </c>
      <c r="F437" t="s">
        <v>90</v>
      </c>
      <c r="G437" s="33">
        <v>19</v>
      </c>
    </row>
    <row r="438" spans="1:7">
      <c r="A438" t="s">
        <v>22</v>
      </c>
      <c r="B438" t="s">
        <v>169</v>
      </c>
      <c r="C438" s="32">
        <v>231</v>
      </c>
      <c r="D438" s="33">
        <v>1</v>
      </c>
      <c r="E438" t="s">
        <v>116</v>
      </c>
      <c r="F438" t="s">
        <v>90</v>
      </c>
      <c r="G438" s="33">
        <v>20</v>
      </c>
    </row>
    <row r="439" spans="1:7">
      <c r="A439" t="s">
        <v>22</v>
      </c>
      <c r="B439" t="s">
        <v>169</v>
      </c>
      <c r="C439" s="32">
        <v>231.24</v>
      </c>
      <c r="D439" s="33">
        <v>2</v>
      </c>
      <c r="E439" t="s">
        <v>117</v>
      </c>
      <c r="F439" t="s">
        <v>93</v>
      </c>
      <c r="G439" s="33">
        <v>20</v>
      </c>
    </row>
    <row r="440" spans="1:7">
      <c r="A440" t="s">
        <v>22</v>
      </c>
      <c r="B440" t="s">
        <v>169</v>
      </c>
      <c r="C440" s="32">
        <v>231.48</v>
      </c>
      <c r="D440" s="33">
        <v>3</v>
      </c>
      <c r="E440" t="s">
        <v>118</v>
      </c>
      <c r="F440" t="s">
        <v>90</v>
      </c>
      <c r="G440" s="33">
        <v>19</v>
      </c>
    </row>
    <row r="441" spans="1:7">
      <c r="A441" t="s">
        <v>22</v>
      </c>
      <c r="B441" t="s">
        <v>169</v>
      </c>
      <c r="C441" s="32">
        <v>231.72</v>
      </c>
      <c r="D441" s="33">
        <v>4</v>
      </c>
      <c r="E441" t="s">
        <v>122</v>
      </c>
      <c r="F441" t="s">
        <v>90</v>
      </c>
      <c r="G441" s="33">
        <v>20</v>
      </c>
    </row>
    <row r="442" spans="1:7">
      <c r="A442" t="s">
        <v>22</v>
      </c>
      <c r="B442" t="s">
        <v>169</v>
      </c>
      <c r="C442" s="32">
        <v>231.96</v>
      </c>
      <c r="D442" s="33">
        <v>5</v>
      </c>
      <c r="E442" t="s">
        <v>124</v>
      </c>
      <c r="F442" t="s">
        <v>96</v>
      </c>
      <c r="G442" s="33">
        <v>20</v>
      </c>
    </row>
    <row r="443" spans="1:7">
      <c r="A443" t="s">
        <v>22</v>
      </c>
      <c r="B443" t="s">
        <v>169</v>
      </c>
      <c r="C443" s="32">
        <v>232.19</v>
      </c>
      <c r="D443" s="33">
        <v>6</v>
      </c>
      <c r="E443" t="s">
        <v>125</v>
      </c>
      <c r="F443" t="s">
        <v>90</v>
      </c>
      <c r="G443" s="33">
        <v>20</v>
      </c>
    </row>
    <row r="444" spans="1:7">
      <c r="A444" t="s">
        <v>22</v>
      </c>
      <c r="B444" t="s">
        <v>169</v>
      </c>
      <c r="C444" s="32">
        <v>232.43</v>
      </c>
      <c r="D444" s="33">
        <v>7</v>
      </c>
      <c r="E444" t="s">
        <v>127</v>
      </c>
      <c r="F444" t="s">
        <v>90</v>
      </c>
      <c r="G444" s="33">
        <v>19</v>
      </c>
    </row>
    <row r="445" spans="1:7">
      <c r="A445" t="s">
        <v>22</v>
      </c>
      <c r="B445" t="s">
        <v>169</v>
      </c>
      <c r="C445" s="32">
        <v>232.67</v>
      </c>
      <c r="D445" s="33">
        <v>8</v>
      </c>
      <c r="E445" t="s">
        <v>128</v>
      </c>
      <c r="F445" t="s">
        <v>93</v>
      </c>
      <c r="G445" s="33">
        <v>20</v>
      </c>
    </row>
    <row r="446" spans="1:7">
      <c r="A446" t="s">
        <v>22</v>
      </c>
      <c r="B446" t="s">
        <v>169</v>
      </c>
      <c r="C446" s="32">
        <v>232.91</v>
      </c>
      <c r="D446" s="33">
        <v>9</v>
      </c>
      <c r="E446" t="s">
        <v>129</v>
      </c>
      <c r="F446" t="s">
        <v>90</v>
      </c>
      <c r="G446" s="33">
        <v>20</v>
      </c>
    </row>
    <row r="447" spans="1:7">
      <c r="A447" t="s">
        <v>22</v>
      </c>
      <c r="B447" t="s">
        <v>169</v>
      </c>
      <c r="C447" s="32">
        <v>233.15</v>
      </c>
      <c r="D447" s="33">
        <v>10</v>
      </c>
      <c r="E447" t="s">
        <v>130</v>
      </c>
      <c r="F447" t="s">
        <v>90</v>
      </c>
      <c r="G447" s="33">
        <v>20</v>
      </c>
    </row>
    <row r="448" spans="1:7">
      <c r="A448" t="s">
        <v>22</v>
      </c>
      <c r="B448" t="s">
        <v>169</v>
      </c>
      <c r="C448" s="32">
        <v>233.39</v>
      </c>
      <c r="D448" s="33">
        <v>11</v>
      </c>
      <c r="E448" t="s">
        <v>131</v>
      </c>
      <c r="F448" t="s">
        <v>90</v>
      </c>
      <c r="G448" s="33">
        <v>20</v>
      </c>
    </row>
    <row r="449" spans="1:7">
      <c r="A449" t="s">
        <v>22</v>
      </c>
      <c r="B449" t="s">
        <v>169</v>
      </c>
      <c r="C449" s="32">
        <v>233.63</v>
      </c>
      <c r="D449" s="33">
        <v>12</v>
      </c>
      <c r="E449" t="s">
        <v>133</v>
      </c>
      <c r="F449" t="s">
        <v>93</v>
      </c>
      <c r="G449" s="33">
        <v>19</v>
      </c>
    </row>
    <row r="450" spans="1:7">
      <c r="A450" t="s">
        <v>22</v>
      </c>
      <c r="B450" t="s">
        <v>169</v>
      </c>
      <c r="C450" s="32">
        <v>233.87</v>
      </c>
      <c r="D450" s="33">
        <v>13</v>
      </c>
      <c r="E450" t="s">
        <v>134</v>
      </c>
      <c r="F450" t="s">
        <v>90</v>
      </c>
      <c r="G450" s="33">
        <v>20</v>
      </c>
    </row>
    <row r="451" spans="1:7">
      <c r="A451" t="s">
        <v>22</v>
      </c>
      <c r="B451" t="s">
        <v>169</v>
      </c>
      <c r="C451" s="32">
        <v>234.11</v>
      </c>
      <c r="D451" s="33">
        <v>14</v>
      </c>
      <c r="E451" t="s">
        <v>135</v>
      </c>
      <c r="F451" t="s">
        <v>90</v>
      </c>
      <c r="G451" s="33">
        <v>20</v>
      </c>
    </row>
    <row r="452" spans="1:7">
      <c r="A452" t="s">
        <v>22</v>
      </c>
      <c r="B452" t="s">
        <v>169</v>
      </c>
      <c r="C452" s="32">
        <v>234.34</v>
      </c>
      <c r="D452" s="33">
        <v>15</v>
      </c>
      <c r="E452" t="s">
        <v>136</v>
      </c>
      <c r="F452" t="s">
        <v>100</v>
      </c>
      <c r="G452" s="33">
        <v>20</v>
      </c>
    </row>
    <row r="453" spans="1:7">
      <c r="A453" t="s">
        <v>22</v>
      </c>
      <c r="B453" t="s">
        <v>169</v>
      </c>
      <c r="C453" s="32">
        <v>234.58</v>
      </c>
      <c r="D453" s="33">
        <v>16</v>
      </c>
      <c r="E453" t="s">
        <v>137</v>
      </c>
      <c r="F453" t="s">
        <v>90</v>
      </c>
      <c r="G453" s="33">
        <v>20</v>
      </c>
    </row>
    <row r="454" spans="1:7">
      <c r="A454" t="s">
        <v>22</v>
      </c>
      <c r="B454" t="s">
        <v>169</v>
      </c>
      <c r="C454" s="32">
        <v>234.82</v>
      </c>
      <c r="D454" s="33">
        <v>17</v>
      </c>
      <c r="E454" t="s">
        <v>138</v>
      </c>
      <c r="F454" t="s">
        <v>93</v>
      </c>
      <c r="G454" s="33">
        <v>19</v>
      </c>
    </row>
    <row r="455" spans="1:7">
      <c r="A455" t="s">
        <v>22</v>
      </c>
      <c r="B455" t="s">
        <v>169</v>
      </c>
      <c r="C455" s="32">
        <v>235.06</v>
      </c>
      <c r="D455" s="33">
        <v>18</v>
      </c>
      <c r="E455" t="s">
        <v>140</v>
      </c>
      <c r="F455" t="s">
        <v>90</v>
      </c>
      <c r="G455" s="33">
        <v>20</v>
      </c>
    </row>
    <row r="456" spans="1:7">
      <c r="A456" t="s">
        <v>22</v>
      </c>
      <c r="B456" t="s">
        <v>169</v>
      </c>
      <c r="C456" s="32">
        <v>235.3</v>
      </c>
      <c r="D456" s="33">
        <v>19</v>
      </c>
      <c r="E456" t="s">
        <v>141</v>
      </c>
      <c r="F456" t="s">
        <v>90</v>
      </c>
      <c r="G456" s="33">
        <v>20</v>
      </c>
    </row>
    <row r="457" spans="1:7">
      <c r="A457" t="s">
        <v>22</v>
      </c>
      <c r="B457" t="s">
        <v>169</v>
      </c>
      <c r="C457" s="32">
        <v>235.54</v>
      </c>
      <c r="D457" s="33">
        <v>20</v>
      </c>
      <c r="E457" t="s">
        <v>142</v>
      </c>
      <c r="F457" t="s">
        <v>96</v>
      </c>
      <c r="G457" s="33">
        <v>20</v>
      </c>
    </row>
    <row r="458" spans="1:7">
      <c r="A458" t="s">
        <v>22</v>
      </c>
      <c r="B458" t="s">
        <v>169</v>
      </c>
      <c r="C458" s="32">
        <v>235.78</v>
      </c>
      <c r="D458" s="33">
        <v>21</v>
      </c>
      <c r="E458" t="s">
        <v>143</v>
      </c>
      <c r="F458" t="s">
        <v>90</v>
      </c>
      <c r="G458" s="33">
        <v>19</v>
      </c>
    </row>
    <row r="459" spans="1:7">
      <c r="A459" t="s">
        <v>22</v>
      </c>
      <c r="B459" t="s">
        <v>169</v>
      </c>
      <c r="C459" s="32">
        <v>236.02</v>
      </c>
      <c r="D459" s="33">
        <v>22</v>
      </c>
      <c r="E459" t="s">
        <v>144</v>
      </c>
      <c r="F459" t="s">
        <v>90</v>
      </c>
      <c r="G459" s="33">
        <v>20</v>
      </c>
    </row>
    <row r="460" spans="1:7">
      <c r="A460" t="s">
        <v>22</v>
      </c>
      <c r="B460" t="s">
        <v>169</v>
      </c>
      <c r="C460" s="32">
        <v>236.26</v>
      </c>
      <c r="D460" s="33">
        <v>23</v>
      </c>
      <c r="E460" t="s">
        <v>145</v>
      </c>
      <c r="F460" t="s">
        <v>93</v>
      </c>
      <c r="G460" s="33">
        <v>20</v>
      </c>
    </row>
    <row r="461" spans="1:7">
      <c r="A461" t="s">
        <v>22</v>
      </c>
      <c r="B461" t="s">
        <v>169</v>
      </c>
      <c r="C461" s="32">
        <v>236.49</v>
      </c>
      <c r="D461" s="33">
        <v>24</v>
      </c>
      <c r="E461" t="s">
        <v>146</v>
      </c>
      <c r="F461" t="s">
        <v>90</v>
      </c>
      <c r="G461" s="33">
        <v>20</v>
      </c>
    </row>
    <row r="462" spans="1:7">
      <c r="A462" t="s">
        <v>22</v>
      </c>
      <c r="B462" t="s">
        <v>169</v>
      </c>
      <c r="C462" s="32">
        <v>236.73</v>
      </c>
      <c r="D462" s="33">
        <v>25</v>
      </c>
      <c r="E462" t="s">
        <v>148</v>
      </c>
      <c r="F462" t="s">
        <v>90</v>
      </c>
      <c r="G462" s="33">
        <v>20</v>
      </c>
    </row>
    <row r="463" spans="1:7">
      <c r="A463" t="s">
        <v>22</v>
      </c>
      <c r="B463" t="s">
        <v>169</v>
      </c>
      <c r="C463" s="32">
        <v>236.97</v>
      </c>
      <c r="D463" s="33">
        <v>26</v>
      </c>
      <c r="E463" t="s">
        <v>149</v>
      </c>
      <c r="F463" t="s">
        <v>93</v>
      </c>
      <c r="G463" s="33">
        <v>19</v>
      </c>
    </row>
    <row r="464" spans="1:7">
      <c r="A464" t="s">
        <v>22</v>
      </c>
      <c r="B464" t="s">
        <v>169</v>
      </c>
      <c r="C464" s="32">
        <v>237.21</v>
      </c>
      <c r="D464" s="33">
        <v>27</v>
      </c>
      <c r="E464" t="s">
        <v>150</v>
      </c>
      <c r="F464" t="s">
        <v>90</v>
      </c>
      <c r="G464" s="33">
        <v>20</v>
      </c>
    </row>
    <row r="465" spans="1:7">
      <c r="A465" t="s">
        <v>22</v>
      </c>
      <c r="B465" t="s">
        <v>169</v>
      </c>
      <c r="C465" s="32">
        <v>237.45</v>
      </c>
      <c r="D465" s="33">
        <v>28</v>
      </c>
      <c r="E465" t="s">
        <v>151</v>
      </c>
      <c r="F465" t="s">
        <v>90</v>
      </c>
      <c r="G465" s="33">
        <v>20</v>
      </c>
    </row>
    <row r="466" spans="1:7">
      <c r="A466" t="s">
        <v>22</v>
      </c>
      <c r="B466" t="s">
        <v>169</v>
      </c>
      <c r="C466" s="32">
        <v>237.69</v>
      </c>
      <c r="D466" s="33">
        <v>29</v>
      </c>
      <c r="E466" t="s">
        <v>152</v>
      </c>
      <c r="F466" t="s">
        <v>90</v>
      </c>
      <c r="G466" s="33">
        <v>20</v>
      </c>
    </row>
    <row r="467" spans="1:7">
      <c r="A467" t="s">
        <v>22</v>
      </c>
      <c r="B467" t="s">
        <v>169</v>
      </c>
      <c r="C467" s="32">
        <v>237.93</v>
      </c>
      <c r="D467" s="33">
        <v>30</v>
      </c>
      <c r="E467" t="s">
        <v>153</v>
      </c>
      <c r="F467" t="s">
        <v>93</v>
      </c>
      <c r="G467" s="33">
        <v>20</v>
      </c>
    </row>
    <row r="468" spans="1:7">
      <c r="A468" t="s">
        <v>22</v>
      </c>
      <c r="B468" t="s">
        <v>169</v>
      </c>
      <c r="C468" s="32">
        <v>238.17</v>
      </c>
      <c r="D468" s="33">
        <v>31</v>
      </c>
      <c r="E468" t="s">
        <v>120</v>
      </c>
      <c r="F468" t="s">
        <v>90</v>
      </c>
      <c r="G468" s="33">
        <v>19</v>
      </c>
    </row>
    <row r="469" spans="1:7">
      <c r="A469" t="s">
        <v>22</v>
      </c>
      <c r="B469" t="s">
        <v>169</v>
      </c>
      <c r="C469" s="32">
        <v>238.41</v>
      </c>
      <c r="D469" s="33">
        <v>32</v>
      </c>
      <c r="E469" t="s">
        <v>115</v>
      </c>
      <c r="F469" t="s">
        <v>90</v>
      </c>
      <c r="G469" s="33">
        <v>20</v>
      </c>
    </row>
    <row r="470" spans="1:7">
      <c r="A470" t="s">
        <v>22</v>
      </c>
      <c r="B470" t="s">
        <v>169</v>
      </c>
      <c r="C470" s="32">
        <v>238.64</v>
      </c>
      <c r="D470" s="33">
        <v>33</v>
      </c>
      <c r="E470" t="s">
        <v>116</v>
      </c>
      <c r="F470" t="s">
        <v>96</v>
      </c>
      <c r="G470" s="33">
        <v>20</v>
      </c>
    </row>
    <row r="471" spans="1:7">
      <c r="A471" t="s">
        <v>22</v>
      </c>
      <c r="B471" t="s">
        <v>169</v>
      </c>
      <c r="C471" s="32">
        <v>238.88</v>
      </c>
      <c r="D471" s="33">
        <v>34</v>
      </c>
      <c r="E471" t="s">
        <v>117</v>
      </c>
      <c r="F471" t="s">
        <v>90</v>
      </c>
      <c r="G471" s="33">
        <v>20</v>
      </c>
    </row>
    <row r="472" spans="1:7">
      <c r="A472" t="s">
        <v>22</v>
      </c>
      <c r="B472" t="s">
        <v>169</v>
      </c>
      <c r="C472" s="32">
        <v>239.12</v>
      </c>
      <c r="D472" s="33">
        <v>35</v>
      </c>
      <c r="E472" t="s">
        <v>118</v>
      </c>
      <c r="F472" t="s">
        <v>90</v>
      </c>
      <c r="G472" s="33">
        <v>19</v>
      </c>
    </row>
    <row r="473" spans="1:7">
      <c r="A473" t="s">
        <v>22</v>
      </c>
      <c r="B473" t="s">
        <v>169</v>
      </c>
      <c r="C473" s="32">
        <v>239.36</v>
      </c>
      <c r="D473" s="33">
        <v>36</v>
      </c>
      <c r="E473" t="s">
        <v>122</v>
      </c>
      <c r="F473" t="s">
        <v>93</v>
      </c>
      <c r="G473" s="33">
        <v>20</v>
      </c>
    </row>
    <row r="474" spans="1:7">
      <c r="A474" t="s">
        <v>22</v>
      </c>
      <c r="B474" t="s">
        <v>169</v>
      </c>
      <c r="C474" s="32">
        <v>239.6</v>
      </c>
      <c r="D474" s="33">
        <v>37</v>
      </c>
      <c r="E474" t="s">
        <v>124</v>
      </c>
      <c r="F474" t="s">
        <v>90</v>
      </c>
      <c r="G474" s="33">
        <v>20</v>
      </c>
    </row>
    <row r="475" spans="1:7">
      <c r="A475" t="s">
        <v>22</v>
      </c>
      <c r="B475" t="s">
        <v>170</v>
      </c>
      <c r="C475" s="32">
        <v>241</v>
      </c>
      <c r="D475" s="33">
        <v>1</v>
      </c>
      <c r="E475" t="s">
        <v>116</v>
      </c>
      <c r="F475" t="s">
        <v>90</v>
      </c>
      <c r="G475" s="33">
        <v>21</v>
      </c>
    </row>
    <row r="476" spans="1:7">
      <c r="A476" t="s">
        <v>22</v>
      </c>
      <c r="B476" t="s">
        <v>170</v>
      </c>
      <c r="C476" s="32">
        <v>241.23</v>
      </c>
      <c r="D476" s="33">
        <v>2</v>
      </c>
      <c r="E476" t="s">
        <v>117</v>
      </c>
      <c r="F476" t="s">
        <v>93</v>
      </c>
      <c r="G476" s="33">
        <v>21</v>
      </c>
    </row>
    <row r="477" spans="1:7">
      <c r="A477" t="s">
        <v>22</v>
      </c>
      <c r="B477" t="s">
        <v>170</v>
      </c>
      <c r="C477" s="32">
        <v>241.45</v>
      </c>
      <c r="D477" s="33">
        <v>3</v>
      </c>
      <c r="E477" t="s">
        <v>118</v>
      </c>
      <c r="F477" t="s">
        <v>90</v>
      </c>
      <c r="G477" s="33">
        <v>20</v>
      </c>
    </row>
    <row r="478" spans="1:7">
      <c r="A478" t="s">
        <v>22</v>
      </c>
      <c r="B478" t="s">
        <v>170</v>
      </c>
      <c r="C478" s="32">
        <v>241.68</v>
      </c>
      <c r="D478" s="33">
        <v>4</v>
      </c>
      <c r="E478" t="s">
        <v>122</v>
      </c>
      <c r="F478" t="s">
        <v>90</v>
      </c>
      <c r="G478" s="33">
        <v>21</v>
      </c>
    </row>
    <row r="479" spans="1:7">
      <c r="A479" t="s">
        <v>22</v>
      </c>
      <c r="B479" t="s">
        <v>170</v>
      </c>
      <c r="C479" s="32">
        <v>241.91</v>
      </c>
      <c r="D479" s="33">
        <v>5</v>
      </c>
      <c r="E479" t="s">
        <v>124</v>
      </c>
      <c r="F479" t="s">
        <v>96</v>
      </c>
      <c r="G479" s="33">
        <v>21</v>
      </c>
    </row>
    <row r="480" spans="1:7">
      <c r="A480" t="s">
        <v>22</v>
      </c>
      <c r="B480" t="s">
        <v>170</v>
      </c>
      <c r="C480" s="32">
        <v>242.13</v>
      </c>
      <c r="D480" s="33">
        <v>6</v>
      </c>
      <c r="E480" t="s">
        <v>125</v>
      </c>
      <c r="F480" t="s">
        <v>90</v>
      </c>
      <c r="G480" s="33">
        <v>21</v>
      </c>
    </row>
    <row r="481" spans="1:7">
      <c r="A481" t="s">
        <v>22</v>
      </c>
      <c r="B481" t="s">
        <v>170</v>
      </c>
      <c r="C481" s="32">
        <v>242.36</v>
      </c>
      <c r="D481" s="33">
        <v>7</v>
      </c>
      <c r="E481" t="s">
        <v>127</v>
      </c>
      <c r="F481" t="s">
        <v>90</v>
      </c>
      <c r="G481" s="33">
        <v>21</v>
      </c>
    </row>
    <row r="482" spans="1:7">
      <c r="A482" t="s">
        <v>22</v>
      </c>
      <c r="B482" t="s">
        <v>170</v>
      </c>
      <c r="C482" s="32">
        <v>242.58</v>
      </c>
      <c r="D482" s="33">
        <v>8</v>
      </c>
      <c r="E482" t="s">
        <v>128</v>
      </c>
      <c r="F482" t="s">
        <v>93</v>
      </c>
      <c r="G482" s="33">
        <v>21</v>
      </c>
    </row>
    <row r="483" spans="1:7">
      <c r="A483" t="s">
        <v>22</v>
      </c>
      <c r="B483" t="s">
        <v>170</v>
      </c>
      <c r="C483" s="32">
        <v>242.81</v>
      </c>
      <c r="D483" s="33">
        <v>9</v>
      </c>
      <c r="E483" t="s">
        <v>129</v>
      </c>
      <c r="F483" t="s">
        <v>90</v>
      </c>
      <c r="G483" s="33">
        <v>20</v>
      </c>
    </row>
    <row r="484" spans="1:7">
      <c r="A484" t="s">
        <v>22</v>
      </c>
      <c r="B484" t="s">
        <v>170</v>
      </c>
      <c r="C484" s="32">
        <v>243.04</v>
      </c>
      <c r="D484" s="33">
        <v>10</v>
      </c>
      <c r="E484" t="s">
        <v>130</v>
      </c>
      <c r="F484" t="s">
        <v>90</v>
      </c>
      <c r="G484" s="33">
        <v>21</v>
      </c>
    </row>
    <row r="485" spans="1:7">
      <c r="A485" t="s">
        <v>22</v>
      </c>
      <c r="B485" t="s">
        <v>170</v>
      </c>
      <c r="C485" s="32">
        <v>243.26</v>
      </c>
      <c r="D485" s="33">
        <v>11</v>
      </c>
      <c r="E485" t="s">
        <v>131</v>
      </c>
      <c r="F485" t="s">
        <v>93</v>
      </c>
      <c r="G485" s="33">
        <v>21</v>
      </c>
    </row>
    <row r="486" spans="1:7">
      <c r="A486" t="s">
        <v>22</v>
      </c>
      <c r="B486" t="s">
        <v>170</v>
      </c>
      <c r="C486" s="32">
        <v>243.49</v>
      </c>
      <c r="D486" s="33">
        <v>12</v>
      </c>
      <c r="E486" t="s">
        <v>133</v>
      </c>
      <c r="F486" t="s">
        <v>90</v>
      </c>
      <c r="G486" s="33">
        <v>21</v>
      </c>
    </row>
    <row r="487" spans="1:7">
      <c r="A487" t="s">
        <v>22</v>
      </c>
      <c r="B487" t="s">
        <v>170</v>
      </c>
      <c r="C487" s="32">
        <v>243.72</v>
      </c>
      <c r="D487" s="33">
        <v>13</v>
      </c>
      <c r="E487" t="s">
        <v>134</v>
      </c>
      <c r="F487" t="s">
        <v>90</v>
      </c>
      <c r="G487" s="33">
        <v>21</v>
      </c>
    </row>
    <row r="488" spans="1:7">
      <c r="A488" t="s">
        <v>22</v>
      </c>
      <c r="B488" t="s">
        <v>170</v>
      </c>
      <c r="C488" s="32">
        <v>243.94</v>
      </c>
      <c r="D488" s="33">
        <v>14</v>
      </c>
      <c r="E488" t="s">
        <v>135</v>
      </c>
      <c r="F488" t="s">
        <v>96</v>
      </c>
      <c r="G488" s="33">
        <v>20</v>
      </c>
    </row>
    <row r="489" spans="1:7">
      <c r="A489" t="s">
        <v>22</v>
      </c>
      <c r="B489" t="s">
        <v>170</v>
      </c>
      <c r="C489" s="32">
        <v>244.17</v>
      </c>
      <c r="D489" s="33">
        <v>15</v>
      </c>
      <c r="E489" t="s">
        <v>136</v>
      </c>
      <c r="F489" t="s">
        <v>102</v>
      </c>
      <c r="G489" s="33">
        <v>21</v>
      </c>
    </row>
    <row r="490" spans="1:7">
      <c r="A490" t="s">
        <v>22</v>
      </c>
      <c r="B490" t="s">
        <v>170</v>
      </c>
      <c r="C490" s="32">
        <v>244.39</v>
      </c>
      <c r="D490" s="33">
        <v>16</v>
      </c>
      <c r="E490" t="s">
        <v>137</v>
      </c>
      <c r="F490" t="s">
        <v>93</v>
      </c>
      <c r="G490" s="33">
        <v>21</v>
      </c>
    </row>
    <row r="491" spans="1:7">
      <c r="A491" t="s">
        <v>22</v>
      </c>
      <c r="B491" t="s">
        <v>170</v>
      </c>
      <c r="C491" s="32">
        <v>244.62</v>
      </c>
      <c r="D491" s="33">
        <v>17</v>
      </c>
      <c r="E491" t="s">
        <v>138</v>
      </c>
      <c r="F491" t="s">
        <v>90</v>
      </c>
      <c r="G491" s="33">
        <v>21</v>
      </c>
    </row>
    <row r="492" spans="1:7">
      <c r="A492" t="s">
        <v>22</v>
      </c>
      <c r="B492" t="s">
        <v>170</v>
      </c>
      <c r="C492" s="32">
        <v>244.85</v>
      </c>
      <c r="D492" s="33">
        <v>18</v>
      </c>
      <c r="E492" t="s">
        <v>140</v>
      </c>
      <c r="F492" t="s">
        <v>90</v>
      </c>
      <c r="G492" s="33">
        <v>21</v>
      </c>
    </row>
    <row r="493" spans="1:7">
      <c r="A493" t="s">
        <v>22</v>
      </c>
      <c r="B493" t="s">
        <v>170</v>
      </c>
      <c r="C493" s="32">
        <v>245.07</v>
      </c>
      <c r="D493" s="33">
        <v>19</v>
      </c>
      <c r="E493" t="s">
        <v>141</v>
      </c>
      <c r="F493" t="s">
        <v>90</v>
      </c>
      <c r="G493" s="33">
        <v>21</v>
      </c>
    </row>
    <row r="494" spans="1:7">
      <c r="A494" t="s">
        <v>22</v>
      </c>
      <c r="B494" t="s">
        <v>170</v>
      </c>
      <c r="C494" s="32">
        <v>245.3</v>
      </c>
      <c r="D494" s="33">
        <v>20</v>
      </c>
      <c r="E494" t="s">
        <v>142</v>
      </c>
      <c r="F494" t="s">
        <v>93</v>
      </c>
      <c r="G494" s="33">
        <v>20</v>
      </c>
    </row>
    <row r="495" spans="1:7">
      <c r="A495" t="s">
        <v>22</v>
      </c>
      <c r="B495" t="s">
        <v>170</v>
      </c>
      <c r="C495" s="32">
        <v>245.53</v>
      </c>
      <c r="D495" s="33">
        <v>21</v>
      </c>
      <c r="E495" t="s">
        <v>143</v>
      </c>
      <c r="F495" t="s">
        <v>90</v>
      </c>
      <c r="G495" s="33">
        <v>21</v>
      </c>
    </row>
    <row r="496" spans="1:7">
      <c r="A496" t="s">
        <v>22</v>
      </c>
      <c r="B496" t="s">
        <v>170</v>
      </c>
      <c r="C496" s="32">
        <v>245.75</v>
      </c>
      <c r="D496" s="33">
        <v>22</v>
      </c>
      <c r="E496" t="s">
        <v>144</v>
      </c>
      <c r="F496" t="s">
        <v>90</v>
      </c>
      <c r="G496" s="33">
        <v>21</v>
      </c>
    </row>
    <row r="497" spans="1:7">
      <c r="A497" t="s">
        <v>22</v>
      </c>
      <c r="B497" t="s">
        <v>170</v>
      </c>
      <c r="C497" s="32">
        <v>245.98</v>
      </c>
      <c r="D497" s="33">
        <v>23</v>
      </c>
      <c r="E497" t="s">
        <v>145</v>
      </c>
      <c r="F497" t="s">
        <v>96</v>
      </c>
      <c r="G497" s="33">
        <v>21</v>
      </c>
    </row>
    <row r="498" spans="1:7">
      <c r="A498" t="s">
        <v>22</v>
      </c>
      <c r="B498" t="s">
        <v>170</v>
      </c>
      <c r="C498" s="32">
        <v>246.21</v>
      </c>
      <c r="D498" s="33">
        <v>24</v>
      </c>
      <c r="E498" t="s">
        <v>146</v>
      </c>
      <c r="F498" t="s">
        <v>90</v>
      </c>
      <c r="G498" s="33">
        <v>21</v>
      </c>
    </row>
    <row r="499" spans="1:7">
      <c r="A499" t="s">
        <v>22</v>
      </c>
      <c r="B499" t="s">
        <v>170</v>
      </c>
      <c r="C499" s="32">
        <v>246.43</v>
      </c>
      <c r="D499" s="33">
        <v>25</v>
      </c>
      <c r="E499" t="s">
        <v>148</v>
      </c>
      <c r="F499" t="s">
        <v>93</v>
      </c>
      <c r="G499" s="33">
        <v>21</v>
      </c>
    </row>
    <row r="500" spans="1:7">
      <c r="A500" t="s">
        <v>22</v>
      </c>
      <c r="B500" t="s">
        <v>170</v>
      </c>
      <c r="C500" s="32">
        <v>246.66</v>
      </c>
      <c r="D500" s="33">
        <v>26</v>
      </c>
      <c r="E500" t="s">
        <v>149</v>
      </c>
      <c r="F500" t="s">
        <v>90</v>
      </c>
      <c r="G500" s="33">
        <v>20</v>
      </c>
    </row>
    <row r="501" spans="1:7">
      <c r="A501" t="s">
        <v>22</v>
      </c>
      <c r="B501" t="s">
        <v>170</v>
      </c>
      <c r="C501" s="32">
        <v>246.88</v>
      </c>
      <c r="D501" s="33">
        <v>27</v>
      </c>
      <c r="E501" t="s">
        <v>150</v>
      </c>
      <c r="F501" t="s">
        <v>90</v>
      </c>
      <c r="G501" s="33">
        <v>21</v>
      </c>
    </row>
    <row r="502" spans="1:7">
      <c r="A502" t="s">
        <v>22</v>
      </c>
      <c r="B502" t="s">
        <v>170</v>
      </c>
      <c r="C502" s="32">
        <v>247.11</v>
      </c>
      <c r="D502" s="33">
        <v>28</v>
      </c>
      <c r="E502" t="s">
        <v>151</v>
      </c>
      <c r="F502" t="s">
        <v>90</v>
      </c>
      <c r="G502" s="33">
        <v>21</v>
      </c>
    </row>
    <row r="503" spans="1:7">
      <c r="A503" t="s">
        <v>22</v>
      </c>
      <c r="B503" t="s">
        <v>170</v>
      </c>
      <c r="C503" s="32">
        <v>247.34</v>
      </c>
      <c r="D503" s="33">
        <v>29</v>
      </c>
      <c r="E503" t="s">
        <v>152</v>
      </c>
      <c r="F503" t="s">
        <v>93</v>
      </c>
      <c r="G503" s="33">
        <v>21</v>
      </c>
    </row>
    <row r="504" spans="1:7">
      <c r="A504" t="s">
        <v>22</v>
      </c>
      <c r="B504" t="s">
        <v>170</v>
      </c>
      <c r="C504" s="32">
        <v>247.56</v>
      </c>
      <c r="D504" s="33">
        <v>30</v>
      </c>
      <c r="E504" t="s">
        <v>153</v>
      </c>
      <c r="F504" t="s">
        <v>102</v>
      </c>
      <c r="G504" s="33">
        <v>21</v>
      </c>
    </row>
    <row r="505" spans="1:7">
      <c r="A505" t="s">
        <v>22</v>
      </c>
      <c r="B505" t="s">
        <v>170</v>
      </c>
      <c r="C505" s="32">
        <v>247.79</v>
      </c>
      <c r="D505" s="33">
        <v>31</v>
      </c>
      <c r="E505" t="s">
        <v>120</v>
      </c>
      <c r="F505" t="s">
        <v>90</v>
      </c>
      <c r="G505" s="33">
        <v>20</v>
      </c>
    </row>
    <row r="506" spans="1:7">
      <c r="A506" t="s">
        <v>22</v>
      </c>
      <c r="B506" t="s">
        <v>170</v>
      </c>
      <c r="C506" s="32">
        <v>248.02</v>
      </c>
      <c r="D506" s="33">
        <v>32</v>
      </c>
      <c r="E506" t="s">
        <v>115</v>
      </c>
      <c r="F506" t="s">
        <v>93</v>
      </c>
      <c r="G506" s="33">
        <v>21</v>
      </c>
    </row>
    <row r="507" spans="1:7">
      <c r="A507" t="s">
        <v>22</v>
      </c>
      <c r="B507" t="s">
        <v>170</v>
      </c>
      <c r="C507" s="32">
        <v>248.24</v>
      </c>
      <c r="D507" s="33">
        <v>33</v>
      </c>
      <c r="E507" t="s">
        <v>116</v>
      </c>
      <c r="F507" t="s">
        <v>90</v>
      </c>
      <c r="G507" s="33">
        <v>21</v>
      </c>
    </row>
    <row r="508" spans="1:7">
      <c r="A508" t="s">
        <v>22</v>
      </c>
      <c r="B508" t="s">
        <v>170</v>
      </c>
      <c r="C508" s="32">
        <v>248.47</v>
      </c>
      <c r="D508" s="33">
        <v>34</v>
      </c>
      <c r="E508" t="s">
        <v>117</v>
      </c>
      <c r="F508" t="s">
        <v>90</v>
      </c>
      <c r="G508" s="33">
        <v>21</v>
      </c>
    </row>
    <row r="509" spans="1:7">
      <c r="A509" t="s">
        <v>22</v>
      </c>
      <c r="B509" t="s">
        <v>170</v>
      </c>
      <c r="C509" s="32">
        <v>248.69</v>
      </c>
      <c r="D509" s="33">
        <v>35</v>
      </c>
      <c r="E509" t="s">
        <v>118</v>
      </c>
      <c r="F509" t="s">
        <v>96</v>
      </c>
      <c r="G509" s="33">
        <v>21</v>
      </c>
    </row>
    <row r="510" spans="1:7">
      <c r="A510" t="s">
        <v>22</v>
      </c>
      <c r="B510" t="s">
        <v>170</v>
      </c>
      <c r="C510" s="32">
        <v>248.92</v>
      </c>
      <c r="D510" s="33">
        <v>36</v>
      </c>
      <c r="E510" t="s">
        <v>122</v>
      </c>
      <c r="F510" t="s">
        <v>90</v>
      </c>
      <c r="G510" s="33">
        <v>21</v>
      </c>
    </row>
    <row r="511" spans="1:7">
      <c r="A511" t="s">
        <v>22</v>
      </c>
      <c r="B511" t="s">
        <v>170</v>
      </c>
      <c r="C511" s="32">
        <v>249.15</v>
      </c>
      <c r="D511" s="33">
        <v>37</v>
      </c>
      <c r="E511" t="s">
        <v>124</v>
      </c>
      <c r="F511" t="s">
        <v>90</v>
      </c>
      <c r="G511" s="33">
        <v>20</v>
      </c>
    </row>
    <row r="512" spans="1:7">
      <c r="A512" t="s">
        <v>22</v>
      </c>
      <c r="B512" t="s">
        <v>170</v>
      </c>
      <c r="C512" s="32">
        <v>249.37</v>
      </c>
      <c r="D512" s="33">
        <v>38</v>
      </c>
      <c r="E512" t="s">
        <v>125</v>
      </c>
      <c r="F512" t="s">
        <v>93</v>
      </c>
      <c r="G512" s="33">
        <v>21</v>
      </c>
    </row>
    <row r="513" spans="1:7">
      <c r="A513" t="s">
        <v>22</v>
      </c>
      <c r="B513" t="s">
        <v>170</v>
      </c>
      <c r="C513" s="32">
        <v>249.6</v>
      </c>
      <c r="D513" s="33">
        <v>39</v>
      </c>
      <c r="E513" t="s">
        <v>127</v>
      </c>
      <c r="F513" t="s">
        <v>90</v>
      </c>
      <c r="G513" s="33">
        <v>21</v>
      </c>
    </row>
    <row r="514" spans="1:7">
      <c r="A514" t="s">
        <v>22</v>
      </c>
      <c r="B514" t="s">
        <v>171</v>
      </c>
      <c r="C514" s="32">
        <v>251</v>
      </c>
      <c r="D514" s="33">
        <v>1</v>
      </c>
      <c r="E514" t="s">
        <v>118</v>
      </c>
      <c r="F514" t="s">
        <v>90</v>
      </c>
      <c r="G514" s="33">
        <v>22</v>
      </c>
    </row>
    <row r="515" spans="1:7">
      <c r="A515" t="s">
        <v>22</v>
      </c>
      <c r="B515" t="s">
        <v>171</v>
      </c>
      <c r="C515" s="32">
        <v>251.22</v>
      </c>
      <c r="D515" s="33">
        <v>2</v>
      </c>
      <c r="E515" t="s">
        <v>122</v>
      </c>
      <c r="F515" t="s">
        <v>93</v>
      </c>
      <c r="G515" s="33">
        <v>22</v>
      </c>
    </row>
    <row r="516" spans="1:7">
      <c r="A516" t="s">
        <v>22</v>
      </c>
      <c r="B516" t="s">
        <v>171</v>
      </c>
      <c r="C516" s="32">
        <v>251.43</v>
      </c>
      <c r="D516" s="33">
        <v>3</v>
      </c>
      <c r="E516" t="s">
        <v>124</v>
      </c>
      <c r="F516" t="s">
        <v>90</v>
      </c>
      <c r="G516" s="33">
        <v>22</v>
      </c>
    </row>
    <row r="517" spans="1:7">
      <c r="A517" t="s">
        <v>22</v>
      </c>
      <c r="B517" t="s">
        <v>171</v>
      </c>
      <c r="C517" s="32">
        <v>251.65</v>
      </c>
      <c r="D517" s="33">
        <v>4</v>
      </c>
      <c r="E517" t="s">
        <v>125</v>
      </c>
      <c r="F517" t="s">
        <v>90</v>
      </c>
      <c r="G517" s="33">
        <v>21</v>
      </c>
    </row>
    <row r="518" spans="1:7">
      <c r="A518" t="s">
        <v>22</v>
      </c>
      <c r="B518" t="s">
        <v>171</v>
      </c>
      <c r="C518" s="32">
        <v>251.86</v>
      </c>
      <c r="D518" s="33">
        <v>5</v>
      </c>
      <c r="E518" t="s">
        <v>127</v>
      </c>
      <c r="F518" t="s">
        <v>96</v>
      </c>
      <c r="G518" s="33">
        <v>22</v>
      </c>
    </row>
    <row r="519" spans="1:7">
      <c r="A519" t="s">
        <v>22</v>
      </c>
      <c r="B519" t="s">
        <v>171</v>
      </c>
      <c r="C519" s="32">
        <v>252.08</v>
      </c>
      <c r="D519" s="33">
        <v>6</v>
      </c>
      <c r="E519" t="s">
        <v>128</v>
      </c>
      <c r="F519" t="s">
        <v>90</v>
      </c>
      <c r="G519" s="33">
        <v>22</v>
      </c>
    </row>
    <row r="520" spans="1:7">
      <c r="A520" t="s">
        <v>22</v>
      </c>
      <c r="B520" t="s">
        <v>171</v>
      </c>
      <c r="C520" s="32">
        <v>252.29</v>
      </c>
      <c r="D520" s="33">
        <v>7</v>
      </c>
      <c r="E520" t="s">
        <v>129</v>
      </c>
      <c r="F520" t="s">
        <v>90</v>
      </c>
      <c r="G520" s="33">
        <v>22</v>
      </c>
    </row>
    <row r="521" spans="1:7">
      <c r="A521" t="s">
        <v>22</v>
      </c>
      <c r="B521" t="s">
        <v>171</v>
      </c>
      <c r="C521" s="32">
        <v>252.51</v>
      </c>
      <c r="D521" s="33">
        <v>8</v>
      </c>
      <c r="E521" t="s">
        <v>130</v>
      </c>
      <c r="F521" t="s">
        <v>93</v>
      </c>
      <c r="G521" s="33">
        <v>22</v>
      </c>
    </row>
    <row r="522" spans="1:7">
      <c r="A522" t="s">
        <v>22</v>
      </c>
      <c r="B522" t="s">
        <v>171</v>
      </c>
      <c r="C522" s="32">
        <v>252.72</v>
      </c>
      <c r="D522" s="33">
        <v>9</v>
      </c>
      <c r="E522" t="s">
        <v>131</v>
      </c>
      <c r="F522" t="s">
        <v>90</v>
      </c>
      <c r="G522" s="33">
        <v>22</v>
      </c>
    </row>
    <row r="523" spans="1:7">
      <c r="A523" t="s">
        <v>22</v>
      </c>
      <c r="B523" t="s">
        <v>171</v>
      </c>
      <c r="C523" s="32">
        <v>252.94</v>
      </c>
      <c r="D523" s="33">
        <v>10</v>
      </c>
      <c r="E523" t="s">
        <v>133</v>
      </c>
      <c r="F523" t="s">
        <v>90</v>
      </c>
      <c r="G523" s="33">
        <v>22</v>
      </c>
    </row>
    <row r="524" spans="1:7">
      <c r="A524" t="s">
        <v>22</v>
      </c>
      <c r="B524" t="s">
        <v>171</v>
      </c>
      <c r="C524" s="32">
        <v>253.15</v>
      </c>
      <c r="D524" s="33">
        <v>11</v>
      </c>
      <c r="E524" t="s">
        <v>134</v>
      </c>
      <c r="F524" t="s">
        <v>90</v>
      </c>
      <c r="G524" s="33">
        <v>21</v>
      </c>
    </row>
    <row r="525" spans="1:7">
      <c r="A525" t="s">
        <v>22</v>
      </c>
      <c r="B525" t="s">
        <v>171</v>
      </c>
      <c r="C525" s="32">
        <v>253.37</v>
      </c>
      <c r="D525" s="33">
        <v>12</v>
      </c>
      <c r="E525" t="s">
        <v>135</v>
      </c>
      <c r="F525" t="s">
        <v>93</v>
      </c>
      <c r="G525" s="33">
        <v>22</v>
      </c>
    </row>
    <row r="526" spans="1:7">
      <c r="A526" t="s">
        <v>22</v>
      </c>
      <c r="B526" t="s">
        <v>171</v>
      </c>
      <c r="C526" s="32">
        <v>253.58</v>
      </c>
      <c r="D526" s="33">
        <v>13</v>
      </c>
      <c r="E526" t="s">
        <v>136</v>
      </c>
      <c r="F526" t="s">
        <v>90</v>
      </c>
      <c r="G526" s="33">
        <v>22</v>
      </c>
    </row>
    <row r="527" spans="1:7">
      <c r="A527" t="s">
        <v>22</v>
      </c>
      <c r="B527" t="s">
        <v>171</v>
      </c>
      <c r="C527" s="32">
        <v>253.8</v>
      </c>
      <c r="D527" s="33">
        <v>14</v>
      </c>
      <c r="E527" t="s">
        <v>137</v>
      </c>
      <c r="F527" t="s">
        <v>102</v>
      </c>
      <c r="G527" s="33">
        <v>22</v>
      </c>
    </row>
    <row r="528" spans="1:7">
      <c r="A528" t="s">
        <v>22</v>
      </c>
      <c r="B528" t="s">
        <v>171</v>
      </c>
      <c r="C528" s="32">
        <v>254.01</v>
      </c>
      <c r="D528" s="33">
        <v>15</v>
      </c>
      <c r="E528" t="s">
        <v>138</v>
      </c>
      <c r="F528" t="s">
        <v>96</v>
      </c>
      <c r="G528" s="33">
        <v>22</v>
      </c>
    </row>
    <row r="529" spans="1:7">
      <c r="A529" t="s">
        <v>22</v>
      </c>
      <c r="B529" t="s">
        <v>171</v>
      </c>
      <c r="C529" s="32">
        <v>254.23</v>
      </c>
      <c r="D529" s="33">
        <v>16</v>
      </c>
      <c r="E529" t="s">
        <v>140</v>
      </c>
      <c r="F529" t="s">
        <v>90</v>
      </c>
      <c r="G529" s="33">
        <v>22</v>
      </c>
    </row>
    <row r="530" spans="1:7">
      <c r="A530" t="s">
        <v>22</v>
      </c>
      <c r="B530" t="s">
        <v>171</v>
      </c>
      <c r="C530" s="32">
        <v>254.44</v>
      </c>
      <c r="D530" s="33">
        <v>17</v>
      </c>
      <c r="E530" t="s">
        <v>141</v>
      </c>
      <c r="F530" t="s">
        <v>93</v>
      </c>
      <c r="G530" s="33">
        <v>22</v>
      </c>
    </row>
    <row r="531" spans="1:7">
      <c r="A531" t="s">
        <v>22</v>
      </c>
      <c r="B531" t="s">
        <v>171</v>
      </c>
      <c r="C531" s="32">
        <v>254.66</v>
      </c>
      <c r="D531" s="33">
        <v>18</v>
      </c>
      <c r="E531" t="s">
        <v>142</v>
      </c>
      <c r="F531" t="s">
        <v>90</v>
      </c>
      <c r="G531" s="33">
        <v>21</v>
      </c>
    </row>
    <row r="532" spans="1:7">
      <c r="A532" t="s">
        <v>22</v>
      </c>
      <c r="B532" t="s">
        <v>171</v>
      </c>
      <c r="C532" s="32">
        <v>254.87</v>
      </c>
      <c r="D532" s="33">
        <v>19</v>
      </c>
      <c r="E532" t="s">
        <v>143</v>
      </c>
      <c r="F532" t="s">
        <v>90</v>
      </c>
      <c r="G532" s="33">
        <v>22</v>
      </c>
    </row>
    <row r="533" spans="1:7">
      <c r="A533" t="s">
        <v>22</v>
      </c>
      <c r="B533" t="s">
        <v>171</v>
      </c>
      <c r="C533" s="32">
        <v>255.09</v>
      </c>
      <c r="D533" s="33">
        <v>20</v>
      </c>
      <c r="E533" t="s">
        <v>144</v>
      </c>
      <c r="F533" t="s">
        <v>90</v>
      </c>
      <c r="G533" s="33">
        <v>22</v>
      </c>
    </row>
    <row r="534" spans="1:7">
      <c r="A534" t="s">
        <v>22</v>
      </c>
      <c r="B534" t="s">
        <v>171</v>
      </c>
      <c r="C534" s="32">
        <v>255.3</v>
      </c>
      <c r="D534" s="33">
        <v>21</v>
      </c>
      <c r="E534" t="s">
        <v>145</v>
      </c>
      <c r="F534" t="s">
        <v>93</v>
      </c>
      <c r="G534" s="33">
        <v>22</v>
      </c>
    </row>
    <row r="535" spans="1:7">
      <c r="A535" t="s">
        <v>22</v>
      </c>
      <c r="B535" t="s">
        <v>171</v>
      </c>
      <c r="C535" s="32">
        <v>255.52</v>
      </c>
      <c r="D535" s="33">
        <v>22</v>
      </c>
      <c r="E535" t="s">
        <v>146</v>
      </c>
      <c r="F535" t="s">
        <v>90</v>
      </c>
      <c r="G535" s="33">
        <v>22</v>
      </c>
    </row>
    <row r="536" spans="1:7">
      <c r="A536" t="s">
        <v>22</v>
      </c>
      <c r="B536" t="s">
        <v>171</v>
      </c>
      <c r="C536" s="32">
        <v>255.73</v>
      </c>
      <c r="D536" s="33">
        <v>23</v>
      </c>
      <c r="E536" t="s">
        <v>148</v>
      </c>
      <c r="F536" t="s">
        <v>90</v>
      </c>
      <c r="G536" s="33">
        <v>22</v>
      </c>
    </row>
    <row r="537" spans="1:7">
      <c r="A537" t="s">
        <v>22</v>
      </c>
      <c r="B537" t="s">
        <v>171</v>
      </c>
      <c r="C537" s="32">
        <v>255.95</v>
      </c>
      <c r="D537" s="33">
        <v>24</v>
      </c>
      <c r="E537" t="s">
        <v>149</v>
      </c>
      <c r="F537" t="s">
        <v>90</v>
      </c>
      <c r="G537" s="33">
        <v>21</v>
      </c>
    </row>
    <row r="538" spans="1:7">
      <c r="A538" t="s">
        <v>22</v>
      </c>
      <c r="B538" t="s">
        <v>171</v>
      </c>
      <c r="C538" s="32">
        <v>256.16000000000003</v>
      </c>
      <c r="D538" s="33">
        <v>25</v>
      </c>
      <c r="E538" t="s">
        <v>150</v>
      </c>
      <c r="F538" t="s">
        <v>93</v>
      </c>
      <c r="G538" s="33">
        <v>22</v>
      </c>
    </row>
    <row r="539" spans="1:7">
      <c r="A539" t="s">
        <v>22</v>
      </c>
      <c r="B539" t="s">
        <v>171</v>
      </c>
      <c r="C539" s="32">
        <v>256.38</v>
      </c>
      <c r="D539" s="33">
        <v>26</v>
      </c>
      <c r="E539" t="s">
        <v>151</v>
      </c>
      <c r="F539" t="s">
        <v>90</v>
      </c>
      <c r="G539" s="33">
        <v>22</v>
      </c>
    </row>
    <row r="540" spans="1:7">
      <c r="A540" t="s">
        <v>22</v>
      </c>
      <c r="B540" t="s">
        <v>171</v>
      </c>
      <c r="C540" s="32">
        <v>256.58999999999997</v>
      </c>
      <c r="D540" s="33">
        <v>27</v>
      </c>
      <c r="E540" t="s">
        <v>152</v>
      </c>
      <c r="F540" t="s">
        <v>96</v>
      </c>
      <c r="G540" s="33">
        <v>22</v>
      </c>
    </row>
    <row r="541" spans="1:7">
      <c r="A541" t="s">
        <v>22</v>
      </c>
      <c r="B541" t="s">
        <v>171</v>
      </c>
      <c r="C541" s="32">
        <v>256.81</v>
      </c>
      <c r="D541" s="33">
        <v>28</v>
      </c>
      <c r="E541" t="s">
        <v>153</v>
      </c>
      <c r="F541" t="s">
        <v>90</v>
      </c>
      <c r="G541" s="33">
        <v>22</v>
      </c>
    </row>
    <row r="542" spans="1:7">
      <c r="A542" t="s">
        <v>22</v>
      </c>
      <c r="B542" t="s">
        <v>171</v>
      </c>
      <c r="C542" s="32">
        <v>257.02</v>
      </c>
      <c r="D542" s="33">
        <v>29</v>
      </c>
      <c r="E542" t="s">
        <v>120</v>
      </c>
      <c r="F542" t="s">
        <v>102</v>
      </c>
      <c r="G542" s="33">
        <v>22</v>
      </c>
    </row>
    <row r="543" spans="1:7">
      <c r="A543" t="s">
        <v>22</v>
      </c>
      <c r="B543" t="s">
        <v>171</v>
      </c>
      <c r="C543" s="32">
        <v>257.24</v>
      </c>
      <c r="D543" s="33">
        <v>30</v>
      </c>
      <c r="E543" t="s">
        <v>115</v>
      </c>
      <c r="F543" t="s">
        <v>93</v>
      </c>
      <c r="G543" s="33">
        <v>22</v>
      </c>
    </row>
    <row r="544" spans="1:7">
      <c r="A544" t="s">
        <v>22</v>
      </c>
      <c r="B544" t="s">
        <v>171</v>
      </c>
      <c r="C544" s="32">
        <v>257.45</v>
      </c>
      <c r="D544" s="33">
        <v>31</v>
      </c>
      <c r="E544" t="s">
        <v>116</v>
      </c>
      <c r="F544" t="s">
        <v>90</v>
      </c>
      <c r="G544" s="33">
        <v>21</v>
      </c>
    </row>
    <row r="545" spans="1:7">
      <c r="A545" t="s">
        <v>22</v>
      </c>
      <c r="B545" t="s">
        <v>171</v>
      </c>
      <c r="C545" s="32">
        <v>257.67</v>
      </c>
      <c r="D545" s="33">
        <v>32</v>
      </c>
      <c r="E545" t="s">
        <v>117</v>
      </c>
      <c r="F545" t="s">
        <v>90</v>
      </c>
      <c r="G545" s="33">
        <v>22</v>
      </c>
    </row>
    <row r="546" spans="1:7">
      <c r="A546" t="s">
        <v>22</v>
      </c>
      <c r="B546" t="s">
        <v>171</v>
      </c>
      <c r="C546" s="32">
        <v>257.88</v>
      </c>
      <c r="D546" s="33">
        <v>33</v>
      </c>
      <c r="E546" t="s">
        <v>118</v>
      </c>
      <c r="F546" t="s">
        <v>90</v>
      </c>
      <c r="G546" s="33">
        <v>22</v>
      </c>
    </row>
    <row r="547" spans="1:7">
      <c r="A547" t="s">
        <v>22</v>
      </c>
      <c r="B547" t="s">
        <v>171</v>
      </c>
      <c r="C547" s="32">
        <v>258.10000000000002</v>
      </c>
      <c r="D547" s="33">
        <v>34</v>
      </c>
      <c r="E547" t="s">
        <v>122</v>
      </c>
      <c r="F547" t="s">
        <v>93</v>
      </c>
      <c r="G547" s="33">
        <v>22</v>
      </c>
    </row>
    <row r="548" spans="1:7">
      <c r="A548" t="s">
        <v>22</v>
      </c>
      <c r="B548" t="s">
        <v>171</v>
      </c>
      <c r="C548" s="32">
        <v>258.31</v>
      </c>
      <c r="D548" s="33">
        <v>35</v>
      </c>
      <c r="E548" t="s">
        <v>124</v>
      </c>
      <c r="F548" t="s">
        <v>90</v>
      </c>
      <c r="G548" s="33">
        <v>22</v>
      </c>
    </row>
    <row r="549" spans="1:7">
      <c r="A549" t="s">
        <v>22</v>
      </c>
      <c r="B549" t="s">
        <v>171</v>
      </c>
      <c r="C549" s="32">
        <v>258.52</v>
      </c>
      <c r="D549" s="33">
        <v>36</v>
      </c>
      <c r="E549" t="s">
        <v>125</v>
      </c>
      <c r="F549" t="s">
        <v>90</v>
      </c>
      <c r="G549" s="33">
        <v>22</v>
      </c>
    </row>
    <row r="550" spans="1:7">
      <c r="A550" t="s">
        <v>22</v>
      </c>
      <c r="B550" t="s">
        <v>171</v>
      </c>
      <c r="C550" s="32">
        <v>258.74</v>
      </c>
      <c r="D550" s="33">
        <v>37</v>
      </c>
      <c r="E550" t="s">
        <v>127</v>
      </c>
      <c r="F550" t="s">
        <v>96</v>
      </c>
      <c r="G550" s="33">
        <v>22</v>
      </c>
    </row>
    <row r="551" spans="1:7">
      <c r="A551" t="s">
        <v>22</v>
      </c>
      <c r="B551" t="s">
        <v>171</v>
      </c>
      <c r="C551" s="32">
        <v>258.95999999999998</v>
      </c>
      <c r="D551" s="33">
        <v>38</v>
      </c>
      <c r="E551" t="s">
        <v>128</v>
      </c>
      <c r="F551" t="s">
        <v>90</v>
      </c>
      <c r="G551" s="33">
        <v>21</v>
      </c>
    </row>
    <row r="552" spans="1:7">
      <c r="A552" t="s">
        <v>22</v>
      </c>
      <c r="B552" t="s">
        <v>171</v>
      </c>
      <c r="C552" s="32">
        <v>259.17</v>
      </c>
      <c r="D552" s="33">
        <v>39</v>
      </c>
      <c r="E552" t="s">
        <v>129</v>
      </c>
      <c r="F552" t="s">
        <v>90</v>
      </c>
      <c r="G552" s="33">
        <v>22</v>
      </c>
    </row>
    <row r="553" spans="1:7">
      <c r="A553" t="s">
        <v>22</v>
      </c>
      <c r="B553" t="s">
        <v>171</v>
      </c>
      <c r="C553" s="32">
        <v>259.39</v>
      </c>
      <c r="D553" s="33">
        <v>40</v>
      </c>
      <c r="E553" t="s">
        <v>130</v>
      </c>
      <c r="F553" t="s">
        <v>93</v>
      </c>
      <c r="G553" s="33">
        <v>22</v>
      </c>
    </row>
    <row r="554" spans="1:7">
      <c r="A554" t="s">
        <v>22</v>
      </c>
      <c r="B554" t="s">
        <v>171</v>
      </c>
      <c r="C554" s="32">
        <v>259.60000000000002</v>
      </c>
      <c r="D554" s="33">
        <v>41</v>
      </c>
      <c r="E554" t="s">
        <v>131</v>
      </c>
      <c r="F554" t="s">
        <v>90</v>
      </c>
      <c r="G554" s="33">
        <v>22</v>
      </c>
    </row>
    <row r="555" spans="1:7">
      <c r="A555" t="s">
        <v>22</v>
      </c>
      <c r="B555" t="s">
        <v>172</v>
      </c>
      <c r="C555" s="32">
        <v>261</v>
      </c>
      <c r="D555" s="33">
        <v>1</v>
      </c>
      <c r="E555" t="s">
        <v>127</v>
      </c>
      <c r="F555" t="s">
        <v>90</v>
      </c>
      <c r="G555" s="33">
        <v>23</v>
      </c>
    </row>
    <row r="556" spans="1:7">
      <c r="A556" t="s">
        <v>22</v>
      </c>
      <c r="B556" t="s">
        <v>172</v>
      </c>
      <c r="C556" s="32">
        <v>261.2</v>
      </c>
      <c r="D556" s="33">
        <v>2</v>
      </c>
      <c r="E556" t="s">
        <v>128</v>
      </c>
      <c r="F556" t="s">
        <v>93</v>
      </c>
      <c r="G556" s="33">
        <v>23</v>
      </c>
    </row>
    <row r="557" spans="1:7">
      <c r="A557" t="s">
        <v>22</v>
      </c>
      <c r="B557" t="s">
        <v>172</v>
      </c>
      <c r="C557" s="32">
        <v>261.41000000000003</v>
      </c>
      <c r="D557" s="33">
        <v>3</v>
      </c>
      <c r="E557" t="s">
        <v>129</v>
      </c>
      <c r="F557" t="s">
        <v>90</v>
      </c>
      <c r="G557" s="33">
        <v>23</v>
      </c>
    </row>
    <row r="558" spans="1:7">
      <c r="A558" t="s">
        <v>22</v>
      </c>
      <c r="B558" t="s">
        <v>172</v>
      </c>
      <c r="C558" s="32">
        <v>261.61</v>
      </c>
      <c r="D558" s="33">
        <v>4</v>
      </c>
      <c r="E558" t="s">
        <v>130</v>
      </c>
      <c r="F558" t="s">
        <v>90</v>
      </c>
      <c r="G558" s="33">
        <v>23</v>
      </c>
    </row>
    <row r="559" spans="1:7">
      <c r="A559" t="s">
        <v>22</v>
      </c>
      <c r="B559" t="s">
        <v>172</v>
      </c>
      <c r="C559" s="32">
        <v>261.82</v>
      </c>
      <c r="D559" s="33">
        <v>5</v>
      </c>
      <c r="E559" t="s">
        <v>131</v>
      </c>
      <c r="F559" t="s">
        <v>96</v>
      </c>
      <c r="G559" s="33">
        <v>22</v>
      </c>
    </row>
    <row r="560" spans="1:7">
      <c r="A560" t="s">
        <v>22</v>
      </c>
      <c r="B560" t="s">
        <v>172</v>
      </c>
      <c r="C560" s="32">
        <v>262.02</v>
      </c>
      <c r="D560" s="33">
        <v>6</v>
      </c>
      <c r="E560" t="s">
        <v>133</v>
      </c>
      <c r="F560" t="s">
        <v>90</v>
      </c>
      <c r="G560" s="33">
        <v>23</v>
      </c>
    </row>
    <row r="561" spans="1:7">
      <c r="A561" t="s">
        <v>22</v>
      </c>
      <c r="B561" t="s">
        <v>172</v>
      </c>
      <c r="C561" s="32">
        <v>262.23</v>
      </c>
      <c r="D561" s="33">
        <v>7</v>
      </c>
      <c r="E561" t="s">
        <v>134</v>
      </c>
      <c r="F561" t="s">
        <v>90</v>
      </c>
      <c r="G561" s="33">
        <v>23</v>
      </c>
    </row>
    <row r="562" spans="1:7">
      <c r="A562" t="s">
        <v>22</v>
      </c>
      <c r="B562" t="s">
        <v>172</v>
      </c>
      <c r="C562" s="32">
        <v>262.43</v>
      </c>
      <c r="D562" s="33">
        <v>8</v>
      </c>
      <c r="E562" t="s">
        <v>135</v>
      </c>
      <c r="F562" t="s">
        <v>93</v>
      </c>
      <c r="G562" s="33">
        <v>23</v>
      </c>
    </row>
    <row r="563" spans="1:7">
      <c r="A563" t="s">
        <v>22</v>
      </c>
      <c r="B563" t="s">
        <v>172</v>
      </c>
      <c r="C563" s="32">
        <v>262.64</v>
      </c>
      <c r="D563" s="33">
        <v>9</v>
      </c>
      <c r="E563" t="s">
        <v>136</v>
      </c>
      <c r="F563" t="s">
        <v>90</v>
      </c>
      <c r="G563" s="33">
        <v>23</v>
      </c>
    </row>
    <row r="564" spans="1:7">
      <c r="A564" t="s">
        <v>22</v>
      </c>
      <c r="B564" t="s">
        <v>172</v>
      </c>
      <c r="C564" s="32">
        <v>262.83999999999997</v>
      </c>
      <c r="D564" s="33">
        <v>10</v>
      </c>
      <c r="E564" t="s">
        <v>137</v>
      </c>
      <c r="F564" t="s">
        <v>90</v>
      </c>
      <c r="G564" s="33">
        <v>23</v>
      </c>
    </row>
    <row r="565" spans="1:7">
      <c r="A565" t="s">
        <v>22</v>
      </c>
      <c r="B565" t="s">
        <v>172</v>
      </c>
      <c r="C565" s="32">
        <v>263.05</v>
      </c>
      <c r="D565" s="33">
        <v>11</v>
      </c>
      <c r="E565" t="s">
        <v>138</v>
      </c>
      <c r="F565" t="s">
        <v>93</v>
      </c>
      <c r="G565" s="33">
        <v>23</v>
      </c>
    </row>
    <row r="566" spans="1:7">
      <c r="A566" t="s">
        <v>22</v>
      </c>
      <c r="B566" t="s">
        <v>172</v>
      </c>
      <c r="C566" s="32">
        <v>263.25</v>
      </c>
      <c r="D566" s="33">
        <v>12</v>
      </c>
      <c r="E566" t="s">
        <v>140</v>
      </c>
      <c r="F566" t="s">
        <v>90</v>
      </c>
      <c r="G566" s="33">
        <v>23</v>
      </c>
    </row>
    <row r="567" spans="1:7">
      <c r="A567" t="s">
        <v>22</v>
      </c>
      <c r="B567" t="s">
        <v>172</v>
      </c>
      <c r="C567" s="32">
        <v>263.45999999999998</v>
      </c>
      <c r="D567" s="33">
        <v>13</v>
      </c>
      <c r="E567" t="s">
        <v>141</v>
      </c>
      <c r="F567" t="s">
        <v>90</v>
      </c>
      <c r="G567" s="33">
        <v>22</v>
      </c>
    </row>
    <row r="568" spans="1:7">
      <c r="A568" t="s">
        <v>22</v>
      </c>
      <c r="B568" t="s">
        <v>172</v>
      </c>
      <c r="C568" s="32">
        <v>263.66000000000003</v>
      </c>
      <c r="D568" s="33">
        <v>14</v>
      </c>
      <c r="E568" t="s">
        <v>142</v>
      </c>
      <c r="F568" t="s">
        <v>102</v>
      </c>
      <c r="G568" s="33">
        <v>23</v>
      </c>
    </row>
    <row r="569" spans="1:7">
      <c r="A569" t="s">
        <v>22</v>
      </c>
      <c r="B569" t="s">
        <v>172</v>
      </c>
      <c r="C569" s="32">
        <v>263.87</v>
      </c>
      <c r="D569" s="33">
        <v>15</v>
      </c>
      <c r="E569" t="s">
        <v>143</v>
      </c>
      <c r="F569" t="s">
        <v>93</v>
      </c>
      <c r="G569" s="33">
        <v>23</v>
      </c>
    </row>
    <row r="570" spans="1:7">
      <c r="A570" t="s">
        <v>22</v>
      </c>
      <c r="B570" t="s">
        <v>172</v>
      </c>
      <c r="C570" s="32">
        <v>264.07</v>
      </c>
      <c r="D570" s="33">
        <v>16</v>
      </c>
      <c r="E570" t="s">
        <v>144</v>
      </c>
      <c r="F570" t="s">
        <v>90</v>
      </c>
      <c r="G570" s="33">
        <v>23</v>
      </c>
    </row>
    <row r="571" spans="1:7">
      <c r="A571" t="s">
        <v>22</v>
      </c>
      <c r="B571" t="s">
        <v>172</v>
      </c>
      <c r="C571" s="32">
        <v>264.27999999999997</v>
      </c>
      <c r="D571" s="33">
        <v>17</v>
      </c>
      <c r="E571" t="s">
        <v>145</v>
      </c>
      <c r="F571" t="s">
        <v>96</v>
      </c>
      <c r="G571" s="33">
        <v>23</v>
      </c>
    </row>
    <row r="572" spans="1:7">
      <c r="A572" t="s">
        <v>22</v>
      </c>
      <c r="B572" t="s">
        <v>172</v>
      </c>
      <c r="C572" s="32">
        <v>264.48</v>
      </c>
      <c r="D572" s="33">
        <v>18</v>
      </c>
      <c r="E572" t="s">
        <v>146</v>
      </c>
      <c r="F572" t="s">
        <v>90</v>
      </c>
      <c r="G572" s="33">
        <v>23</v>
      </c>
    </row>
    <row r="573" spans="1:7">
      <c r="A573" t="s">
        <v>22</v>
      </c>
      <c r="B573" t="s">
        <v>172</v>
      </c>
      <c r="C573" s="32">
        <v>264.69</v>
      </c>
      <c r="D573" s="33">
        <v>19</v>
      </c>
      <c r="E573" t="s">
        <v>148</v>
      </c>
      <c r="F573" t="s">
        <v>90</v>
      </c>
      <c r="G573" s="33">
        <v>23</v>
      </c>
    </row>
    <row r="574" spans="1:7">
      <c r="A574" t="s">
        <v>22</v>
      </c>
      <c r="B574" t="s">
        <v>172</v>
      </c>
      <c r="C574" s="32">
        <v>264.89</v>
      </c>
      <c r="D574" s="33">
        <v>20</v>
      </c>
      <c r="E574" t="s">
        <v>149</v>
      </c>
      <c r="F574" t="s">
        <v>93</v>
      </c>
      <c r="G574" s="33">
        <v>23</v>
      </c>
    </row>
    <row r="575" spans="1:7">
      <c r="A575" t="s">
        <v>22</v>
      </c>
      <c r="B575" t="s">
        <v>172</v>
      </c>
      <c r="C575" s="32">
        <v>265.10000000000002</v>
      </c>
      <c r="D575" s="33">
        <v>21</v>
      </c>
      <c r="E575" t="s">
        <v>150</v>
      </c>
      <c r="F575" t="s">
        <v>90</v>
      </c>
      <c r="G575" s="33">
        <v>23</v>
      </c>
    </row>
    <row r="576" spans="1:7">
      <c r="A576" t="s">
        <v>22</v>
      </c>
      <c r="B576" t="s">
        <v>172</v>
      </c>
      <c r="C576" s="32">
        <v>265.3</v>
      </c>
      <c r="D576" s="33">
        <v>22</v>
      </c>
      <c r="E576" t="s">
        <v>151</v>
      </c>
      <c r="F576" t="s">
        <v>90</v>
      </c>
      <c r="G576" s="33">
        <v>22</v>
      </c>
    </row>
    <row r="577" spans="1:7">
      <c r="A577" t="s">
        <v>22</v>
      </c>
      <c r="B577" t="s">
        <v>172</v>
      </c>
      <c r="C577" s="32">
        <v>265.5</v>
      </c>
      <c r="D577" s="33">
        <v>23</v>
      </c>
      <c r="E577" t="s">
        <v>152</v>
      </c>
      <c r="F577" t="s">
        <v>90</v>
      </c>
      <c r="G577" s="33">
        <v>23</v>
      </c>
    </row>
    <row r="578" spans="1:7">
      <c r="A578" t="s">
        <v>22</v>
      </c>
      <c r="B578" t="s">
        <v>172</v>
      </c>
      <c r="C578" s="32">
        <v>265.70999999999998</v>
      </c>
      <c r="D578" s="33">
        <v>24</v>
      </c>
      <c r="E578" t="s">
        <v>153</v>
      </c>
      <c r="F578" t="s">
        <v>93</v>
      </c>
      <c r="G578" s="33">
        <v>23</v>
      </c>
    </row>
    <row r="579" spans="1:7">
      <c r="A579" t="s">
        <v>22</v>
      </c>
      <c r="B579" t="s">
        <v>172</v>
      </c>
      <c r="C579" s="32">
        <v>265.91000000000003</v>
      </c>
      <c r="D579" s="33">
        <v>25</v>
      </c>
      <c r="E579" t="s">
        <v>120</v>
      </c>
      <c r="F579" t="s">
        <v>90</v>
      </c>
      <c r="G579" s="33">
        <v>23</v>
      </c>
    </row>
    <row r="580" spans="1:7">
      <c r="A580" t="s">
        <v>22</v>
      </c>
      <c r="B580" t="s">
        <v>172</v>
      </c>
      <c r="C580" s="32">
        <v>266.12</v>
      </c>
      <c r="D580" s="33">
        <v>26</v>
      </c>
      <c r="E580" t="s">
        <v>115</v>
      </c>
      <c r="F580" t="s">
        <v>90</v>
      </c>
      <c r="G580" s="33">
        <v>23</v>
      </c>
    </row>
    <row r="581" spans="1:7">
      <c r="A581" t="s">
        <v>22</v>
      </c>
      <c r="B581" t="s">
        <v>172</v>
      </c>
      <c r="C581" s="32">
        <v>266.32</v>
      </c>
      <c r="D581" s="33">
        <v>27</v>
      </c>
      <c r="E581" t="s">
        <v>116</v>
      </c>
      <c r="F581" t="s">
        <v>96</v>
      </c>
      <c r="G581" s="33">
        <v>23</v>
      </c>
    </row>
    <row r="582" spans="1:7">
      <c r="A582" t="s">
        <v>22</v>
      </c>
      <c r="B582" t="s">
        <v>172</v>
      </c>
      <c r="C582" s="32">
        <v>266.52999999999997</v>
      </c>
      <c r="D582" s="33">
        <v>28</v>
      </c>
      <c r="E582" t="s">
        <v>117</v>
      </c>
      <c r="F582" t="s">
        <v>90</v>
      </c>
      <c r="G582" s="33">
        <v>23</v>
      </c>
    </row>
    <row r="583" spans="1:7">
      <c r="A583" t="s">
        <v>22</v>
      </c>
      <c r="B583" t="s">
        <v>172</v>
      </c>
      <c r="C583" s="32">
        <v>266.73</v>
      </c>
      <c r="D583" s="33">
        <v>29</v>
      </c>
      <c r="E583" t="s">
        <v>118</v>
      </c>
      <c r="F583" t="s">
        <v>93</v>
      </c>
      <c r="G583" s="33">
        <v>23</v>
      </c>
    </row>
    <row r="584" spans="1:7">
      <c r="A584" t="s">
        <v>22</v>
      </c>
      <c r="B584" t="s">
        <v>172</v>
      </c>
      <c r="C584" s="32">
        <v>266.94</v>
      </c>
      <c r="D584" s="33">
        <v>30</v>
      </c>
      <c r="E584" t="s">
        <v>122</v>
      </c>
      <c r="F584" t="s">
        <v>102</v>
      </c>
      <c r="G584" s="33">
        <v>23</v>
      </c>
    </row>
    <row r="585" spans="1:7">
      <c r="A585" t="s">
        <v>22</v>
      </c>
      <c r="B585" t="s">
        <v>172</v>
      </c>
      <c r="C585" s="32">
        <v>267.14</v>
      </c>
      <c r="D585" s="33">
        <v>31</v>
      </c>
      <c r="E585" t="s">
        <v>124</v>
      </c>
      <c r="F585" t="s">
        <v>90</v>
      </c>
      <c r="G585" s="33">
        <v>22</v>
      </c>
    </row>
    <row r="586" spans="1:7">
      <c r="A586" t="s">
        <v>22</v>
      </c>
      <c r="B586" t="s">
        <v>172</v>
      </c>
      <c r="C586" s="32">
        <v>267.35000000000002</v>
      </c>
      <c r="D586" s="33">
        <v>32</v>
      </c>
      <c r="E586" t="s">
        <v>125</v>
      </c>
      <c r="F586" t="s">
        <v>90</v>
      </c>
      <c r="G586" s="33">
        <v>23</v>
      </c>
    </row>
    <row r="587" spans="1:7">
      <c r="A587" t="s">
        <v>22</v>
      </c>
      <c r="B587" t="s">
        <v>172</v>
      </c>
      <c r="C587" s="32">
        <v>267.55</v>
      </c>
      <c r="D587" s="33">
        <v>33</v>
      </c>
      <c r="E587" t="s">
        <v>127</v>
      </c>
      <c r="F587" t="s">
        <v>93</v>
      </c>
      <c r="G587" s="33">
        <v>23</v>
      </c>
    </row>
    <row r="588" spans="1:7">
      <c r="A588" t="s">
        <v>22</v>
      </c>
      <c r="B588" t="s">
        <v>172</v>
      </c>
      <c r="C588" s="32">
        <v>267.76</v>
      </c>
      <c r="D588" s="33">
        <v>34</v>
      </c>
      <c r="E588" t="s">
        <v>128</v>
      </c>
      <c r="F588" t="s">
        <v>90</v>
      </c>
      <c r="G588" s="33">
        <v>23</v>
      </c>
    </row>
    <row r="589" spans="1:7">
      <c r="A589" t="s">
        <v>22</v>
      </c>
      <c r="B589" t="s">
        <v>172</v>
      </c>
      <c r="C589" s="32">
        <v>267.95999999999998</v>
      </c>
      <c r="D589" s="33">
        <v>35</v>
      </c>
      <c r="E589" t="s">
        <v>129</v>
      </c>
      <c r="F589" t="s">
        <v>90</v>
      </c>
      <c r="G589" s="33">
        <v>23</v>
      </c>
    </row>
    <row r="590" spans="1:7">
      <c r="A590" t="s">
        <v>22</v>
      </c>
      <c r="B590" t="s">
        <v>172</v>
      </c>
      <c r="C590" s="32">
        <v>268.17</v>
      </c>
      <c r="D590" s="33">
        <v>36</v>
      </c>
      <c r="E590" t="s">
        <v>130</v>
      </c>
      <c r="F590" t="s">
        <v>93</v>
      </c>
      <c r="G590" s="33">
        <v>23</v>
      </c>
    </row>
    <row r="591" spans="1:7">
      <c r="A591" t="s">
        <v>22</v>
      </c>
      <c r="B591" t="s">
        <v>172</v>
      </c>
      <c r="C591" s="32">
        <v>268.37</v>
      </c>
      <c r="D591" s="33">
        <v>37</v>
      </c>
      <c r="E591" t="s">
        <v>131</v>
      </c>
      <c r="F591" t="s">
        <v>90</v>
      </c>
      <c r="G591" s="33">
        <v>23</v>
      </c>
    </row>
    <row r="592" spans="1:7">
      <c r="A592" t="s">
        <v>22</v>
      </c>
      <c r="B592" t="s">
        <v>172</v>
      </c>
      <c r="C592" s="32">
        <v>268.58</v>
      </c>
      <c r="D592" s="33">
        <v>38</v>
      </c>
      <c r="E592" t="s">
        <v>133</v>
      </c>
      <c r="F592" t="s">
        <v>90</v>
      </c>
      <c r="G592" s="33">
        <v>23</v>
      </c>
    </row>
    <row r="593" spans="1:7">
      <c r="A593" t="s">
        <v>22</v>
      </c>
      <c r="B593" t="s">
        <v>172</v>
      </c>
      <c r="C593" s="32">
        <v>268.77999999999997</v>
      </c>
      <c r="D593" s="33">
        <v>39</v>
      </c>
      <c r="E593" t="s">
        <v>134</v>
      </c>
      <c r="F593" t="s">
        <v>96</v>
      </c>
      <c r="G593" s="33">
        <v>22</v>
      </c>
    </row>
    <row r="594" spans="1:7">
      <c r="A594" t="s">
        <v>22</v>
      </c>
      <c r="B594" t="s">
        <v>172</v>
      </c>
      <c r="C594" s="32">
        <v>268.99</v>
      </c>
      <c r="D594" s="33">
        <v>40</v>
      </c>
      <c r="E594" t="s">
        <v>135</v>
      </c>
      <c r="F594" t="s">
        <v>90</v>
      </c>
      <c r="G594" s="33">
        <v>23</v>
      </c>
    </row>
    <row r="595" spans="1:7">
      <c r="A595" t="s">
        <v>22</v>
      </c>
      <c r="B595" t="s">
        <v>172</v>
      </c>
      <c r="C595" s="32">
        <v>269.19</v>
      </c>
      <c r="D595" s="33">
        <v>41</v>
      </c>
      <c r="E595" t="s">
        <v>136</v>
      </c>
      <c r="F595" t="s">
        <v>90</v>
      </c>
      <c r="G595" s="33">
        <v>23</v>
      </c>
    </row>
    <row r="596" spans="1:7">
      <c r="A596" t="s">
        <v>22</v>
      </c>
      <c r="B596" t="s">
        <v>172</v>
      </c>
      <c r="C596" s="32">
        <v>269.39999999999998</v>
      </c>
      <c r="D596" s="33">
        <v>42</v>
      </c>
      <c r="E596" t="s">
        <v>137</v>
      </c>
      <c r="F596" t="s">
        <v>93</v>
      </c>
      <c r="G596" s="33">
        <v>23</v>
      </c>
    </row>
    <row r="597" spans="1:7">
      <c r="A597" t="s">
        <v>22</v>
      </c>
      <c r="B597" t="s">
        <v>172</v>
      </c>
      <c r="C597" s="32">
        <v>269.60000000000002</v>
      </c>
      <c r="D597" s="33">
        <v>43</v>
      </c>
      <c r="E597" t="s">
        <v>138</v>
      </c>
      <c r="F597" t="s">
        <v>90</v>
      </c>
      <c r="G597" s="33">
        <v>23</v>
      </c>
    </row>
    <row r="598" spans="1:7">
      <c r="A598" t="s">
        <v>22</v>
      </c>
      <c r="B598" t="s">
        <v>173</v>
      </c>
      <c r="C598" s="32">
        <v>271</v>
      </c>
      <c r="D598" s="33">
        <v>1</v>
      </c>
      <c r="E598" t="s">
        <v>134</v>
      </c>
      <c r="F598" t="s">
        <v>90</v>
      </c>
      <c r="G598" s="33">
        <v>23</v>
      </c>
    </row>
    <row r="599" spans="1:7">
      <c r="A599" t="s">
        <v>22</v>
      </c>
      <c r="B599" t="s">
        <v>173</v>
      </c>
      <c r="C599" s="32">
        <v>271.2</v>
      </c>
      <c r="D599" s="33">
        <v>2</v>
      </c>
      <c r="E599" t="s">
        <v>135</v>
      </c>
      <c r="F599" t="s">
        <v>93</v>
      </c>
      <c r="G599" s="33">
        <v>23</v>
      </c>
    </row>
    <row r="600" spans="1:7">
      <c r="A600" t="s">
        <v>22</v>
      </c>
      <c r="B600" t="s">
        <v>173</v>
      </c>
      <c r="C600" s="32">
        <v>271.39</v>
      </c>
      <c r="D600" s="33">
        <v>3</v>
      </c>
      <c r="E600" t="s">
        <v>136</v>
      </c>
      <c r="F600" t="s">
        <v>90</v>
      </c>
      <c r="G600" s="33">
        <v>23</v>
      </c>
    </row>
    <row r="601" spans="1:7">
      <c r="A601" t="s">
        <v>22</v>
      </c>
      <c r="B601" t="s">
        <v>173</v>
      </c>
      <c r="C601" s="32">
        <v>271.58999999999997</v>
      </c>
      <c r="D601" s="33">
        <v>4</v>
      </c>
      <c r="E601" t="s">
        <v>137</v>
      </c>
      <c r="F601" t="s">
        <v>90</v>
      </c>
      <c r="G601" s="33">
        <v>23</v>
      </c>
    </row>
    <row r="602" spans="1:7">
      <c r="A602" t="s">
        <v>22</v>
      </c>
      <c r="B602" t="s">
        <v>173</v>
      </c>
      <c r="C602" s="32">
        <v>271.77999999999997</v>
      </c>
      <c r="D602" s="33">
        <v>5</v>
      </c>
      <c r="E602" t="s">
        <v>138</v>
      </c>
      <c r="F602" t="s">
        <v>96</v>
      </c>
      <c r="G602" s="33">
        <v>23</v>
      </c>
    </row>
    <row r="603" spans="1:7">
      <c r="A603" t="s">
        <v>22</v>
      </c>
      <c r="B603" t="s">
        <v>173</v>
      </c>
      <c r="C603" s="32">
        <v>271.98</v>
      </c>
      <c r="D603" s="33">
        <v>6</v>
      </c>
      <c r="E603" t="s">
        <v>140</v>
      </c>
      <c r="F603" t="s">
        <v>90</v>
      </c>
      <c r="G603" s="33">
        <v>22</v>
      </c>
    </row>
    <row r="604" spans="1:7">
      <c r="A604" t="s">
        <v>22</v>
      </c>
      <c r="B604" t="s">
        <v>173</v>
      </c>
      <c r="C604" s="32">
        <v>272.17</v>
      </c>
      <c r="D604" s="33">
        <v>7</v>
      </c>
      <c r="E604" t="s">
        <v>141</v>
      </c>
      <c r="F604" t="s">
        <v>93</v>
      </c>
      <c r="G604" s="33">
        <v>23</v>
      </c>
    </row>
    <row r="605" spans="1:7">
      <c r="A605" t="s">
        <v>22</v>
      </c>
      <c r="B605" t="s">
        <v>173</v>
      </c>
      <c r="C605" s="32">
        <v>272.37</v>
      </c>
      <c r="D605" s="33">
        <v>8</v>
      </c>
      <c r="E605" t="s">
        <v>142</v>
      </c>
      <c r="F605" t="s">
        <v>90</v>
      </c>
      <c r="G605" s="33">
        <v>23</v>
      </c>
    </row>
    <row r="606" spans="1:7">
      <c r="A606" t="s">
        <v>22</v>
      </c>
      <c r="B606" t="s">
        <v>173</v>
      </c>
      <c r="C606" s="32">
        <v>272.56</v>
      </c>
      <c r="D606" s="33">
        <v>9</v>
      </c>
      <c r="E606" t="s">
        <v>143</v>
      </c>
      <c r="F606" t="s">
        <v>90</v>
      </c>
      <c r="G606" s="33">
        <v>23</v>
      </c>
    </row>
    <row r="607" spans="1:7">
      <c r="A607" t="s">
        <v>22</v>
      </c>
      <c r="B607" t="s">
        <v>173</v>
      </c>
      <c r="C607" s="32">
        <v>272.76</v>
      </c>
      <c r="D607" s="33">
        <v>10</v>
      </c>
      <c r="E607" t="s">
        <v>144</v>
      </c>
      <c r="F607" t="s">
        <v>90</v>
      </c>
      <c r="G607" s="33">
        <v>23</v>
      </c>
    </row>
    <row r="608" spans="1:7">
      <c r="A608" t="s">
        <v>22</v>
      </c>
      <c r="B608" t="s">
        <v>173</v>
      </c>
      <c r="C608" s="32">
        <v>272.95</v>
      </c>
      <c r="D608" s="33">
        <v>11</v>
      </c>
      <c r="E608" t="s">
        <v>145</v>
      </c>
      <c r="F608" t="s">
        <v>93</v>
      </c>
      <c r="G608" s="33">
        <v>23</v>
      </c>
    </row>
    <row r="609" spans="1:7">
      <c r="A609" t="s">
        <v>22</v>
      </c>
      <c r="B609" t="s">
        <v>173</v>
      </c>
      <c r="C609" s="32">
        <v>273.14999999999998</v>
      </c>
      <c r="D609" s="33">
        <v>12</v>
      </c>
      <c r="E609" t="s">
        <v>146</v>
      </c>
      <c r="F609" t="s">
        <v>90</v>
      </c>
      <c r="G609" s="33">
        <v>23</v>
      </c>
    </row>
    <row r="610" spans="1:7">
      <c r="A610" t="s">
        <v>22</v>
      </c>
      <c r="B610" t="s">
        <v>173</v>
      </c>
      <c r="C610" s="32">
        <v>273.35000000000002</v>
      </c>
      <c r="D610" s="33">
        <v>13</v>
      </c>
      <c r="E610" t="s">
        <v>148</v>
      </c>
      <c r="F610" t="s">
        <v>90</v>
      </c>
      <c r="G610" s="33">
        <v>23</v>
      </c>
    </row>
    <row r="611" spans="1:7">
      <c r="A611" t="s">
        <v>22</v>
      </c>
      <c r="B611" t="s">
        <v>173</v>
      </c>
      <c r="C611" s="32">
        <v>273.54000000000002</v>
      </c>
      <c r="D611" s="33">
        <v>14</v>
      </c>
      <c r="E611" t="s">
        <v>149</v>
      </c>
      <c r="F611" t="s">
        <v>93</v>
      </c>
      <c r="G611" s="33">
        <v>23</v>
      </c>
    </row>
    <row r="612" spans="1:7">
      <c r="A612" t="s">
        <v>22</v>
      </c>
      <c r="B612" t="s">
        <v>173</v>
      </c>
      <c r="C612" s="32">
        <v>273.74</v>
      </c>
      <c r="D612" s="33">
        <v>15</v>
      </c>
      <c r="E612" t="s">
        <v>150</v>
      </c>
      <c r="F612" t="s">
        <v>102</v>
      </c>
      <c r="G612" s="33">
        <v>23</v>
      </c>
    </row>
    <row r="613" spans="1:7">
      <c r="A613" t="s">
        <v>22</v>
      </c>
      <c r="B613" t="s">
        <v>173</v>
      </c>
      <c r="C613" s="32">
        <v>273.93</v>
      </c>
      <c r="D613" s="33">
        <v>16</v>
      </c>
      <c r="E613" t="s">
        <v>151</v>
      </c>
      <c r="F613" t="s">
        <v>90</v>
      </c>
      <c r="G613" s="33">
        <v>23</v>
      </c>
    </row>
    <row r="614" spans="1:7">
      <c r="A614" t="s">
        <v>22</v>
      </c>
      <c r="B614" t="s">
        <v>173</v>
      </c>
      <c r="C614" s="32">
        <v>274.13</v>
      </c>
      <c r="D614" s="33">
        <v>17</v>
      </c>
      <c r="E614" t="s">
        <v>152</v>
      </c>
      <c r="F614" t="s">
        <v>96</v>
      </c>
      <c r="G614" s="33">
        <v>22</v>
      </c>
    </row>
    <row r="615" spans="1:7">
      <c r="A615" t="s">
        <v>22</v>
      </c>
      <c r="B615" t="s">
        <v>173</v>
      </c>
      <c r="C615" s="32">
        <v>274.32</v>
      </c>
      <c r="D615" s="33">
        <v>18</v>
      </c>
      <c r="E615" t="s">
        <v>153</v>
      </c>
      <c r="F615" t="s">
        <v>90</v>
      </c>
      <c r="G615" s="33">
        <v>23</v>
      </c>
    </row>
    <row r="616" spans="1:7">
      <c r="A616" t="s">
        <v>22</v>
      </c>
      <c r="B616" t="s">
        <v>173</v>
      </c>
      <c r="C616" s="32">
        <v>274.52</v>
      </c>
      <c r="D616" s="33">
        <v>19</v>
      </c>
      <c r="E616" t="s">
        <v>120</v>
      </c>
      <c r="F616" t="s">
        <v>90</v>
      </c>
      <c r="G616" s="33">
        <v>23</v>
      </c>
    </row>
    <row r="617" spans="1:7">
      <c r="A617" t="s">
        <v>22</v>
      </c>
      <c r="B617" t="s">
        <v>173</v>
      </c>
      <c r="C617" s="32">
        <v>274.70999999999998</v>
      </c>
      <c r="D617" s="33">
        <v>20</v>
      </c>
      <c r="E617" t="s">
        <v>115</v>
      </c>
      <c r="F617" t="s">
        <v>93</v>
      </c>
      <c r="G617" s="33">
        <v>23</v>
      </c>
    </row>
    <row r="618" spans="1:7">
      <c r="A618" t="s">
        <v>22</v>
      </c>
      <c r="B618" t="s">
        <v>173</v>
      </c>
      <c r="C618" s="32">
        <v>274.91000000000003</v>
      </c>
      <c r="D618" s="33">
        <v>21</v>
      </c>
      <c r="E618" t="s">
        <v>116</v>
      </c>
      <c r="F618" t="s">
        <v>90</v>
      </c>
      <c r="G618" s="33">
        <v>23</v>
      </c>
    </row>
    <row r="619" spans="1:7">
      <c r="A619" t="s">
        <v>22</v>
      </c>
      <c r="B619" t="s">
        <v>173</v>
      </c>
      <c r="C619" s="32">
        <v>275.10000000000002</v>
      </c>
      <c r="D619" s="33">
        <v>22</v>
      </c>
      <c r="E619" t="s">
        <v>117</v>
      </c>
      <c r="F619" t="s">
        <v>90</v>
      </c>
      <c r="G619" s="33">
        <v>23</v>
      </c>
    </row>
    <row r="620" spans="1:7">
      <c r="A620" t="s">
        <v>22</v>
      </c>
      <c r="B620" t="s">
        <v>173</v>
      </c>
      <c r="C620" s="32">
        <v>275.3</v>
      </c>
      <c r="D620" s="33">
        <v>23</v>
      </c>
      <c r="E620" t="s">
        <v>118</v>
      </c>
      <c r="F620" t="s">
        <v>93</v>
      </c>
      <c r="G620" s="33">
        <v>23</v>
      </c>
    </row>
    <row r="621" spans="1:7">
      <c r="A621" t="s">
        <v>22</v>
      </c>
      <c r="B621" t="s">
        <v>173</v>
      </c>
      <c r="C621" s="32">
        <v>275.5</v>
      </c>
      <c r="D621" s="33">
        <v>24</v>
      </c>
      <c r="E621" t="s">
        <v>122</v>
      </c>
      <c r="F621" t="s">
        <v>90</v>
      </c>
      <c r="G621" s="33">
        <v>23</v>
      </c>
    </row>
    <row r="622" spans="1:7">
      <c r="A622" t="s">
        <v>22</v>
      </c>
      <c r="B622" t="s">
        <v>173</v>
      </c>
      <c r="C622" s="32">
        <v>275.69</v>
      </c>
      <c r="D622" s="33">
        <v>25</v>
      </c>
      <c r="E622" t="s">
        <v>124</v>
      </c>
      <c r="F622" t="s">
        <v>90</v>
      </c>
      <c r="G622" s="33">
        <v>23</v>
      </c>
    </row>
    <row r="623" spans="1:7">
      <c r="A623" t="s">
        <v>22</v>
      </c>
      <c r="B623" t="s">
        <v>173</v>
      </c>
      <c r="C623" s="32">
        <v>275.89</v>
      </c>
      <c r="D623" s="33">
        <v>26</v>
      </c>
      <c r="E623" t="s">
        <v>125</v>
      </c>
      <c r="F623" t="s">
        <v>93</v>
      </c>
      <c r="G623" s="33">
        <v>23</v>
      </c>
    </row>
    <row r="624" spans="1:7">
      <c r="A624" t="s">
        <v>22</v>
      </c>
      <c r="B624" t="s">
        <v>173</v>
      </c>
      <c r="C624" s="32">
        <v>276.08</v>
      </c>
      <c r="D624" s="33">
        <v>27</v>
      </c>
      <c r="E624" t="s">
        <v>127</v>
      </c>
      <c r="F624" t="s">
        <v>90</v>
      </c>
      <c r="G624" s="33">
        <v>23</v>
      </c>
    </row>
    <row r="625" spans="1:7">
      <c r="A625" t="s">
        <v>22</v>
      </c>
      <c r="B625" t="s">
        <v>173</v>
      </c>
      <c r="C625" s="32">
        <v>276.27999999999997</v>
      </c>
      <c r="D625" s="33">
        <v>28</v>
      </c>
      <c r="E625" t="s">
        <v>128</v>
      </c>
      <c r="F625" t="s">
        <v>90</v>
      </c>
      <c r="G625" s="33">
        <v>23</v>
      </c>
    </row>
    <row r="626" spans="1:7">
      <c r="A626" t="s">
        <v>22</v>
      </c>
      <c r="B626" t="s">
        <v>173</v>
      </c>
      <c r="C626" s="32">
        <v>276.47000000000003</v>
      </c>
      <c r="D626" s="33">
        <v>29</v>
      </c>
      <c r="E626" t="s">
        <v>129</v>
      </c>
      <c r="F626" t="s">
        <v>96</v>
      </c>
      <c r="G626" s="33">
        <v>22</v>
      </c>
    </row>
    <row r="627" spans="1:7">
      <c r="A627" t="s">
        <v>22</v>
      </c>
      <c r="B627" t="s">
        <v>173</v>
      </c>
      <c r="C627" s="32">
        <v>276.67</v>
      </c>
      <c r="D627" s="33">
        <v>30</v>
      </c>
      <c r="E627" t="s">
        <v>130</v>
      </c>
      <c r="F627" t="s">
        <v>102</v>
      </c>
      <c r="G627" s="33">
        <v>23</v>
      </c>
    </row>
    <row r="628" spans="1:7">
      <c r="A628" t="s">
        <v>22</v>
      </c>
      <c r="B628" t="s">
        <v>173</v>
      </c>
      <c r="C628" s="32">
        <v>276.86</v>
      </c>
      <c r="D628" s="33">
        <v>31</v>
      </c>
      <c r="E628" t="s">
        <v>131</v>
      </c>
      <c r="F628" t="s">
        <v>90</v>
      </c>
      <c r="G628" s="33">
        <v>23</v>
      </c>
    </row>
    <row r="629" spans="1:7">
      <c r="A629" t="s">
        <v>22</v>
      </c>
      <c r="B629" t="s">
        <v>173</v>
      </c>
      <c r="C629" s="32">
        <v>277.06</v>
      </c>
      <c r="D629" s="33">
        <v>32</v>
      </c>
      <c r="E629" t="s">
        <v>133</v>
      </c>
      <c r="F629" t="s">
        <v>93</v>
      </c>
      <c r="G629" s="33">
        <v>23</v>
      </c>
    </row>
    <row r="630" spans="1:7">
      <c r="A630" t="s">
        <v>22</v>
      </c>
      <c r="B630" t="s">
        <v>173</v>
      </c>
      <c r="C630" s="32">
        <v>277.25</v>
      </c>
      <c r="D630" s="33">
        <v>33</v>
      </c>
      <c r="E630" t="s">
        <v>134</v>
      </c>
      <c r="F630" t="s">
        <v>90</v>
      </c>
      <c r="G630" s="33">
        <v>23</v>
      </c>
    </row>
    <row r="631" spans="1:7">
      <c r="A631" t="s">
        <v>22</v>
      </c>
      <c r="B631" t="s">
        <v>173</v>
      </c>
      <c r="C631" s="32">
        <v>277.45</v>
      </c>
      <c r="D631" s="33">
        <v>34</v>
      </c>
      <c r="E631" t="s">
        <v>135</v>
      </c>
      <c r="F631" t="s">
        <v>90</v>
      </c>
      <c r="G631" s="33">
        <v>23</v>
      </c>
    </row>
    <row r="632" spans="1:7">
      <c r="A632" t="s">
        <v>22</v>
      </c>
      <c r="B632" t="s">
        <v>173</v>
      </c>
      <c r="C632" s="32">
        <v>277.64999999999998</v>
      </c>
      <c r="D632" s="33">
        <v>35</v>
      </c>
      <c r="E632" t="s">
        <v>136</v>
      </c>
      <c r="F632" t="s">
        <v>93</v>
      </c>
      <c r="G632" s="33">
        <v>23</v>
      </c>
    </row>
    <row r="633" spans="1:7">
      <c r="A633" t="s">
        <v>22</v>
      </c>
      <c r="B633" t="s">
        <v>173</v>
      </c>
      <c r="C633" s="32">
        <v>277.83999999999997</v>
      </c>
      <c r="D633" s="33">
        <v>36</v>
      </c>
      <c r="E633" t="s">
        <v>137</v>
      </c>
      <c r="F633" t="s">
        <v>90</v>
      </c>
      <c r="G633" s="33">
        <v>23</v>
      </c>
    </row>
    <row r="634" spans="1:7">
      <c r="A634" t="s">
        <v>22</v>
      </c>
      <c r="B634" t="s">
        <v>173</v>
      </c>
      <c r="C634" s="32">
        <v>278.04000000000002</v>
      </c>
      <c r="D634" s="33">
        <v>37</v>
      </c>
      <c r="E634" t="s">
        <v>138</v>
      </c>
      <c r="F634" t="s">
        <v>90</v>
      </c>
      <c r="G634" s="33">
        <v>23</v>
      </c>
    </row>
    <row r="635" spans="1:7">
      <c r="A635" t="s">
        <v>22</v>
      </c>
      <c r="B635" t="s">
        <v>173</v>
      </c>
      <c r="C635" s="32">
        <v>278.23</v>
      </c>
      <c r="D635" s="33">
        <v>38</v>
      </c>
      <c r="E635" t="s">
        <v>140</v>
      </c>
      <c r="F635" t="s">
        <v>96</v>
      </c>
      <c r="G635" s="33">
        <v>23</v>
      </c>
    </row>
    <row r="636" spans="1:7">
      <c r="A636" t="s">
        <v>22</v>
      </c>
      <c r="B636" t="s">
        <v>173</v>
      </c>
      <c r="C636" s="32">
        <v>278.43</v>
      </c>
      <c r="D636" s="33">
        <v>39</v>
      </c>
      <c r="E636" t="s">
        <v>141</v>
      </c>
      <c r="F636" t="s">
        <v>90</v>
      </c>
      <c r="G636" s="33">
        <v>23</v>
      </c>
    </row>
    <row r="637" spans="1:7">
      <c r="A637" t="s">
        <v>22</v>
      </c>
      <c r="B637" t="s">
        <v>173</v>
      </c>
      <c r="C637" s="32">
        <v>278.62</v>
      </c>
      <c r="D637" s="33">
        <v>40</v>
      </c>
      <c r="E637" t="s">
        <v>142</v>
      </c>
      <c r="F637" t="s">
        <v>93</v>
      </c>
      <c r="G637" s="33">
        <v>22</v>
      </c>
    </row>
    <row r="638" spans="1:7">
      <c r="A638" t="s">
        <v>22</v>
      </c>
      <c r="B638" t="s">
        <v>173</v>
      </c>
      <c r="C638" s="32">
        <v>278.82</v>
      </c>
      <c r="D638" s="33">
        <v>41</v>
      </c>
      <c r="E638" t="s">
        <v>143</v>
      </c>
      <c r="F638" t="s">
        <v>90</v>
      </c>
      <c r="G638" s="33">
        <v>23</v>
      </c>
    </row>
    <row r="639" spans="1:7">
      <c r="A639" t="s">
        <v>22</v>
      </c>
      <c r="B639" t="s">
        <v>173</v>
      </c>
      <c r="C639" s="32">
        <v>279.01</v>
      </c>
      <c r="D639" s="33">
        <v>42</v>
      </c>
      <c r="E639" t="s">
        <v>144</v>
      </c>
      <c r="F639" t="s">
        <v>90</v>
      </c>
      <c r="G639" s="33">
        <v>23</v>
      </c>
    </row>
    <row r="640" spans="1:7">
      <c r="A640" t="s">
        <v>22</v>
      </c>
      <c r="B640" t="s">
        <v>173</v>
      </c>
      <c r="C640" s="32">
        <v>279.20999999999998</v>
      </c>
      <c r="D640" s="33">
        <v>43</v>
      </c>
      <c r="E640" t="s">
        <v>145</v>
      </c>
      <c r="F640" t="s">
        <v>90</v>
      </c>
      <c r="G640" s="33">
        <v>23</v>
      </c>
    </row>
    <row r="641" spans="1:7">
      <c r="A641" t="s">
        <v>22</v>
      </c>
      <c r="B641" t="s">
        <v>173</v>
      </c>
      <c r="C641" s="32">
        <v>279.39999999999998</v>
      </c>
      <c r="D641" s="33">
        <v>44</v>
      </c>
      <c r="E641" t="s">
        <v>146</v>
      </c>
      <c r="F641" t="s">
        <v>93</v>
      </c>
      <c r="G641" s="33">
        <v>23</v>
      </c>
    </row>
    <row r="642" spans="1:7">
      <c r="A642" t="s">
        <v>22</v>
      </c>
      <c r="B642" t="s">
        <v>173</v>
      </c>
      <c r="C642" s="32">
        <v>279.60000000000002</v>
      </c>
      <c r="D642" s="33">
        <v>45</v>
      </c>
      <c r="E642" t="s">
        <v>148</v>
      </c>
      <c r="F642" t="s">
        <v>102</v>
      </c>
      <c r="G642" s="33">
        <v>23</v>
      </c>
    </row>
    <row r="643" spans="1:7">
      <c r="A643" t="s">
        <v>22</v>
      </c>
      <c r="B643" t="s">
        <v>174</v>
      </c>
      <c r="C643" s="32">
        <v>281</v>
      </c>
      <c r="D643" s="33">
        <v>1</v>
      </c>
      <c r="E643" t="s">
        <v>143</v>
      </c>
      <c r="F643" t="s">
        <v>90</v>
      </c>
      <c r="G643" s="33">
        <v>24</v>
      </c>
    </row>
    <row r="644" spans="1:7">
      <c r="A644" t="s">
        <v>22</v>
      </c>
      <c r="B644" t="s">
        <v>174</v>
      </c>
      <c r="C644" s="32">
        <v>281.19</v>
      </c>
      <c r="D644" s="33">
        <v>2</v>
      </c>
      <c r="E644" t="s">
        <v>144</v>
      </c>
      <c r="F644" t="s">
        <v>93</v>
      </c>
      <c r="G644" s="33">
        <v>24</v>
      </c>
    </row>
    <row r="645" spans="1:7">
      <c r="A645" t="s">
        <v>22</v>
      </c>
      <c r="B645" t="s">
        <v>174</v>
      </c>
      <c r="C645" s="32">
        <v>281.37</v>
      </c>
      <c r="D645" s="33">
        <v>3</v>
      </c>
      <c r="E645" t="s">
        <v>145</v>
      </c>
      <c r="F645" t="s">
        <v>90</v>
      </c>
      <c r="G645" s="33">
        <v>24</v>
      </c>
    </row>
    <row r="646" spans="1:7">
      <c r="A646" t="s">
        <v>22</v>
      </c>
      <c r="B646" t="s">
        <v>174</v>
      </c>
      <c r="C646" s="32">
        <v>281.56</v>
      </c>
      <c r="D646" s="33">
        <v>4</v>
      </c>
      <c r="E646" t="s">
        <v>146</v>
      </c>
      <c r="F646" t="s">
        <v>90</v>
      </c>
      <c r="G646" s="33">
        <v>24</v>
      </c>
    </row>
    <row r="647" spans="1:7">
      <c r="A647" t="s">
        <v>22</v>
      </c>
      <c r="B647" t="s">
        <v>174</v>
      </c>
      <c r="C647" s="32">
        <v>281.75</v>
      </c>
      <c r="D647" s="33">
        <v>5</v>
      </c>
      <c r="E647" t="s">
        <v>148</v>
      </c>
      <c r="F647" t="s">
        <v>96</v>
      </c>
      <c r="G647" s="33">
        <v>24</v>
      </c>
    </row>
    <row r="648" spans="1:7">
      <c r="A648" t="s">
        <v>22</v>
      </c>
      <c r="B648" t="s">
        <v>174</v>
      </c>
      <c r="C648" s="32">
        <v>281.93</v>
      </c>
      <c r="D648" s="33">
        <v>6</v>
      </c>
      <c r="E648" t="s">
        <v>149</v>
      </c>
      <c r="F648" t="s">
        <v>90</v>
      </c>
      <c r="G648" s="33">
        <v>24</v>
      </c>
    </row>
    <row r="649" spans="1:7">
      <c r="A649" t="s">
        <v>22</v>
      </c>
      <c r="B649" t="s">
        <v>174</v>
      </c>
      <c r="C649" s="32">
        <v>282.12</v>
      </c>
      <c r="D649" s="33">
        <v>7</v>
      </c>
      <c r="E649" t="s">
        <v>150</v>
      </c>
      <c r="F649" t="s">
        <v>93</v>
      </c>
      <c r="G649" s="33">
        <v>24</v>
      </c>
    </row>
    <row r="650" spans="1:7">
      <c r="A650" t="s">
        <v>22</v>
      </c>
      <c r="B650" t="s">
        <v>174</v>
      </c>
      <c r="C650" s="32">
        <v>282.31</v>
      </c>
      <c r="D650" s="33">
        <v>8</v>
      </c>
      <c r="E650" t="s">
        <v>151</v>
      </c>
      <c r="F650" t="s">
        <v>90</v>
      </c>
      <c r="G650" s="33">
        <v>24</v>
      </c>
    </row>
    <row r="651" spans="1:7">
      <c r="A651" t="s">
        <v>22</v>
      </c>
      <c r="B651" t="s">
        <v>174</v>
      </c>
      <c r="C651" s="32">
        <v>282.5</v>
      </c>
      <c r="D651" s="33">
        <v>9</v>
      </c>
      <c r="E651" t="s">
        <v>152</v>
      </c>
      <c r="F651" t="s">
        <v>90</v>
      </c>
      <c r="G651" s="33">
        <v>24</v>
      </c>
    </row>
    <row r="652" spans="1:7">
      <c r="A652" t="s">
        <v>22</v>
      </c>
      <c r="B652" t="s">
        <v>174</v>
      </c>
      <c r="C652" s="32">
        <v>282.68</v>
      </c>
      <c r="D652" s="33">
        <v>10</v>
      </c>
      <c r="E652" t="s">
        <v>153</v>
      </c>
      <c r="F652" t="s">
        <v>90</v>
      </c>
      <c r="G652" s="33">
        <v>24</v>
      </c>
    </row>
    <row r="653" spans="1:7">
      <c r="A653" t="s">
        <v>22</v>
      </c>
      <c r="B653" t="s">
        <v>174</v>
      </c>
      <c r="C653" s="32">
        <v>282.87</v>
      </c>
      <c r="D653" s="33">
        <v>11</v>
      </c>
      <c r="E653" t="s">
        <v>120</v>
      </c>
      <c r="F653" t="s">
        <v>93</v>
      </c>
      <c r="G653" s="33">
        <v>24</v>
      </c>
    </row>
    <row r="654" spans="1:7">
      <c r="A654" t="s">
        <v>22</v>
      </c>
      <c r="B654" t="s">
        <v>174</v>
      </c>
      <c r="C654" s="32">
        <v>283.06</v>
      </c>
      <c r="D654" s="33">
        <v>12</v>
      </c>
      <c r="E654" t="s">
        <v>115</v>
      </c>
      <c r="F654" t="s">
        <v>90</v>
      </c>
      <c r="G654" s="33">
        <v>23</v>
      </c>
    </row>
    <row r="655" spans="1:7">
      <c r="A655" t="s">
        <v>22</v>
      </c>
      <c r="B655" t="s">
        <v>174</v>
      </c>
      <c r="C655" s="32">
        <v>283.24</v>
      </c>
      <c r="D655" s="33">
        <v>13</v>
      </c>
      <c r="E655" t="s">
        <v>116</v>
      </c>
      <c r="F655" t="s">
        <v>90</v>
      </c>
      <c r="G655" s="33">
        <v>24</v>
      </c>
    </row>
    <row r="656" spans="1:7">
      <c r="A656" t="s">
        <v>22</v>
      </c>
      <c r="B656" t="s">
        <v>174</v>
      </c>
      <c r="C656" s="32">
        <v>283.43</v>
      </c>
      <c r="D656" s="33">
        <v>14</v>
      </c>
      <c r="E656" t="s">
        <v>117</v>
      </c>
      <c r="F656" t="s">
        <v>96</v>
      </c>
      <c r="G656" s="33">
        <v>24</v>
      </c>
    </row>
    <row r="657" spans="1:7">
      <c r="A657" t="s">
        <v>22</v>
      </c>
      <c r="B657" t="s">
        <v>174</v>
      </c>
      <c r="C657" s="32">
        <v>283.62</v>
      </c>
      <c r="D657" s="33">
        <v>15</v>
      </c>
      <c r="E657" t="s">
        <v>118</v>
      </c>
      <c r="F657" t="s">
        <v>102</v>
      </c>
      <c r="G657" s="33">
        <v>24</v>
      </c>
    </row>
    <row r="658" spans="1:7">
      <c r="A658" t="s">
        <v>22</v>
      </c>
      <c r="B658" t="s">
        <v>174</v>
      </c>
      <c r="C658" s="32">
        <v>283.8</v>
      </c>
      <c r="D658" s="33">
        <v>16</v>
      </c>
      <c r="E658" t="s">
        <v>122</v>
      </c>
      <c r="F658" t="s">
        <v>93</v>
      </c>
      <c r="G658" s="33">
        <v>24</v>
      </c>
    </row>
    <row r="659" spans="1:7">
      <c r="A659" t="s">
        <v>22</v>
      </c>
      <c r="B659" t="s">
        <v>174</v>
      </c>
      <c r="C659" s="32">
        <v>283.99</v>
      </c>
      <c r="D659" s="33">
        <v>17</v>
      </c>
      <c r="E659" t="s">
        <v>124</v>
      </c>
      <c r="F659" t="s">
        <v>90</v>
      </c>
      <c r="G659" s="33">
        <v>24</v>
      </c>
    </row>
    <row r="660" spans="1:7">
      <c r="A660" t="s">
        <v>22</v>
      </c>
      <c r="B660" t="s">
        <v>174</v>
      </c>
      <c r="C660" s="32">
        <v>284.18</v>
      </c>
      <c r="D660" s="33">
        <v>18</v>
      </c>
      <c r="E660" t="s">
        <v>125</v>
      </c>
      <c r="F660" t="s">
        <v>90</v>
      </c>
      <c r="G660" s="33">
        <v>24</v>
      </c>
    </row>
    <row r="661" spans="1:7">
      <c r="A661" t="s">
        <v>22</v>
      </c>
      <c r="B661" t="s">
        <v>174</v>
      </c>
      <c r="C661" s="32">
        <v>284.37</v>
      </c>
      <c r="D661" s="33">
        <v>19</v>
      </c>
      <c r="E661" t="s">
        <v>127</v>
      </c>
      <c r="F661" t="s">
        <v>90</v>
      </c>
      <c r="G661" s="33">
        <v>24</v>
      </c>
    </row>
    <row r="662" spans="1:7">
      <c r="A662" t="s">
        <v>22</v>
      </c>
      <c r="B662" t="s">
        <v>174</v>
      </c>
      <c r="C662" s="32">
        <v>284.55</v>
      </c>
      <c r="D662" s="33">
        <v>20</v>
      </c>
      <c r="E662" t="s">
        <v>128</v>
      </c>
      <c r="F662" t="s">
        <v>93</v>
      </c>
      <c r="G662" s="33">
        <v>24</v>
      </c>
    </row>
    <row r="663" spans="1:7">
      <c r="A663" t="s">
        <v>22</v>
      </c>
      <c r="B663" t="s">
        <v>174</v>
      </c>
      <c r="C663" s="32">
        <v>284.74</v>
      </c>
      <c r="D663" s="33">
        <v>21</v>
      </c>
      <c r="E663" t="s">
        <v>129</v>
      </c>
      <c r="F663" t="s">
        <v>90</v>
      </c>
      <c r="G663" s="33">
        <v>24</v>
      </c>
    </row>
    <row r="664" spans="1:7">
      <c r="A664" t="s">
        <v>22</v>
      </c>
      <c r="B664" t="s">
        <v>174</v>
      </c>
      <c r="C664" s="32">
        <v>284.93</v>
      </c>
      <c r="D664" s="33">
        <v>22</v>
      </c>
      <c r="E664" t="s">
        <v>130</v>
      </c>
      <c r="F664" t="s">
        <v>90</v>
      </c>
      <c r="G664" s="33">
        <v>24</v>
      </c>
    </row>
    <row r="665" spans="1:7">
      <c r="A665" t="s">
        <v>22</v>
      </c>
      <c r="B665" t="s">
        <v>174</v>
      </c>
      <c r="C665" s="32">
        <v>285.11</v>
      </c>
      <c r="D665" s="33">
        <v>23</v>
      </c>
      <c r="E665" t="s">
        <v>131</v>
      </c>
      <c r="F665" t="s">
        <v>96</v>
      </c>
      <c r="G665" s="33">
        <v>24</v>
      </c>
    </row>
    <row r="666" spans="1:7">
      <c r="A666" t="s">
        <v>22</v>
      </c>
      <c r="B666" t="s">
        <v>174</v>
      </c>
      <c r="C666" s="32">
        <v>285.3</v>
      </c>
      <c r="D666" s="33">
        <v>24</v>
      </c>
      <c r="E666" t="s">
        <v>133</v>
      </c>
      <c r="F666" t="s">
        <v>90</v>
      </c>
      <c r="G666" s="33">
        <v>24</v>
      </c>
    </row>
    <row r="667" spans="1:7">
      <c r="A667" t="s">
        <v>22</v>
      </c>
      <c r="B667" t="s">
        <v>174</v>
      </c>
      <c r="C667" s="32">
        <v>285.49</v>
      </c>
      <c r="D667" s="33">
        <v>25</v>
      </c>
      <c r="E667" t="s">
        <v>134</v>
      </c>
      <c r="F667" t="s">
        <v>93</v>
      </c>
      <c r="G667" s="33">
        <v>24</v>
      </c>
    </row>
    <row r="668" spans="1:7">
      <c r="A668" t="s">
        <v>22</v>
      </c>
      <c r="B668" t="s">
        <v>174</v>
      </c>
      <c r="C668" s="32">
        <v>285.67</v>
      </c>
      <c r="D668" s="33">
        <v>26</v>
      </c>
      <c r="E668" t="s">
        <v>135</v>
      </c>
      <c r="F668" t="s">
        <v>90</v>
      </c>
      <c r="G668" s="33">
        <v>24</v>
      </c>
    </row>
    <row r="669" spans="1:7">
      <c r="A669" t="s">
        <v>22</v>
      </c>
      <c r="B669" t="s">
        <v>174</v>
      </c>
      <c r="C669" s="32">
        <v>285.86</v>
      </c>
      <c r="D669" s="33">
        <v>27</v>
      </c>
      <c r="E669" t="s">
        <v>136</v>
      </c>
      <c r="F669" t="s">
        <v>90</v>
      </c>
      <c r="G669" s="33">
        <v>24</v>
      </c>
    </row>
    <row r="670" spans="1:7">
      <c r="A670" t="s">
        <v>22</v>
      </c>
      <c r="B670" t="s">
        <v>174</v>
      </c>
      <c r="C670" s="32">
        <v>286.05</v>
      </c>
      <c r="D670" s="33">
        <v>28</v>
      </c>
      <c r="E670" t="s">
        <v>137</v>
      </c>
      <c r="F670" t="s">
        <v>93</v>
      </c>
      <c r="G670" s="33">
        <v>24</v>
      </c>
    </row>
    <row r="671" spans="1:7">
      <c r="A671" t="s">
        <v>22</v>
      </c>
      <c r="B671" t="s">
        <v>174</v>
      </c>
      <c r="C671" s="32">
        <v>286.23</v>
      </c>
      <c r="D671" s="33">
        <v>29</v>
      </c>
      <c r="E671" t="s">
        <v>138</v>
      </c>
      <c r="F671" t="s">
        <v>90</v>
      </c>
      <c r="G671" s="33">
        <v>24</v>
      </c>
    </row>
    <row r="672" spans="1:7">
      <c r="A672" t="s">
        <v>22</v>
      </c>
      <c r="B672" t="s">
        <v>174</v>
      </c>
      <c r="C672" s="32">
        <v>286.42</v>
      </c>
      <c r="D672" s="33">
        <v>30</v>
      </c>
      <c r="E672" t="s">
        <v>140</v>
      </c>
      <c r="F672" t="s">
        <v>102</v>
      </c>
      <c r="G672" s="33">
        <v>24</v>
      </c>
    </row>
    <row r="673" spans="1:7">
      <c r="A673" t="s">
        <v>22</v>
      </c>
      <c r="B673" t="s">
        <v>174</v>
      </c>
      <c r="C673" s="32">
        <v>286.61</v>
      </c>
      <c r="D673" s="33">
        <v>31</v>
      </c>
      <c r="E673" t="s">
        <v>141</v>
      </c>
      <c r="F673" t="s">
        <v>90</v>
      </c>
      <c r="G673" s="33">
        <v>24</v>
      </c>
    </row>
    <row r="674" spans="1:7">
      <c r="A674" t="s">
        <v>22</v>
      </c>
      <c r="B674" t="s">
        <v>174</v>
      </c>
      <c r="C674" s="32">
        <v>286.8</v>
      </c>
      <c r="D674" s="33">
        <v>32</v>
      </c>
      <c r="E674" t="s">
        <v>142</v>
      </c>
      <c r="F674" t="s">
        <v>93</v>
      </c>
      <c r="G674" s="33">
        <v>24</v>
      </c>
    </row>
    <row r="675" spans="1:7">
      <c r="A675" t="s">
        <v>22</v>
      </c>
      <c r="B675" t="s">
        <v>174</v>
      </c>
      <c r="C675" s="32">
        <v>286.98</v>
      </c>
      <c r="D675" s="33">
        <v>33</v>
      </c>
      <c r="E675" t="s">
        <v>143</v>
      </c>
      <c r="F675" t="s">
        <v>90</v>
      </c>
      <c r="G675" s="33">
        <v>24</v>
      </c>
    </row>
    <row r="676" spans="1:7">
      <c r="A676" t="s">
        <v>22</v>
      </c>
      <c r="B676" t="s">
        <v>174</v>
      </c>
      <c r="C676" s="32">
        <v>287.17</v>
      </c>
      <c r="D676" s="33">
        <v>34</v>
      </c>
      <c r="E676" t="s">
        <v>144</v>
      </c>
      <c r="F676" t="s">
        <v>96</v>
      </c>
      <c r="G676" s="33">
        <v>24</v>
      </c>
    </row>
    <row r="677" spans="1:7">
      <c r="A677" t="s">
        <v>22</v>
      </c>
      <c r="B677" t="s">
        <v>174</v>
      </c>
      <c r="C677" s="32">
        <v>287.36</v>
      </c>
      <c r="D677" s="33">
        <v>35</v>
      </c>
      <c r="E677" t="s">
        <v>145</v>
      </c>
      <c r="F677" t="s">
        <v>90</v>
      </c>
      <c r="G677" s="33">
        <v>24</v>
      </c>
    </row>
    <row r="678" spans="1:7">
      <c r="A678" t="s">
        <v>22</v>
      </c>
      <c r="B678" t="s">
        <v>174</v>
      </c>
      <c r="C678" s="32">
        <v>287.54000000000002</v>
      </c>
      <c r="D678" s="33">
        <v>36</v>
      </c>
      <c r="E678" t="s">
        <v>146</v>
      </c>
      <c r="F678" t="s">
        <v>90</v>
      </c>
      <c r="G678" s="33">
        <v>23</v>
      </c>
    </row>
    <row r="679" spans="1:7">
      <c r="A679" t="s">
        <v>22</v>
      </c>
      <c r="B679" t="s">
        <v>174</v>
      </c>
      <c r="C679" s="32">
        <v>287.73</v>
      </c>
      <c r="D679" s="33">
        <v>37</v>
      </c>
      <c r="E679" t="s">
        <v>148</v>
      </c>
      <c r="F679" t="s">
        <v>93</v>
      </c>
      <c r="G679" s="33">
        <v>24</v>
      </c>
    </row>
    <row r="680" spans="1:7">
      <c r="A680" t="s">
        <v>22</v>
      </c>
      <c r="B680" t="s">
        <v>174</v>
      </c>
      <c r="C680" s="32">
        <v>287.92</v>
      </c>
      <c r="D680" s="33">
        <v>38</v>
      </c>
      <c r="E680" t="s">
        <v>149</v>
      </c>
      <c r="F680" t="s">
        <v>90</v>
      </c>
      <c r="G680" s="33">
        <v>24</v>
      </c>
    </row>
    <row r="681" spans="1:7">
      <c r="A681" t="s">
        <v>22</v>
      </c>
      <c r="B681" t="s">
        <v>174</v>
      </c>
      <c r="C681" s="32">
        <v>288.10000000000002</v>
      </c>
      <c r="D681" s="33">
        <v>39</v>
      </c>
      <c r="E681" t="s">
        <v>150</v>
      </c>
      <c r="F681" t="s">
        <v>90</v>
      </c>
      <c r="G681" s="33">
        <v>24</v>
      </c>
    </row>
    <row r="682" spans="1:7">
      <c r="A682" t="s">
        <v>22</v>
      </c>
      <c r="B682" t="s">
        <v>174</v>
      </c>
      <c r="C682" s="32">
        <v>288.29000000000002</v>
      </c>
      <c r="D682" s="33">
        <v>40</v>
      </c>
      <c r="E682" t="s">
        <v>151</v>
      </c>
      <c r="F682" t="s">
        <v>90</v>
      </c>
      <c r="G682" s="33">
        <v>24</v>
      </c>
    </row>
    <row r="683" spans="1:7">
      <c r="A683" t="s">
        <v>22</v>
      </c>
      <c r="B683" t="s">
        <v>174</v>
      </c>
      <c r="C683" s="32">
        <v>288.48</v>
      </c>
      <c r="D683" s="33">
        <v>41</v>
      </c>
      <c r="E683" t="s">
        <v>152</v>
      </c>
      <c r="F683" t="s">
        <v>93</v>
      </c>
      <c r="G683" s="33">
        <v>24</v>
      </c>
    </row>
    <row r="684" spans="1:7">
      <c r="A684" t="s">
        <v>22</v>
      </c>
      <c r="B684" t="s">
        <v>174</v>
      </c>
      <c r="C684" s="32">
        <v>288.67</v>
      </c>
      <c r="D684" s="33">
        <v>42</v>
      </c>
      <c r="E684" t="s">
        <v>153</v>
      </c>
      <c r="F684" t="s">
        <v>90</v>
      </c>
      <c r="G684" s="33">
        <v>24</v>
      </c>
    </row>
    <row r="685" spans="1:7">
      <c r="A685" t="s">
        <v>22</v>
      </c>
      <c r="B685" t="s">
        <v>174</v>
      </c>
      <c r="C685" s="32">
        <v>288.85000000000002</v>
      </c>
      <c r="D685" s="33">
        <v>43</v>
      </c>
      <c r="E685" t="s">
        <v>120</v>
      </c>
      <c r="F685" t="s">
        <v>96</v>
      </c>
      <c r="G685" s="33">
        <v>24</v>
      </c>
    </row>
    <row r="686" spans="1:7">
      <c r="A686" t="s">
        <v>22</v>
      </c>
      <c r="B686" t="s">
        <v>174</v>
      </c>
      <c r="C686" s="32">
        <v>289.04000000000002</v>
      </c>
      <c r="D686" s="33">
        <v>44</v>
      </c>
      <c r="E686" t="s">
        <v>115</v>
      </c>
      <c r="F686" t="s">
        <v>90</v>
      </c>
      <c r="G686" s="33">
        <v>24</v>
      </c>
    </row>
    <row r="687" spans="1:7">
      <c r="A687" t="s">
        <v>22</v>
      </c>
      <c r="B687" t="s">
        <v>174</v>
      </c>
      <c r="C687" s="32">
        <v>289.23</v>
      </c>
      <c r="D687" s="33">
        <v>45</v>
      </c>
      <c r="E687" t="s">
        <v>116</v>
      </c>
      <c r="F687" t="s">
        <v>102</v>
      </c>
      <c r="G687" s="33">
        <v>24</v>
      </c>
    </row>
    <row r="688" spans="1:7">
      <c r="A688" t="s">
        <v>22</v>
      </c>
      <c r="B688" t="s">
        <v>174</v>
      </c>
      <c r="C688" s="32">
        <v>289.41000000000003</v>
      </c>
      <c r="D688" s="33">
        <v>46</v>
      </c>
      <c r="E688" t="s">
        <v>117</v>
      </c>
      <c r="F688" t="s">
        <v>93</v>
      </c>
      <c r="G688" s="33">
        <v>24</v>
      </c>
    </row>
    <row r="689" spans="1:7">
      <c r="A689" t="s">
        <v>22</v>
      </c>
      <c r="B689" t="s">
        <v>174</v>
      </c>
      <c r="C689" s="32">
        <v>289.60000000000002</v>
      </c>
      <c r="D689" s="33">
        <v>47</v>
      </c>
      <c r="E689" t="s">
        <v>118</v>
      </c>
      <c r="F689" t="s">
        <v>90</v>
      </c>
      <c r="G689" s="33">
        <v>24</v>
      </c>
    </row>
    <row r="690" spans="1:7">
      <c r="A690" t="s">
        <v>22</v>
      </c>
      <c r="B690" t="s">
        <v>175</v>
      </c>
      <c r="C690" s="32">
        <v>291</v>
      </c>
      <c r="D690" s="33">
        <v>1</v>
      </c>
      <c r="E690" t="s">
        <v>120</v>
      </c>
      <c r="F690" t="s">
        <v>90</v>
      </c>
      <c r="G690" s="33">
        <v>25</v>
      </c>
    </row>
    <row r="691" spans="1:7">
      <c r="A691" t="s">
        <v>22</v>
      </c>
      <c r="B691" t="s">
        <v>175</v>
      </c>
      <c r="C691" s="32">
        <v>291.18</v>
      </c>
      <c r="D691" s="33">
        <v>2</v>
      </c>
      <c r="E691" t="s">
        <v>115</v>
      </c>
      <c r="F691" t="s">
        <v>93</v>
      </c>
      <c r="G691" s="33">
        <v>25</v>
      </c>
    </row>
    <row r="692" spans="1:7">
      <c r="A692" t="s">
        <v>22</v>
      </c>
      <c r="B692" t="s">
        <v>175</v>
      </c>
      <c r="C692" s="32">
        <v>291.37</v>
      </c>
      <c r="D692" s="33">
        <v>3</v>
      </c>
      <c r="E692" t="s">
        <v>116</v>
      </c>
      <c r="F692" t="s">
        <v>90</v>
      </c>
      <c r="G692" s="33">
        <v>25</v>
      </c>
    </row>
    <row r="693" spans="1:7">
      <c r="A693" t="s">
        <v>22</v>
      </c>
      <c r="B693" t="s">
        <v>175</v>
      </c>
      <c r="C693" s="32">
        <v>291.55</v>
      </c>
      <c r="D693" s="33">
        <v>4</v>
      </c>
      <c r="E693" t="s">
        <v>117</v>
      </c>
      <c r="F693" t="s">
        <v>90</v>
      </c>
      <c r="G693" s="33">
        <v>25</v>
      </c>
    </row>
    <row r="694" spans="1:7">
      <c r="A694" t="s">
        <v>22</v>
      </c>
      <c r="B694" t="s">
        <v>175</v>
      </c>
      <c r="C694" s="32">
        <v>291.73</v>
      </c>
      <c r="D694" s="33">
        <v>5</v>
      </c>
      <c r="E694" t="s">
        <v>118</v>
      </c>
      <c r="F694" t="s">
        <v>96</v>
      </c>
      <c r="G694" s="33">
        <v>25</v>
      </c>
    </row>
    <row r="695" spans="1:7">
      <c r="A695" t="s">
        <v>22</v>
      </c>
      <c r="B695" t="s">
        <v>175</v>
      </c>
      <c r="C695" s="32">
        <v>291.91000000000003</v>
      </c>
      <c r="D695" s="33">
        <v>6</v>
      </c>
      <c r="E695" t="s">
        <v>122</v>
      </c>
      <c r="F695" t="s">
        <v>90</v>
      </c>
      <c r="G695" s="33">
        <v>25</v>
      </c>
    </row>
    <row r="696" spans="1:7">
      <c r="A696" t="s">
        <v>22</v>
      </c>
      <c r="B696" t="s">
        <v>175</v>
      </c>
      <c r="C696" s="32">
        <v>292.10000000000002</v>
      </c>
      <c r="D696" s="33">
        <v>7</v>
      </c>
      <c r="E696" t="s">
        <v>124</v>
      </c>
      <c r="F696" t="s">
        <v>90</v>
      </c>
      <c r="G696" s="33">
        <v>25</v>
      </c>
    </row>
    <row r="697" spans="1:7">
      <c r="A697" t="s">
        <v>22</v>
      </c>
      <c r="B697" t="s">
        <v>175</v>
      </c>
      <c r="C697" s="32">
        <v>292.27999999999997</v>
      </c>
      <c r="D697" s="33">
        <v>8</v>
      </c>
      <c r="E697" t="s">
        <v>125</v>
      </c>
      <c r="F697" t="s">
        <v>93</v>
      </c>
      <c r="G697" s="33">
        <v>25</v>
      </c>
    </row>
    <row r="698" spans="1:7">
      <c r="A698" t="s">
        <v>22</v>
      </c>
      <c r="B698" t="s">
        <v>175</v>
      </c>
      <c r="C698" s="32">
        <v>292.45999999999998</v>
      </c>
      <c r="D698" s="33">
        <v>9</v>
      </c>
      <c r="E698" t="s">
        <v>127</v>
      </c>
      <c r="F698" t="s">
        <v>90</v>
      </c>
      <c r="G698" s="33">
        <v>25</v>
      </c>
    </row>
    <row r="699" spans="1:7">
      <c r="A699" t="s">
        <v>22</v>
      </c>
      <c r="B699" t="s">
        <v>175</v>
      </c>
      <c r="C699" s="32">
        <v>292.64999999999998</v>
      </c>
      <c r="D699" s="33">
        <v>10</v>
      </c>
      <c r="E699" t="s">
        <v>128</v>
      </c>
      <c r="F699" t="s">
        <v>90</v>
      </c>
      <c r="G699" s="33">
        <v>25</v>
      </c>
    </row>
    <row r="700" spans="1:7">
      <c r="A700" t="s">
        <v>22</v>
      </c>
      <c r="B700" t="s">
        <v>175</v>
      </c>
      <c r="C700" s="32">
        <v>292.83</v>
      </c>
      <c r="D700" s="33">
        <v>11</v>
      </c>
      <c r="E700" t="s">
        <v>129</v>
      </c>
      <c r="F700" t="s">
        <v>93</v>
      </c>
      <c r="G700" s="33">
        <v>25</v>
      </c>
    </row>
    <row r="701" spans="1:7">
      <c r="A701" t="s">
        <v>22</v>
      </c>
      <c r="B701" t="s">
        <v>175</v>
      </c>
      <c r="C701" s="32">
        <v>293.01</v>
      </c>
      <c r="D701" s="33">
        <v>12</v>
      </c>
      <c r="E701" t="s">
        <v>130</v>
      </c>
      <c r="F701" t="s">
        <v>90</v>
      </c>
      <c r="G701" s="33">
        <v>25</v>
      </c>
    </row>
    <row r="702" spans="1:7">
      <c r="A702" t="s">
        <v>22</v>
      </c>
      <c r="B702" t="s">
        <v>175</v>
      </c>
      <c r="C702" s="32">
        <v>293.2</v>
      </c>
      <c r="D702" s="33">
        <v>13</v>
      </c>
      <c r="E702" t="s">
        <v>131</v>
      </c>
      <c r="F702" t="s">
        <v>90</v>
      </c>
      <c r="G702" s="33">
        <v>25</v>
      </c>
    </row>
    <row r="703" spans="1:7">
      <c r="A703" t="s">
        <v>22</v>
      </c>
      <c r="B703" t="s">
        <v>175</v>
      </c>
      <c r="C703" s="32">
        <v>293.38</v>
      </c>
      <c r="D703" s="33">
        <v>14</v>
      </c>
      <c r="E703" t="s">
        <v>133</v>
      </c>
      <c r="F703" t="s">
        <v>96</v>
      </c>
      <c r="G703" s="33">
        <v>25</v>
      </c>
    </row>
    <row r="704" spans="1:7">
      <c r="A704" t="s">
        <v>22</v>
      </c>
      <c r="B704" t="s">
        <v>175</v>
      </c>
      <c r="C704" s="32">
        <v>293.56</v>
      </c>
      <c r="D704" s="33">
        <v>15</v>
      </c>
      <c r="E704" t="s">
        <v>134</v>
      </c>
      <c r="F704" t="s">
        <v>102</v>
      </c>
      <c r="G704" s="33">
        <v>25</v>
      </c>
    </row>
    <row r="705" spans="1:7">
      <c r="A705" t="s">
        <v>22</v>
      </c>
      <c r="B705" t="s">
        <v>175</v>
      </c>
      <c r="C705" s="32">
        <v>293.74</v>
      </c>
      <c r="D705" s="33">
        <v>16</v>
      </c>
      <c r="E705" t="s">
        <v>135</v>
      </c>
      <c r="F705" t="s">
        <v>93</v>
      </c>
      <c r="G705" s="33">
        <v>25</v>
      </c>
    </row>
    <row r="706" spans="1:7">
      <c r="A706" t="s">
        <v>22</v>
      </c>
      <c r="B706" t="s">
        <v>175</v>
      </c>
      <c r="C706" s="32">
        <v>293.93</v>
      </c>
      <c r="D706" s="33">
        <v>17</v>
      </c>
      <c r="E706" t="s">
        <v>136</v>
      </c>
      <c r="F706" t="s">
        <v>90</v>
      </c>
      <c r="G706" s="33">
        <v>25</v>
      </c>
    </row>
    <row r="707" spans="1:7">
      <c r="A707" t="s">
        <v>22</v>
      </c>
      <c r="B707" t="s">
        <v>175</v>
      </c>
      <c r="C707" s="32">
        <v>294.11</v>
      </c>
      <c r="D707" s="33">
        <v>18</v>
      </c>
      <c r="E707" t="s">
        <v>137</v>
      </c>
      <c r="F707" t="s">
        <v>90</v>
      </c>
      <c r="G707" s="33">
        <v>25</v>
      </c>
    </row>
    <row r="708" spans="1:7">
      <c r="A708" t="s">
        <v>22</v>
      </c>
      <c r="B708" t="s">
        <v>175</v>
      </c>
      <c r="C708" s="32">
        <v>294.29000000000002</v>
      </c>
      <c r="D708" s="33">
        <v>19</v>
      </c>
      <c r="E708" t="s">
        <v>138</v>
      </c>
      <c r="F708" t="s">
        <v>90</v>
      </c>
      <c r="G708" s="33">
        <v>25</v>
      </c>
    </row>
    <row r="709" spans="1:7">
      <c r="A709" t="s">
        <v>22</v>
      </c>
      <c r="B709" t="s">
        <v>175</v>
      </c>
      <c r="C709" s="32">
        <v>294.48</v>
      </c>
      <c r="D709" s="33">
        <v>20</v>
      </c>
      <c r="E709" t="s">
        <v>140</v>
      </c>
      <c r="F709" t="s">
        <v>93</v>
      </c>
      <c r="G709" s="33">
        <v>25</v>
      </c>
    </row>
    <row r="710" spans="1:7">
      <c r="A710" t="s">
        <v>22</v>
      </c>
      <c r="B710" t="s">
        <v>175</v>
      </c>
      <c r="C710" s="32">
        <v>294.66000000000003</v>
      </c>
      <c r="D710" s="33">
        <v>21</v>
      </c>
      <c r="E710" t="s">
        <v>141</v>
      </c>
      <c r="F710" t="s">
        <v>90</v>
      </c>
      <c r="G710" s="33">
        <v>25</v>
      </c>
    </row>
    <row r="711" spans="1:7">
      <c r="A711" t="s">
        <v>22</v>
      </c>
      <c r="B711" t="s">
        <v>175</v>
      </c>
      <c r="C711" s="32">
        <v>294.83999999999997</v>
      </c>
      <c r="D711" s="33">
        <v>22</v>
      </c>
      <c r="E711" t="s">
        <v>142</v>
      </c>
      <c r="F711" t="s">
        <v>90</v>
      </c>
      <c r="G711" s="33">
        <v>25</v>
      </c>
    </row>
    <row r="712" spans="1:7">
      <c r="A712" t="s">
        <v>22</v>
      </c>
      <c r="B712" t="s">
        <v>175</v>
      </c>
      <c r="C712" s="32">
        <v>295.02999999999997</v>
      </c>
      <c r="D712" s="33">
        <v>23</v>
      </c>
      <c r="E712" t="s">
        <v>143</v>
      </c>
      <c r="F712" t="s">
        <v>96</v>
      </c>
      <c r="G712" s="33">
        <v>25</v>
      </c>
    </row>
    <row r="713" spans="1:7">
      <c r="A713" t="s">
        <v>22</v>
      </c>
      <c r="B713" t="s">
        <v>175</v>
      </c>
      <c r="C713" s="32">
        <v>295.20999999999998</v>
      </c>
      <c r="D713" s="33">
        <v>24</v>
      </c>
      <c r="E713" t="s">
        <v>144</v>
      </c>
      <c r="F713" t="s">
        <v>90</v>
      </c>
      <c r="G713" s="33">
        <v>24</v>
      </c>
    </row>
    <row r="714" spans="1:7">
      <c r="A714" t="s">
        <v>22</v>
      </c>
      <c r="B714" t="s">
        <v>175</v>
      </c>
      <c r="C714" s="32">
        <v>295.39</v>
      </c>
      <c r="D714" s="33">
        <v>25</v>
      </c>
      <c r="E714" t="s">
        <v>145</v>
      </c>
      <c r="F714" t="s">
        <v>93</v>
      </c>
      <c r="G714" s="33">
        <v>25</v>
      </c>
    </row>
    <row r="715" spans="1:7">
      <c r="A715" t="s">
        <v>22</v>
      </c>
      <c r="B715" t="s">
        <v>175</v>
      </c>
      <c r="C715" s="32">
        <v>295.57</v>
      </c>
      <c r="D715" s="33">
        <v>26</v>
      </c>
      <c r="E715" t="s">
        <v>146</v>
      </c>
      <c r="F715" t="s">
        <v>90</v>
      </c>
      <c r="G715" s="33">
        <v>25</v>
      </c>
    </row>
    <row r="716" spans="1:7">
      <c r="A716" t="s">
        <v>22</v>
      </c>
      <c r="B716" t="s">
        <v>175</v>
      </c>
      <c r="C716" s="32">
        <v>295.76</v>
      </c>
      <c r="D716" s="33">
        <v>27</v>
      </c>
      <c r="E716" t="s">
        <v>148</v>
      </c>
      <c r="F716" t="s">
        <v>90</v>
      </c>
      <c r="G716" s="33">
        <v>25</v>
      </c>
    </row>
    <row r="717" spans="1:7">
      <c r="A717" t="s">
        <v>22</v>
      </c>
      <c r="B717" t="s">
        <v>175</v>
      </c>
      <c r="C717" s="32">
        <v>295.94</v>
      </c>
      <c r="D717" s="33">
        <v>28</v>
      </c>
      <c r="E717" t="s">
        <v>149</v>
      </c>
      <c r="F717" t="s">
        <v>90</v>
      </c>
      <c r="G717" s="33">
        <v>25</v>
      </c>
    </row>
    <row r="718" spans="1:7">
      <c r="A718" t="s">
        <v>22</v>
      </c>
      <c r="B718" t="s">
        <v>175</v>
      </c>
      <c r="C718" s="32">
        <v>296.12</v>
      </c>
      <c r="D718" s="33">
        <v>29</v>
      </c>
      <c r="E718" t="s">
        <v>150</v>
      </c>
      <c r="F718" t="s">
        <v>93</v>
      </c>
      <c r="G718" s="33">
        <v>25</v>
      </c>
    </row>
    <row r="719" spans="1:7">
      <c r="A719" t="s">
        <v>22</v>
      </c>
      <c r="B719" t="s">
        <v>175</v>
      </c>
      <c r="C719" s="32">
        <v>296.31</v>
      </c>
      <c r="D719" s="33">
        <v>30</v>
      </c>
      <c r="E719" t="s">
        <v>151</v>
      </c>
      <c r="F719" t="s">
        <v>102</v>
      </c>
      <c r="G719" s="33">
        <v>25</v>
      </c>
    </row>
    <row r="720" spans="1:7">
      <c r="A720" t="s">
        <v>22</v>
      </c>
      <c r="B720" t="s">
        <v>175</v>
      </c>
      <c r="C720" s="32">
        <v>296.49</v>
      </c>
      <c r="D720" s="33">
        <v>31</v>
      </c>
      <c r="E720" t="s">
        <v>152</v>
      </c>
      <c r="F720" t="s">
        <v>90</v>
      </c>
      <c r="G720" s="33">
        <v>25</v>
      </c>
    </row>
    <row r="721" spans="1:7">
      <c r="A721" t="s">
        <v>22</v>
      </c>
      <c r="B721" t="s">
        <v>175</v>
      </c>
      <c r="C721" s="32">
        <v>296.67</v>
      </c>
      <c r="D721" s="33">
        <v>32</v>
      </c>
      <c r="E721" t="s">
        <v>153</v>
      </c>
      <c r="F721" t="s">
        <v>96</v>
      </c>
      <c r="G721" s="33">
        <v>25</v>
      </c>
    </row>
    <row r="722" spans="1:7">
      <c r="A722" t="s">
        <v>22</v>
      </c>
      <c r="B722" t="s">
        <v>175</v>
      </c>
      <c r="C722" s="32">
        <v>296.86</v>
      </c>
      <c r="D722" s="33">
        <v>33</v>
      </c>
      <c r="E722" t="s">
        <v>120</v>
      </c>
      <c r="F722" t="s">
        <v>90</v>
      </c>
      <c r="G722" s="33">
        <v>25</v>
      </c>
    </row>
    <row r="723" spans="1:7">
      <c r="A723" t="s">
        <v>22</v>
      </c>
      <c r="B723" t="s">
        <v>175</v>
      </c>
      <c r="C723" s="32">
        <v>297.04000000000002</v>
      </c>
      <c r="D723" s="33">
        <v>34</v>
      </c>
      <c r="E723" t="s">
        <v>115</v>
      </c>
      <c r="F723" t="s">
        <v>93</v>
      </c>
      <c r="G723" s="33">
        <v>25</v>
      </c>
    </row>
    <row r="724" spans="1:7">
      <c r="A724" t="s">
        <v>22</v>
      </c>
      <c r="B724" t="s">
        <v>175</v>
      </c>
      <c r="C724" s="32">
        <v>297.22000000000003</v>
      </c>
      <c r="D724" s="33">
        <v>35</v>
      </c>
      <c r="E724" t="s">
        <v>116</v>
      </c>
      <c r="F724" t="s">
        <v>90</v>
      </c>
      <c r="G724" s="33">
        <v>25</v>
      </c>
    </row>
    <row r="725" spans="1:7">
      <c r="A725" t="s">
        <v>22</v>
      </c>
      <c r="B725" t="s">
        <v>175</v>
      </c>
      <c r="C725" s="32">
        <v>297.39999999999998</v>
      </c>
      <c r="D725" s="33">
        <v>36</v>
      </c>
      <c r="E725" t="s">
        <v>117</v>
      </c>
      <c r="F725" t="s">
        <v>90</v>
      </c>
      <c r="G725" s="33">
        <v>25</v>
      </c>
    </row>
    <row r="726" spans="1:7">
      <c r="A726" t="s">
        <v>22</v>
      </c>
      <c r="B726" t="s">
        <v>175</v>
      </c>
      <c r="C726" s="32">
        <v>297.58999999999997</v>
      </c>
      <c r="D726" s="33">
        <v>37</v>
      </c>
      <c r="E726" t="s">
        <v>118</v>
      </c>
      <c r="F726" t="s">
        <v>90</v>
      </c>
      <c r="G726" s="33">
        <v>25</v>
      </c>
    </row>
    <row r="727" spans="1:7">
      <c r="A727" t="s">
        <v>22</v>
      </c>
      <c r="B727" t="s">
        <v>175</v>
      </c>
      <c r="C727" s="32">
        <v>297.77</v>
      </c>
      <c r="D727" s="33">
        <v>38</v>
      </c>
      <c r="E727" t="s">
        <v>122</v>
      </c>
      <c r="F727" t="s">
        <v>93</v>
      </c>
      <c r="G727" s="33">
        <v>25</v>
      </c>
    </row>
    <row r="728" spans="1:7">
      <c r="A728" t="s">
        <v>22</v>
      </c>
      <c r="B728" t="s">
        <v>175</v>
      </c>
      <c r="C728" s="32">
        <v>297.95</v>
      </c>
      <c r="D728" s="33">
        <v>39</v>
      </c>
      <c r="E728" t="s">
        <v>124</v>
      </c>
      <c r="F728" t="s">
        <v>90</v>
      </c>
      <c r="G728" s="33">
        <v>25</v>
      </c>
    </row>
    <row r="729" spans="1:7">
      <c r="A729" t="s">
        <v>22</v>
      </c>
      <c r="B729" t="s">
        <v>175</v>
      </c>
      <c r="C729" s="32">
        <v>298.14</v>
      </c>
      <c r="D729" s="33">
        <v>40</v>
      </c>
      <c r="E729" t="s">
        <v>125</v>
      </c>
      <c r="F729" t="s">
        <v>90</v>
      </c>
      <c r="G729" s="33">
        <v>25</v>
      </c>
    </row>
    <row r="730" spans="1:7">
      <c r="A730" t="s">
        <v>22</v>
      </c>
      <c r="B730" t="s">
        <v>175</v>
      </c>
      <c r="C730" s="32">
        <v>298.32</v>
      </c>
      <c r="D730" s="33">
        <v>41</v>
      </c>
      <c r="E730" t="s">
        <v>127</v>
      </c>
      <c r="F730" t="s">
        <v>93</v>
      </c>
      <c r="G730" s="33">
        <v>25</v>
      </c>
    </row>
    <row r="731" spans="1:7">
      <c r="A731" t="s">
        <v>22</v>
      </c>
      <c r="B731" t="s">
        <v>175</v>
      </c>
      <c r="C731" s="32">
        <v>298.5</v>
      </c>
      <c r="D731" s="33">
        <v>42</v>
      </c>
      <c r="E731" t="s">
        <v>128</v>
      </c>
      <c r="F731" t="s">
        <v>90</v>
      </c>
      <c r="G731" s="33">
        <v>25</v>
      </c>
    </row>
    <row r="732" spans="1:7">
      <c r="A732" t="s">
        <v>22</v>
      </c>
      <c r="B732" t="s">
        <v>175</v>
      </c>
      <c r="C732" s="32">
        <v>298.69</v>
      </c>
      <c r="D732" s="33">
        <v>43</v>
      </c>
      <c r="E732" t="s">
        <v>129</v>
      </c>
      <c r="F732" t="s">
        <v>90</v>
      </c>
      <c r="G732" s="33">
        <v>25</v>
      </c>
    </row>
    <row r="733" spans="1:7">
      <c r="A733" t="s">
        <v>22</v>
      </c>
      <c r="B733" t="s">
        <v>175</v>
      </c>
      <c r="C733" s="32">
        <v>298.87</v>
      </c>
      <c r="D733" s="33">
        <v>44</v>
      </c>
      <c r="E733" t="s">
        <v>130</v>
      </c>
      <c r="F733" t="s">
        <v>96</v>
      </c>
      <c r="G733" s="33">
        <v>25</v>
      </c>
    </row>
    <row r="734" spans="1:7">
      <c r="A734" t="s">
        <v>22</v>
      </c>
      <c r="B734" t="s">
        <v>175</v>
      </c>
      <c r="C734" s="32">
        <v>299.05</v>
      </c>
      <c r="D734" s="33">
        <v>45</v>
      </c>
      <c r="E734" t="s">
        <v>131</v>
      </c>
      <c r="F734" t="s">
        <v>102</v>
      </c>
      <c r="G734" s="33">
        <v>25</v>
      </c>
    </row>
    <row r="735" spans="1:7">
      <c r="A735" t="s">
        <v>22</v>
      </c>
      <c r="B735" t="s">
        <v>175</v>
      </c>
      <c r="C735" s="32">
        <v>299.23</v>
      </c>
      <c r="D735" s="33">
        <v>46</v>
      </c>
      <c r="E735" t="s">
        <v>133</v>
      </c>
      <c r="F735" t="s">
        <v>90</v>
      </c>
      <c r="G735" s="33">
        <v>25</v>
      </c>
    </row>
    <row r="736" spans="1:7">
      <c r="A736" t="s">
        <v>22</v>
      </c>
      <c r="B736" t="s">
        <v>175</v>
      </c>
      <c r="C736" s="32">
        <v>299.42</v>
      </c>
      <c r="D736" s="33">
        <v>47</v>
      </c>
      <c r="E736" t="s">
        <v>134</v>
      </c>
      <c r="F736" t="s">
        <v>93</v>
      </c>
      <c r="G736" s="33">
        <v>25</v>
      </c>
    </row>
    <row r="737" spans="1:7">
      <c r="A737" t="s">
        <v>22</v>
      </c>
      <c r="B737" t="s">
        <v>175</v>
      </c>
      <c r="C737" s="32">
        <v>299.60000000000002</v>
      </c>
      <c r="D737" s="33">
        <v>48</v>
      </c>
      <c r="E737" t="s">
        <v>135</v>
      </c>
      <c r="F737" t="s">
        <v>90</v>
      </c>
      <c r="G737" s="33">
        <v>25</v>
      </c>
    </row>
    <row r="738" spans="1:7">
      <c r="A738" t="s">
        <v>22</v>
      </c>
      <c r="B738" t="s">
        <v>176</v>
      </c>
      <c r="C738" s="32">
        <v>301</v>
      </c>
      <c r="D738" s="33">
        <v>1</v>
      </c>
      <c r="E738" t="s">
        <v>130</v>
      </c>
      <c r="F738" t="s">
        <v>90</v>
      </c>
      <c r="G738" s="33">
        <v>26</v>
      </c>
    </row>
    <row r="739" spans="1:7">
      <c r="A739" t="s">
        <v>22</v>
      </c>
      <c r="B739" t="s">
        <v>176</v>
      </c>
      <c r="C739" s="32">
        <v>301.18</v>
      </c>
      <c r="D739" s="33">
        <v>2</v>
      </c>
      <c r="E739" t="s">
        <v>131</v>
      </c>
      <c r="F739" t="s">
        <v>93</v>
      </c>
      <c r="G739" s="33">
        <v>26</v>
      </c>
    </row>
    <row r="740" spans="1:7">
      <c r="A740" t="s">
        <v>22</v>
      </c>
      <c r="B740" t="s">
        <v>176</v>
      </c>
      <c r="C740" s="32">
        <v>301.35000000000002</v>
      </c>
      <c r="D740" s="33">
        <v>3</v>
      </c>
      <c r="E740" t="s">
        <v>133</v>
      </c>
      <c r="F740" t="s">
        <v>90</v>
      </c>
      <c r="G740" s="33">
        <v>26</v>
      </c>
    </row>
    <row r="741" spans="1:7">
      <c r="A741" t="s">
        <v>22</v>
      </c>
      <c r="B741" t="s">
        <v>176</v>
      </c>
      <c r="C741" s="32">
        <v>301.52999999999997</v>
      </c>
      <c r="D741" s="33">
        <v>4</v>
      </c>
      <c r="E741" t="s">
        <v>134</v>
      </c>
      <c r="F741" t="s">
        <v>90</v>
      </c>
      <c r="G741" s="33">
        <v>26</v>
      </c>
    </row>
    <row r="742" spans="1:7">
      <c r="A742" t="s">
        <v>22</v>
      </c>
      <c r="B742" t="s">
        <v>176</v>
      </c>
      <c r="C742" s="32">
        <v>301.7</v>
      </c>
      <c r="D742" s="33">
        <v>5</v>
      </c>
      <c r="E742" t="s">
        <v>135</v>
      </c>
      <c r="F742" t="s">
        <v>96</v>
      </c>
      <c r="G742" s="33">
        <v>26</v>
      </c>
    </row>
    <row r="743" spans="1:7">
      <c r="A743" t="s">
        <v>22</v>
      </c>
      <c r="B743" t="s">
        <v>176</v>
      </c>
      <c r="C743" s="32">
        <v>301.88</v>
      </c>
      <c r="D743" s="33">
        <v>6</v>
      </c>
      <c r="E743" t="s">
        <v>136</v>
      </c>
      <c r="F743" t="s">
        <v>90</v>
      </c>
      <c r="G743" s="33">
        <v>26</v>
      </c>
    </row>
    <row r="744" spans="1:7">
      <c r="A744" t="s">
        <v>22</v>
      </c>
      <c r="B744" t="s">
        <v>176</v>
      </c>
      <c r="C744" s="32">
        <v>302.05</v>
      </c>
      <c r="D744" s="33">
        <v>7</v>
      </c>
      <c r="E744" t="s">
        <v>137</v>
      </c>
      <c r="F744" t="s">
        <v>93</v>
      </c>
      <c r="G744" s="33">
        <v>26</v>
      </c>
    </row>
    <row r="745" spans="1:7">
      <c r="A745" t="s">
        <v>22</v>
      </c>
      <c r="B745" t="s">
        <v>176</v>
      </c>
      <c r="C745" s="32">
        <v>302.23</v>
      </c>
      <c r="D745" s="33">
        <v>8</v>
      </c>
      <c r="E745" t="s">
        <v>138</v>
      </c>
      <c r="F745" t="s">
        <v>90</v>
      </c>
      <c r="G745" s="33">
        <v>26</v>
      </c>
    </row>
    <row r="746" spans="1:7">
      <c r="A746" t="s">
        <v>22</v>
      </c>
      <c r="B746" t="s">
        <v>176</v>
      </c>
      <c r="C746" s="32">
        <v>302.39999999999998</v>
      </c>
      <c r="D746" s="33">
        <v>9</v>
      </c>
      <c r="E746" t="s">
        <v>140</v>
      </c>
      <c r="F746" t="s">
        <v>90</v>
      </c>
      <c r="G746" s="33">
        <v>26</v>
      </c>
    </row>
    <row r="747" spans="1:7">
      <c r="A747" t="s">
        <v>22</v>
      </c>
      <c r="B747" t="s">
        <v>176</v>
      </c>
      <c r="C747" s="32">
        <v>302.58</v>
      </c>
      <c r="D747" s="33">
        <v>10</v>
      </c>
      <c r="E747" t="s">
        <v>141</v>
      </c>
      <c r="F747" t="s">
        <v>90</v>
      </c>
      <c r="G747" s="33">
        <v>26</v>
      </c>
    </row>
    <row r="748" spans="1:7">
      <c r="A748" t="s">
        <v>22</v>
      </c>
      <c r="B748" t="s">
        <v>176</v>
      </c>
      <c r="C748" s="32">
        <v>302.76</v>
      </c>
      <c r="D748" s="33">
        <v>11</v>
      </c>
      <c r="E748" t="s">
        <v>142</v>
      </c>
      <c r="F748" t="s">
        <v>93</v>
      </c>
      <c r="G748" s="33">
        <v>26</v>
      </c>
    </row>
    <row r="749" spans="1:7">
      <c r="A749" t="s">
        <v>22</v>
      </c>
      <c r="B749" t="s">
        <v>176</v>
      </c>
      <c r="C749" s="32">
        <v>302.93</v>
      </c>
      <c r="D749" s="33">
        <v>12</v>
      </c>
      <c r="E749" t="s">
        <v>143</v>
      </c>
      <c r="F749" t="s">
        <v>90</v>
      </c>
      <c r="G749" s="33">
        <v>26</v>
      </c>
    </row>
    <row r="750" spans="1:7">
      <c r="A750" t="s">
        <v>22</v>
      </c>
      <c r="B750" t="s">
        <v>176</v>
      </c>
      <c r="C750" s="32">
        <v>303.11</v>
      </c>
      <c r="D750" s="33">
        <v>13</v>
      </c>
      <c r="E750" t="s">
        <v>144</v>
      </c>
      <c r="F750" t="s">
        <v>90</v>
      </c>
      <c r="G750" s="33">
        <v>26</v>
      </c>
    </row>
    <row r="751" spans="1:7">
      <c r="A751" t="s">
        <v>22</v>
      </c>
      <c r="B751" t="s">
        <v>176</v>
      </c>
      <c r="C751" s="32">
        <v>303.27999999999997</v>
      </c>
      <c r="D751" s="33">
        <v>14</v>
      </c>
      <c r="E751" t="s">
        <v>145</v>
      </c>
      <c r="F751" t="s">
        <v>96</v>
      </c>
      <c r="G751" s="33">
        <v>26</v>
      </c>
    </row>
    <row r="752" spans="1:7">
      <c r="A752" t="s">
        <v>22</v>
      </c>
      <c r="B752" t="s">
        <v>176</v>
      </c>
      <c r="C752" s="32">
        <v>303.45999999999998</v>
      </c>
      <c r="D752" s="33">
        <v>15</v>
      </c>
      <c r="E752" t="s">
        <v>146</v>
      </c>
      <c r="F752" t="s">
        <v>102</v>
      </c>
      <c r="G752" s="33">
        <v>26</v>
      </c>
    </row>
    <row r="753" spans="1:7">
      <c r="A753" t="s">
        <v>22</v>
      </c>
      <c r="B753" t="s">
        <v>176</v>
      </c>
      <c r="C753" s="32">
        <v>303.63</v>
      </c>
      <c r="D753" s="33">
        <v>16</v>
      </c>
      <c r="E753" t="s">
        <v>148</v>
      </c>
      <c r="F753" t="s">
        <v>93</v>
      </c>
      <c r="G753" s="33">
        <v>26</v>
      </c>
    </row>
    <row r="754" spans="1:7">
      <c r="A754" t="s">
        <v>22</v>
      </c>
      <c r="B754" t="s">
        <v>176</v>
      </c>
      <c r="C754" s="32">
        <v>303.81</v>
      </c>
      <c r="D754" s="33">
        <v>17</v>
      </c>
      <c r="E754" t="s">
        <v>149</v>
      </c>
      <c r="F754" t="s">
        <v>90</v>
      </c>
      <c r="G754" s="33">
        <v>26</v>
      </c>
    </row>
    <row r="755" spans="1:7">
      <c r="A755" t="s">
        <v>22</v>
      </c>
      <c r="B755" t="s">
        <v>176</v>
      </c>
      <c r="C755" s="32">
        <v>303.98</v>
      </c>
      <c r="D755" s="33">
        <v>18</v>
      </c>
      <c r="E755" t="s">
        <v>150</v>
      </c>
      <c r="F755" t="s">
        <v>90</v>
      </c>
      <c r="G755" s="33">
        <v>26</v>
      </c>
    </row>
    <row r="756" spans="1:7">
      <c r="A756" t="s">
        <v>22</v>
      </c>
      <c r="B756" t="s">
        <v>176</v>
      </c>
      <c r="C756" s="32">
        <v>304.16000000000003</v>
      </c>
      <c r="D756" s="33">
        <v>19</v>
      </c>
      <c r="E756" t="s">
        <v>151</v>
      </c>
      <c r="F756" t="s">
        <v>93</v>
      </c>
      <c r="G756" s="33">
        <v>26</v>
      </c>
    </row>
    <row r="757" spans="1:7">
      <c r="A757" t="s">
        <v>22</v>
      </c>
      <c r="B757" t="s">
        <v>176</v>
      </c>
      <c r="C757" s="32">
        <v>304.33</v>
      </c>
      <c r="D757" s="33">
        <v>20</v>
      </c>
      <c r="E757" t="s">
        <v>152</v>
      </c>
      <c r="F757" t="s">
        <v>90</v>
      </c>
      <c r="G757" s="33">
        <v>26</v>
      </c>
    </row>
    <row r="758" spans="1:7">
      <c r="A758" t="s">
        <v>22</v>
      </c>
      <c r="B758" t="s">
        <v>176</v>
      </c>
      <c r="C758" s="32">
        <v>304.51</v>
      </c>
      <c r="D758" s="33">
        <v>21</v>
      </c>
      <c r="E758" t="s">
        <v>153</v>
      </c>
      <c r="F758" t="s">
        <v>90</v>
      </c>
      <c r="G758" s="33">
        <v>26</v>
      </c>
    </row>
    <row r="759" spans="1:7">
      <c r="A759" t="s">
        <v>22</v>
      </c>
      <c r="B759" t="s">
        <v>176</v>
      </c>
      <c r="C759" s="32">
        <v>304.69</v>
      </c>
      <c r="D759" s="33">
        <v>22</v>
      </c>
      <c r="E759" t="s">
        <v>120</v>
      </c>
      <c r="F759" t="s">
        <v>90</v>
      </c>
      <c r="G759" s="33">
        <v>26</v>
      </c>
    </row>
    <row r="760" spans="1:7">
      <c r="A760" t="s">
        <v>22</v>
      </c>
      <c r="B760" t="s">
        <v>176</v>
      </c>
      <c r="C760" s="32">
        <v>304.86</v>
      </c>
      <c r="D760" s="33">
        <v>23</v>
      </c>
      <c r="E760" t="s">
        <v>115</v>
      </c>
      <c r="F760" t="s">
        <v>93</v>
      </c>
      <c r="G760" s="33">
        <v>26</v>
      </c>
    </row>
    <row r="761" spans="1:7">
      <c r="A761" t="s">
        <v>22</v>
      </c>
      <c r="B761" t="s">
        <v>176</v>
      </c>
      <c r="C761" s="32">
        <v>305.04000000000002</v>
      </c>
      <c r="D761" s="33">
        <v>24</v>
      </c>
      <c r="E761" t="s">
        <v>116</v>
      </c>
      <c r="F761" t="s">
        <v>90</v>
      </c>
      <c r="G761" s="33">
        <v>26</v>
      </c>
    </row>
    <row r="762" spans="1:7">
      <c r="A762" t="s">
        <v>22</v>
      </c>
      <c r="B762" t="s">
        <v>176</v>
      </c>
      <c r="C762" s="32">
        <v>305.20999999999998</v>
      </c>
      <c r="D762" s="33">
        <v>25</v>
      </c>
      <c r="E762" t="s">
        <v>117</v>
      </c>
      <c r="F762" t="s">
        <v>90</v>
      </c>
      <c r="G762" s="33">
        <v>26</v>
      </c>
    </row>
    <row r="763" spans="1:7">
      <c r="A763" t="s">
        <v>22</v>
      </c>
      <c r="B763" t="s">
        <v>176</v>
      </c>
      <c r="C763" s="32">
        <v>305.39</v>
      </c>
      <c r="D763" s="33">
        <v>26</v>
      </c>
      <c r="E763" t="s">
        <v>118</v>
      </c>
      <c r="F763" t="s">
        <v>96</v>
      </c>
      <c r="G763" s="33">
        <v>27</v>
      </c>
    </row>
    <row r="764" spans="1:7">
      <c r="A764" t="s">
        <v>22</v>
      </c>
      <c r="B764" t="s">
        <v>176</v>
      </c>
      <c r="C764" s="32">
        <v>305.56</v>
      </c>
      <c r="D764" s="33">
        <v>27</v>
      </c>
      <c r="E764" t="s">
        <v>122</v>
      </c>
      <c r="F764" t="s">
        <v>90</v>
      </c>
      <c r="G764" s="33">
        <v>26</v>
      </c>
    </row>
    <row r="765" spans="1:7">
      <c r="A765" t="s">
        <v>22</v>
      </c>
      <c r="B765" t="s">
        <v>176</v>
      </c>
      <c r="C765" s="32">
        <v>305.74</v>
      </c>
      <c r="D765" s="33">
        <v>28</v>
      </c>
      <c r="E765" t="s">
        <v>124</v>
      </c>
      <c r="F765" t="s">
        <v>93</v>
      </c>
      <c r="G765" s="33">
        <v>26</v>
      </c>
    </row>
    <row r="766" spans="1:7">
      <c r="A766" t="s">
        <v>22</v>
      </c>
      <c r="B766" t="s">
        <v>176</v>
      </c>
      <c r="C766" s="32">
        <v>305.91000000000003</v>
      </c>
      <c r="D766" s="33">
        <v>29</v>
      </c>
      <c r="E766" t="s">
        <v>125</v>
      </c>
      <c r="F766" t="s">
        <v>90</v>
      </c>
      <c r="G766" s="33">
        <v>26</v>
      </c>
    </row>
    <row r="767" spans="1:7">
      <c r="A767" t="s">
        <v>22</v>
      </c>
      <c r="B767" t="s">
        <v>176</v>
      </c>
      <c r="C767" s="32">
        <v>306.08999999999997</v>
      </c>
      <c r="D767" s="33">
        <v>30</v>
      </c>
      <c r="E767" t="s">
        <v>127</v>
      </c>
      <c r="F767" t="s">
        <v>102</v>
      </c>
      <c r="G767" s="33">
        <v>26</v>
      </c>
    </row>
    <row r="768" spans="1:7">
      <c r="A768" t="s">
        <v>22</v>
      </c>
      <c r="B768" t="s">
        <v>176</v>
      </c>
      <c r="C768" s="32">
        <v>306.27</v>
      </c>
      <c r="D768" s="33">
        <v>31</v>
      </c>
      <c r="E768" t="s">
        <v>128</v>
      </c>
      <c r="F768" t="s">
        <v>90</v>
      </c>
      <c r="G768" s="33">
        <v>26</v>
      </c>
    </row>
    <row r="769" spans="1:7">
      <c r="A769" t="s">
        <v>22</v>
      </c>
      <c r="B769" t="s">
        <v>176</v>
      </c>
      <c r="C769" s="32">
        <v>306.44</v>
      </c>
      <c r="D769" s="33">
        <v>32</v>
      </c>
      <c r="E769" t="s">
        <v>129</v>
      </c>
      <c r="F769" t="s">
        <v>93</v>
      </c>
      <c r="G769" s="33">
        <v>26</v>
      </c>
    </row>
    <row r="770" spans="1:7">
      <c r="A770" t="s">
        <v>22</v>
      </c>
      <c r="B770" t="s">
        <v>176</v>
      </c>
      <c r="C770" s="32">
        <v>306.62</v>
      </c>
      <c r="D770" s="33">
        <v>33</v>
      </c>
      <c r="E770" t="s">
        <v>130</v>
      </c>
      <c r="F770" t="s">
        <v>90</v>
      </c>
      <c r="G770" s="33">
        <v>26</v>
      </c>
    </row>
    <row r="771" spans="1:7">
      <c r="A771" t="s">
        <v>22</v>
      </c>
      <c r="B771" t="s">
        <v>176</v>
      </c>
      <c r="C771" s="32">
        <v>306.79000000000002</v>
      </c>
      <c r="D771" s="33">
        <v>34</v>
      </c>
      <c r="E771" t="s">
        <v>131</v>
      </c>
      <c r="F771" t="s">
        <v>90</v>
      </c>
      <c r="G771" s="33">
        <v>26</v>
      </c>
    </row>
    <row r="772" spans="1:7">
      <c r="A772" t="s">
        <v>22</v>
      </c>
      <c r="B772" t="s">
        <v>176</v>
      </c>
      <c r="C772" s="32">
        <v>306.97000000000003</v>
      </c>
      <c r="D772" s="33">
        <v>35</v>
      </c>
      <c r="E772" t="s">
        <v>133</v>
      </c>
      <c r="F772" t="s">
        <v>96</v>
      </c>
      <c r="G772" s="33">
        <v>26</v>
      </c>
    </row>
    <row r="773" spans="1:7">
      <c r="A773" t="s">
        <v>22</v>
      </c>
      <c r="B773" t="s">
        <v>176</v>
      </c>
      <c r="C773" s="32">
        <v>307.14</v>
      </c>
      <c r="D773" s="33">
        <v>36</v>
      </c>
      <c r="E773" t="s">
        <v>134</v>
      </c>
      <c r="F773" t="s">
        <v>90</v>
      </c>
      <c r="G773" s="33">
        <v>26</v>
      </c>
    </row>
    <row r="774" spans="1:7">
      <c r="A774" t="s">
        <v>22</v>
      </c>
      <c r="B774" t="s">
        <v>176</v>
      </c>
      <c r="C774" s="32">
        <v>307.32</v>
      </c>
      <c r="D774" s="33">
        <v>37</v>
      </c>
      <c r="E774" t="s">
        <v>135</v>
      </c>
      <c r="F774" t="s">
        <v>93</v>
      </c>
      <c r="G774" s="33">
        <v>26</v>
      </c>
    </row>
    <row r="775" spans="1:7">
      <c r="A775" t="s">
        <v>22</v>
      </c>
      <c r="B775" t="s">
        <v>176</v>
      </c>
      <c r="C775" s="32">
        <v>307.49</v>
      </c>
      <c r="D775" s="33">
        <v>38</v>
      </c>
      <c r="E775" t="s">
        <v>136</v>
      </c>
      <c r="F775" t="s">
        <v>90</v>
      </c>
      <c r="G775" s="33">
        <v>26</v>
      </c>
    </row>
    <row r="776" spans="1:7">
      <c r="A776" t="s">
        <v>22</v>
      </c>
      <c r="B776" t="s">
        <v>176</v>
      </c>
      <c r="C776" s="32">
        <v>307.67</v>
      </c>
      <c r="D776" s="33">
        <v>39</v>
      </c>
      <c r="E776" t="s">
        <v>137</v>
      </c>
      <c r="F776" t="s">
        <v>90</v>
      </c>
      <c r="G776" s="33">
        <v>26</v>
      </c>
    </row>
    <row r="777" spans="1:7">
      <c r="A777" t="s">
        <v>22</v>
      </c>
      <c r="B777" t="s">
        <v>176</v>
      </c>
      <c r="C777" s="32">
        <v>307.83999999999997</v>
      </c>
      <c r="D777" s="33">
        <v>40</v>
      </c>
      <c r="E777" t="s">
        <v>138</v>
      </c>
      <c r="F777" t="s">
        <v>93</v>
      </c>
      <c r="G777" s="33">
        <v>26</v>
      </c>
    </row>
    <row r="778" spans="1:7">
      <c r="A778" t="s">
        <v>22</v>
      </c>
      <c r="B778" t="s">
        <v>176</v>
      </c>
      <c r="C778" s="32">
        <v>308.02</v>
      </c>
      <c r="D778" s="33">
        <v>41</v>
      </c>
      <c r="E778" t="s">
        <v>140</v>
      </c>
      <c r="F778" t="s">
        <v>90</v>
      </c>
      <c r="G778" s="33">
        <v>26</v>
      </c>
    </row>
    <row r="779" spans="1:7">
      <c r="A779" t="s">
        <v>22</v>
      </c>
      <c r="B779" t="s">
        <v>176</v>
      </c>
      <c r="C779" s="32">
        <v>308.2</v>
      </c>
      <c r="D779" s="33">
        <v>42</v>
      </c>
      <c r="E779" t="s">
        <v>141</v>
      </c>
      <c r="F779" t="s">
        <v>90</v>
      </c>
      <c r="G779" s="33">
        <v>26</v>
      </c>
    </row>
    <row r="780" spans="1:7">
      <c r="A780" t="s">
        <v>22</v>
      </c>
      <c r="B780" t="s">
        <v>176</v>
      </c>
      <c r="C780" s="32">
        <v>308.37</v>
      </c>
      <c r="D780" s="33">
        <v>43</v>
      </c>
      <c r="E780" t="s">
        <v>142</v>
      </c>
      <c r="F780" t="s">
        <v>90</v>
      </c>
      <c r="G780" s="33">
        <v>26</v>
      </c>
    </row>
    <row r="781" spans="1:7">
      <c r="A781" t="s">
        <v>22</v>
      </c>
      <c r="B781" t="s">
        <v>176</v>
      </c>
      <c r="C781" s="32">
        <v>308.55</v>
      </c>
      <c r="D781" s="33">
        <v>44</v>
      </c>
      <c r="E781" t="s">
        <v>143</v>
      </c>
      <c r="F781" t="s">
        <v>93</v>
      </c>
      <c r="G781" s="33">
        <v>26</v>
      </c>
    </row>
    <row r="782" spans="1:7">
      <c r="A782" t="s">
        <v>22</v>
      </c>
      <c r="B782" t="s">
        <v>176</v>
      </c>
      <c r="C782" s="32">
        <v>308.72000000000003</v>
      </c>
      <c r="D782" s="33">
        <v>45</v>
      </c>
      <c r="E782" t="s">
        <v>144</v>
      </c>
      <c r="F782" t="s">
        <v>102</v>
      </c>
      <c r="G782" s="33">
        <v>26</v>
      </c>
    </row>
    <row r="783" spans="1:7">
      <c r="A783" t="s">
        <v>22</v>
      </c>
      <c r="B783" t="s">
        <v>176</v>
      </c>
      <c r="C783" s="32">
        <v>308.89999999999998</v>
      </c>
      <c r="D783" s="33">
        <v>46</v>
      </c>
      <c r="E783" t="s">
        <v>145</v>
      </c>
      <c r="F783" t="s">
        <v>96</v>
      </c>
      <c r="G783" s="33">
        <v>26</v>
      </c>
    </row>
    <row r="784" spans="1:7">
      <c r="A784" t="s">
        <v>22</v>
      </c>
      <c r="B784" t="s">
        <v>176</v>
      </c>
      <c r="C784" s="32">
        <v>309.07</v>
      </c>
      <c r="D784" s="33">
        <v>47</v>
      </c>
      <c r="E784" t="s">
        <v>146</v>
      </c>
      <c r="F784" t="s">
        <v>90</v>
      </c>
      <c r="G784" s="33">
        <v>26</v>
      </c>
    </row>
    <row r="785" spans="1:7">
      <c r="A785" t="s">
        <v>22</v>
      </c>
      <c r="B785" t="s">
        <v>176</v>
      </c>
      <c r="C785" s="32">
        <v>309.25</v>
      </c>
      <c r="D785" s="33">
        <v>48</v>
      </c>
      <c r="E785" t="s">
        <v>148</v>
      </c>
      <c r="F785" t="s">
        <v>90</v>
      </c>
      <c r="G785" s="33">
        <v>26</v>
      </c>
    </row>
    <row r="786" spans="1:7">
      <c r="A786" t="s">
        <v>22</v>
      </c>
      <c r="B786" t="s">
        <v>176</v>
      </c>
      <c r="C786" s="32">
        <v>309.42</v>
      </c>
      <c r="D786" s="33">
        <v>49</v>
      </c>
      <c r="E786" t="s">
        <v>149</v>
      </c>
      <c r="F786" t="s">
        <v>93</v>
      </c>
      <c r="G786" s="33">
        <v>26</v>
      </c>
    </row>
    <row r="787" spans="1:7">
      <c r="A787" t="s">
        <v>22</v>
      </c>
      <c r="B787" t="s">
        <v>176</v>
      </c>
      <c r="C787" s="32">
        <v>309.60000000000002</v>
      </c>
      <c r="D787" s="33">
        <v>50</v>
      </c>
      <c r="E787" t="s">
        <v>150</v>
      </c>
      <c r="F787" t="s">
        <v>90</v>
      </c>
      <c r="G787" s="33">
        <v>26</v>
      </c>
    </row>
    <row r="788" spans="1:7">
      <c r="A788" t="s">
        <v>22</v>
      </c>
      <c r="B788" t="s">
        <v>177</v>
      </c>
      <c r="C788" s="32">
        <v>311</v>
      </c>
      <c r="D788" s="33">
        <v>1</v>
      </c>
      <c r="E788" t="s">
        <v>145</v>
      </c>
      <c r="F788" t="s">
        <v>90</v>
      </c>
      <c r="G788" s="33">
        <v>27</v>
      </c>
    </row>
    <row r="789" spans="1:7">
      <c r="A789" t="s">
        <v>22</v>
      </c>
      <c r="B789" t="s">
        <v>177</v>
      </c>
      <c r="C789" s="32">
        <v>311.17</v>
      </c>
      <c r="D789" s="33">
        <v>2</v>
      </c>
      <c r="E789" t="s">
        <v>146</v>
      </c>
      <c r="F789" t="s">
        <v>93</v>
      </c>
      <c r="G789" s="33">
        <v>27</v>
      </c>
    </row>
    <row r="790" spans="1:7">
      <c r="A790" t="s">
        <v>22</v>
      </c>
      <c r="B790" t="s">
        <v>177</v>
      </c>
      <c r="C790" s="32">
        <v>311.33</v>
      </c>
      <c r="D790" s="33">
        <v>3</v>
      </c>
      <c r="E790" t="s">
        <v>148</v>
      </c>
      <c r="F790" t="s">
        <v>90</v>
      </c>
      <c r="G790" s="33">
        <v>27</v>
      </c>
    </row>
    <row r="791" spans="1:7">
      <c r="A791" t="s">
        <v>22</v>
      </c>
      <c r="B791" t="s">
        <v>177</v>
      </c>
      <c r="C791" s="32">
        <v>311.5</v>
      </c>
      <c r="D791" s="33">
        <v>4</v>
      </c>
      <c r="E791" t="s">
        <v>149</v>
      </c>
      <c r="F791" t="s">
        <v>90</v>
      </c>
      <c r="G791" s="33">
        <v>27</v>
      </c>
    </row>
    <row r="792" spans="1:7">
      <c r="A792" t="s">
        <v>22</v>
      </c>
      <c r="B792" t="s">
        <v>177</v>
      </c>
      <c r="C792" s="32">
        <v>311.66000000000003</v>
      </c>
      <c r="D792" s="33">
        <v>5</v>
      </c>
      <c r="E792" t="s">
        <v>150</v>
      </c>
      <c r="F792" t="s">
        <v>96</v>
      </c>
      <c r="G792" s="33">
        <v>27</v>
      </c>
    </row>
    <row r="793" spans="1:7">
      <c r="A793" t="s">
        <v>22</v>
      </c>
      <c r="B793" t="s">
        <v>177</v>
      </c>
      <c r="C793" s="32">
        <v>311.83</v>
      </c>
      <c r="D793" s="33">
        <v>6</v>
      </c>
      <c r="E793" t="s">
        <v>151</v>
      </c>
      <c r="F793" t="s">
        <v>90</v>
      </c>
      <c r="G793" s="33">
        <v>27</v>
      </c>
    </row>
    <row r="794" spans="1:7">
      <c r="A794" t="s">
        <v>22</v>
      </c>
      <c r="B794" t="s">
        <v>177</v>
      </c>
      <c r="C794" s="32">
        <v>311.99</v>
      </c>
      <c r="D794" s="33">
        <v>7</v>
      </c>
      <c r="E794" t="s">
        <v>152</v>
      </c>
      <c r="F794" t="s">
        <v>93</v>
      </c>
      <c r="G794" s="33">
        <v>27</v>
      </c>
    </row>
    <row r="795" spans="1:7">
      <c r="A795" t="s">
        <v>22</v>
      </c>
      <c r="B795" t="s">
        <v>177</v>
      </c>
      <c r="C795" s="32">
        <v>312.16000000000003</v>
      </c>
      <c r="D795" s="33">
        <v>8</v>
      </c>
      <c r="E795" t="s">
        <v>153</v>
      </c>
      <c r="F795" t="s">
        <v>90</v>
      </c>
      <c r="G795" s="33">
        <v>27</v>
      </c>
    </row>
    <row r="796" spans="1:7">
      <c r="A796" t="s">
        <v>22</v>
      </c>
      <c r="B796" t="s">
        <v>177</v>
      </c>
      <c r="C796" s="32">
        <v>312.32</v>
      </c>
      <c r="D796" s="33">
        <v>9</v>
      </c>
      <c r="E796" t="s">
        <v>120</v>
      </c>
      <c r="F796" t="s">
        <v>90</v>
      </c>
      <c r="G796" s="33">
        <v>28</v>
      </c>
    </row>
    <row r="797" spans="1:7">
      <c r="A797" t="s">
        <v>22</v>
      </c>
      <c r="B797" t="s">
        <v>177</v>
      </c>
      <c r="C797" s="32">
        <v>312.49</v>
      </c>
      <c r="D797" s="33">
        <v>10</v>
      </c>
      <c r="E797" t="s">
        <v>115</v>
      </c>
      <c r="F797" t="s">
        <v>90</v>
      </c>
      <c r="G797" s="33">
        <v>27</v>
      </c>
    </row>
    <row r="798" spans="1:7">
      <c r="A798" t="s">
        <v>22</v>
      </c>
      <c r="B798" t="s">
        <v>177</v>
      </c>
      <c r="C798" s="32">
        <v>312.64999999999998</v>
      </c>
      <c r="D798" s="33">
        <v>11</v>
      </c>
      <c r="E798" t="s">
        <v>116</v>
      </c>
      <c r="F798" t="s">
        <v>93</v>
      </c>
      <c r="G798" s="33">
        <v>27</v>
      </c>
    </row>
    <row r="799" spans="1:7">
      <c r="A799" t="s">
        <v>22</v>
      </c>
      <c r="B799" t="s">
        <v>177</v>
      </c>
      <c r="C799" s="32">
        <v>312.82</v>
      </c>
      <c r="D799" s="33">
        <v>12</v>
      </c>
      <c r="E799" t="s">
        <v>117</v>
      </c>
      <c r="F799" t="s">
        <v>90</v>
      </c>
      <c r="G799" s="33">
        <v>27</v>
      </c>
    </row>
    <row r="800" spans="1:7">
      <c r="A800" t="s">
        <v>22</v>
      </c>
      <c r="B800" t="s">
        <v>177</v>
      </c>
      <c r="C800" s="32">
        <v>312.98</v>
      </c>
      <c r="D800" s="33">
        <v>13</v>
      </c>
      <c r="E800" t="s">
        <v>118</v>
      </c>
      <c r="F800" t="s">
        <v>90</v>
      </c>
      <c r="G800" s="33">
        <v>27</v>
      </c>
    </row>
    <row r="801" spans="1:7">
      <c r="A801" t="s">
        <v>22</v>
      </c>
      <c r="B801" t="s">
        <v>177</v>
      </c>
      <c r="C801" s="32">
        <v>313.14999999999998</v>
      </c>
      <c r="D801" s="33">
        <v>14</v>
      </c>
      <c r="E801" t="s">
        <v>122</v>
      </c>
      <c r="F801" t="s">
        <v>93</v>
      </c>
      <c r="G801" s="33">
        <v>27</v>
      </c>
    </row>
    <row r="802" spans="1:7">
      <c r="A802" t="s">
        <v>22</v>
      </c>
      <c r="B802" t="s">
        <v>177</v>
      </c>
      <c r="C802" s="32">
        <v>313.32</v>
      </c>
      <c r="D802" s="33">
        <v>15</v>
      </c>
      <c r="E802" t="s">
        <v>124</v>
      </c>
      <c r="F802" t="s">
        <v>102</v>
      </c>
      <c r="G802" s="33">
        <v>27</v>
      </c>
    </row>
    <row r="803" spans="1:7">
      <c r="A803" t="s">
        <v>22</v>
      </c>
      <c r="B803" t="s">
        <v>177</v>
      </c>
      <c r="C803" s="32">
        <v>313.48</v>
      </c>
      <c r="D803" s="33">
        <v>16</v>
      </c>
      <c r="E803" t="s">
        <v>125</v>
      </c>
      <c r="F803" t="s">
        <v>90</v>
      </c>
      <c r="G803" s="33">
        <v>27</v>
      </c>
    </row>
    <row r="804" spans="1:7">
      <c r="A804" t="s">
        <v>22</v>
      </c>
      <c r="B804" t="s">
        <v>177</v>
      </c>
      <c r="C804" s="32">
        <v>313.64999999999998</v>
      </c>
      <c r="D804" s="33">
        <v>17</v>
      </c>
      <c r="E804" t="s">
        <v>127</v>
      </c>
      <c r="F804" t="s">
        <v>96</v>
      </c>
      <c r="G804" s="33">
        <v>27</v>
      </c>
    </row>
    <row r="805" spans="1:7">
      <c r="A805" t="s">
        <v>22</v>
      </c>
      <c r="B805" t="s">
        <v>177</v>
      </c>
      <c r="C805" s="32">
        <v>313.81</v>
      </c>
      <c r="D805" s="33">
        <v>18</v>
      </c>
      <c r="E805" t="s">
        <v>128</v>
      </c>
      <c r="F805" t="s">
        <v>90</v>
      </c>
      <c r="G805" s="33">
        <v>27</v>
      </c>
    </row>
    <row r="806" spans="1:7">
      <c r="A806" t="s">
        <v>22</v>
      </c>
      <c r="B806" t="s">
        <v>177</v>
      </c>
      <c r="C806" s="32">
        <v>313.98</v>
      </c>
      <c r="D806" s="33">
        <v>19</v>
      </c>
      <c r="E806" t="s">
        <v>129</v>
      </c>
      <c r="F806" t="s">
        <v>93</v>
      </c>
      <c r="G806" s="33">
        <v>27</v>
      </c>
    </row>
    <row r="807" spans="1:7">
      <c r="A807" t="s">
        <v>22</v>
      </c>
      <c r="B807" t="s">
        <v>177</v>
      </c>
      <c r="C807" s="32">
        <v>314.14</v>
      </c>
      <c r="D807" s="33">
        <v>20</v>
      </c>
      <c r="E807" t="s">
        <v>130</v>
      </c>
      <c r="F807" t="s">
        <v>90</v>
      </c>
      <c r="G807" s="33">
        <v>27</v>
      </c>
    </row>
    <row r="808" spans="1:7">
      <c r="A808" t="s">
        <v>22</v>
      </c>
      <c r="B808" t="s">
        <v>177</v>
      </c>
      <c r="C808" s="32">
        <v>314.31</v>
      </c>
      <c r="D808" s="33">
        <v>21</v>
      </c>
      <c r="E808" t="s">
        <v>131</v>
      </c>
      <c r="F808" t="s">
        <v>90</v>
      </c>
      <c r="G808" s="33">
        <v>27</v>
      </c>
    </row>
    <row r="809" spans="1:7">
      <c r="A809" t="s">
        <v>22</v>
      </c>
      <c r="B809" t="s">
        <v>177</v>
      </c>
      <c r="C809" s="32">
        <v>314.47000000000003</v>
      </c>
      <c r="D809" s="33">
        <v>22</v>
      </c>
      <c r="E809" t="s">
        <v>133</v>
      </c>
      <c r="F809" t="s">
        <v>90</v>
      </c>
      <c r="G809" s="33">
        <v>27</v>
      </c>
    </row>
    <row r="810" spans="1:7">
      <c r="A810" t="s">
        <v>22</v>
      </c>
      <c r="B810" t="s">
        <v>177</v>
      </c>
      <c r="C810" s="32">
        <v>314.64</v>
      </c>
      <c r="D810" s="33">
        <v>23</v>
      </c>
      <c r="E810" t="s">
        <v>134</v>
      </c>
      <c r="F810" t="s">
        <v>93</v>
      </c>
      <c r="G810" s="33">
        <v>27</v>
      </c>
    </row>
    <row r="811" spans="1:7">
      <c r="A811" t="s">
        <v>22</v>
      </c>
      <c r="B811" t="s">
        <v>177</v>
      </c>
      <c r="C811" s="32">
        <v>314.8</v>
      </c>
      <c r="D811" s="33">
        <v>24</v>
      </c>
      <c r="E811" t="s">
        <v>135</v>
      </c>
      <c r="F811" t="s">
        <v>90</v>
      </c>
      <c r="G811" s="33">
        <v>27</v>
      </c>
    </row>
    <row r="812" spans="1:7">
      <c r="A812" t="s">
        <v>22</v>
      </c>
      <c r="B812" t="s">
        <v>177</v>
      </c>
      <c r="C812" s="32">
        <v>314.97000000000003</v>
      </c>
      <c r="D812" s="33">
        <v>25</v>
      </c>
      <c r="E812" t="s">
        <v>136</v>
      </c>
      <c r="F812" t="s">
        <v>90</v>
      </c>
      <c r="G812" s="33">
        <v>27</v>
      </c>
    </row>
    <row r="813" spans="1:7">
      <c r="A813" t="s">
        <v>22</v>
      </c>
      <c r="B813" t="s">
        <v>177</v>
      </c>
      <c r="C813" s="32">
        <v>315.13</v>
      </c>
      <c r="D813" s="33">
        <v>26</v>
      </c>
      <c r="E813" t="s">
        <v>137</v>
      </c>
      <c r="F813" t="s">
        <v>96</v>
      </c>
      <c r="G813" s="33">
        <v>27</v>
      </c>
    </row>
    <row r="814" spans="1:7">
      <c r="A814" t="s">
        <v>22</v>
      </c>
      <c r="B814" t="s">
        <v>177</v>
      </c>
      <c r="C814" s="32">
        <v>315.3</v>
      </c>
      <c r="D814" s="33">
        <v>27</v>
      </c>
      <c r="E814" t="s">
        <v>138</v>
      </c>
      <c r="F814" t="s">
        <v>90</v>
      </c>
      <c r="G814" s="33">
        <v>28</v>
      </c>
    </row>
    <row r="815" spans="1:7">
      <c r="A815" t="s">
        <v>22</v>
      </c>
      <c r="B815" t="s">
        <v>177</v>
      </c>
      <c r="C815" s="32">
        <v>315.47000000000003</v>
      </c>
      <c r="D815" s="33">
        <v>28</v>
      </c>
      <c r="E815" t="s">
        <v>140</v>
      </c>
      <c r="F815" t="s">
        <v>93</v>
      </c>
      <c r="G815" s="33">
        <v>27</v>
      </c>
    </row>
    <row r="816" spans="1:7">
      <c r="A816" t="s">
        <v>22</v>
      </c>
      <c r="B816" t="s">
        <v>177</v>
      </c>
      <c r="C816" s="32">
        <v>315.63</v>
      </c>
      <c r="D816" s="33">
        <v>29</v>
      </c>
      <c r="E816" t="s">
        <v>141</v>
      </c>
      <c r="F816" t="s">
        <v>90</v>
      </c>
      <c r="G816" s="33">
        <v>27</v>
      </c>
    </row>
    <row r="817" spans="1:7">
      <c r="A817" t="s">
        <v>22</v>
      </c>
      <c r="B817" t="s">
        <v>177</v>
      </c>
      <c r="C817" s="32">
        <v>315.8</v>
      </c>
      <c r="D817" s="33">
        <v>30</v>
      </c>
      <c r="E817" t="s">
        <v>142</v>
      </c>
      <c r="F817" t="s">
        <v>102</v>
      </c>
      <c r="G817" s="33">
        <v>27</v>
      </c>
    </row>
    <row r="818" spans="1:7">
      <c r="A818" t="s">
        <v>22</v>
      </c>
      <c r="B818" t="s">
        <v>177</v>
      </c>
      <c r="C818" s="32">
        <v>315.95999999999998</v>
      </c>
      <c r="D818" s="33">
        <v>31</v>
      </c>
      <c r="E818" t="s">
        <v>143</v>
      </c>
      <c r="F818" t="s">
        <v>93</v>
      </c>
      <c r="G818" s="33">
        <v>27</v>
      </c>
    </row>
    <row r="819" spans="1:7">
      <c r="A819" t="s">
        <v>22</v>
      </c>
      <c r="B819" t="s">
        <v>177</v>
      </c>
      <c r="C819" s="32">
        <v>316.13</v>
      </c>
      <c r="D819" s="33">
        <v>32</v>
      </c>
      <c r="E819" t="s">
        <v>144</v>
      </c>
      <c r="F819" t="s">
        <v>90</v>
      </c>
      <c r="G819" s="33">
        <v>27</v>
      </c>
    </row>
    <row r="820" spans="1:7">
      <c r="A820" t="s">
        <v>22</v>
      </c>
      <c r="B820" t="s">
        <v>177</v>
      </c>
      <c r="C820" s="32">
        <v>316.29000000000002</v>
      </c>
      <c r="D820" s="33">
        <v>33</v>
      </c>
      <c r="E820" t="s">
        <v>145</v>
      </c>
      <c r="F820" t="s">
        <v>90</v>
      </c>
      <c r="G820" s="33">
        <v>27</v>
      </c>
    </row>
    <row r="821" spans="1:7">
      <c r="A821" t="s">
        <v>22</v>
      </c>
      <c r="B821" t="s">
        <v>177</v>
      </c>
      <c r="C821" s="32">
        <v>316.45999999999998</v>
      </c>
      <c r="D821" s="33">
        <v>34</v>
      </c>
      <c r="E821" t="s">
        <v>146</v>
      </c>
      <c r="F821" t="s">
        <v>90</v>
      </c>
      <c r="G821" s="33">
        <v>27</v>
      </c>
    </row>
    <row r="822" spans="1:7">
      <c r="A822" t="s">
        <v>22</v>
      </c>
      <c r="B822" t="s">
        <v>177</v>
      </c>
      <c r="C822" s="32">
        <v>316.62</v>
      </c>
      <c r="D822" s="33">
        <v>35</v>
      </c>
      <c r="E822" t="s">
        <v>148</v>
      </c>
      <c r="F822" t="s">
        <v>93</v>
      </c>
      <c r="G822" s="33">
        <v>27</v>
      </c>
    </row>
    <row r="823" spans="1:7">
      <c r="A823" t="s">
        <v>22</v>
      </c>
      <c r="B823" t="s">
        <v>177</v>
      </c>
      <c r="C823" s="32">
        <v>316.79000000000002</v>
      </c>
      <c r="D823" s="33">
        <v>36</v>
      </c>
      <c r="E823" t="s">
        <v>149</v>
      </c>
      <c r="F823" t="s">
        <v>90</v>
      </c>
      <c r="G823" s="33">
        <v>27</v>
      </c>
    </row>
    <row r="824" spans="1:7">
      <c r="A824" t="s">
        <v>22</v>
      </c>
      <c r="B824" t="s">
        <v>177</v>
      </c>
      <c r="C824" s="32">
        <v>316.95</v>
      </c>
      <c r="D824" s="33">
        <v>37</v>
      </c>
      <c r="E824" t="s">
        <v>150</v>
      </c>
      <c r="F824" t="s">
        <v>96</v>
      </c>
      <c r="G824" s="33">
        <v>27</v>
      </c>
    </row>
    <row r="825" spans="1:7">
      <c r="A825" t="s">
        <v>22</v>
      </c>
      <c r="B825" t="s">
        <v>177</v>
      </c>
      <c r="C825" s="32">
        <v>317.12</v>
      </c>
      <c r="D825" s="33">
        <v>38</v>
      </c>
      <c r="E825" t="s">
        <v>151</v>
      </c>
      <c r="F825" t="s">
        <v>90</v>
      </c>
      <c r="G825" s="33">
        <v>27</v>
      </c>
    </row>
    <row r="826" spans="1:7">
      <c r="A826" t="s">
        <v>22</v>
      </c>
      <c r="B826" t="s">
        <v>177</v>
      </c>
      <c r="C826" s="32">
        <v>317.27999999999997</v>
      </c>
      <c r="D826" s="33">
        <v>39</v>
      </c>
      <c r="E826" t="s">
        <v>152</v>
      </c>
      <c r="F826" t="s">
        <v>90</v>
      </c>
      <c r="G826" s="33">
        <v>27</v>
      </c>
    </row>
    <row r="827" spans="1:7">
      <c r="A827" t="s">
        <v>22</v>
      </c>
      <c r="B827" t="s">
        <v>177</v>
      </c>
      <c r="C827" s="32">
        <v>317.45</v>
      </c>
      <c r="D827" s="33">
        <v>40</v>
      </c>
      <c r="E827" t="s">
        <v>153</v>
      </c>
      <c r="F827" t="s">
        <v>93</v>
      </c>
      <c r="G827" s="33">
        <v>27</v>
      </c>
    </row>
    <row r="828" spans="1:7">
      <c r="A828" t="s">
        <v>22</v>
      </c>
      <c r="B828" t="s">
        <v>177</v>
      </c>
      <c r="C828" s="32">
        <v>317.62</v>
      </c>
      <c r="D828" s="33">
        <v>41</v>
      </c>
      <c r="E828" t="s">
        <v>120</v>
      </c>
      <c r="F828" t="s">
        <v>90</v>
      </c>
      <c r="G828" s="33">
        <v>27</v>
      </c>
    </row>
    <row r="829" spans="1:7">
      <c r="A829" t="s">
        <v>22</v>
      </c>
      <c r="B829" t="s">
        <v>177</v>
      </c>
      <c r="C829" s="32">
        <v>317.77999999999997</v>
      </c>
      <c r="D829" s="33">
        <v>42</v>
      </c>
      <c r="E829" t="s">
        <v>115</v>
      </c>
      <c r="F829" t="s">
        <v>90</v>
      </c>
      <c r="G829" s="33">
        <v>27</v>
      </c>
    </row>
    <row r="830" spans="1:7">
      <c r="A830" t="s">
        <v>22</v>
      </c>
      <c r="B830" t="s">
        <v>177</v>
      </c>
      <c r="C830" s="32">
        <v>317.95</v>
      </c>
      <c r="D830" s="33">
        <v>43</v>
      </c>
      <c r="E830" t="s">
        <v>116</v>
      </c>
      <c r="F830" t="s">
        <v>93</v>
      </c>
      <c r="G830" s="33">
        <v>27</v>
      </c>
    </row>
    <row r="831" spans="1:7">
      <c r="A831" t="s">
        <v>22</v>
      </c>
      <c r="B831" t="s">
        <v>177</v>
      </c>
      <c r="C831" s="32">
        <v>318.11</v>
      </c>
      <c r="D831" s="33">
        <v>44</v>
      </c>
      <c r="E831" t="s">
        <v>117</v>
      </c>
      <c r="F831" t="s">
        <v>90</v>
      </c>
      <c r="G831" s="33">
        <v>27</v>
      </c>
    </row>
    <row r="832" spans="1:7">
      <c r="A832" t="s">
        <v>22</v>
      </c>
      <c r="B832" t="s">
        <v>177</v>
      </c>
      <c r="C832" s="32">
        <v>318.27999999999997</v>
      </c>
      <c r="D832" s="33">
        <v>45</v>
      </c>
      <c r="E832" t="s">
        <v>118</v>
      </c>
      <c r="F832" t="s">
        <v>102</v>
      </c>
      <c r="G832" s="33">
        <v>28</v>
      </c>
    </row>
    <row r="833" spans="1:7">
      <c r="A833" t="s">
        <v>22</v>
      </c>
      <c r="B833" t="s">
        <v>177</v>
      </c>
      <c r="C833" s="32">
        <v>318.44</v>
      </c>
      <c r="D833" s="33">
        <v>46</v>
      </c>
      <c r="E833" t="s">
        <v>122</v>
      </c>
      <c r="F833" t="s">
        <v>90</v>
      </c>
      <c r="G833" s="33">
        <v>27</v>
      </c>
    </row>
    <row r="834" spans="1:7">
      <c r="A834" t="s">
        <v>22</v>
      </c>
      <c r="B834" t="s">
        <v>177</v>
      </c>
      <c r="C834" s="32">
        <v>318.61</v>
      </c>
      <c r="D834" s="33">
        <v>47</v>
      </c>
      <c r="E834" t="s">
        <v>124</v>
      </c>
      <c r="F834" t="s">
        <v>93</v>
      </c>
      <c r="G834" s="33">
        <v>27</v>
      </c>
    </row>
    <row r="835" spans="1:7">
      <c r="A835" t="s">
        <v>22</v>
      </c>
      <c r="B835" t="s">
        <v>177</v>
      </c>
      <c r="C835" s="32">
        <v>318.77</v>
      </c>
      <c r="D835" s="33">
        <v>48</v>
      </c>
      <c r="E835" t="s">
        <v>125</v>
      </c>
      <c r="F835" t="s">
        <v>90</v>
      </c>
      <c r="G835" s="33">
        <v>27</v>
      </c>
    </row>
    <row r="836" spans="1:7">
      <c r="A836" t="s">
        <v>22</v>
      </c>
      <c r="B836" t="s">
        <v>177</v>
      </c>
      <c r="C836" s="32">
        <v>318.94</v>
      </c>
      <c r="D836" s="33">
        <v>49</v>
      </c>
      <c r="E836" t="s">
        <v>127</v>
      </c>
      <c r="F836" t="s">
        <v>96</v>
      </c>
      <c r="G836" s="33">
        <v>27</v>
      </c>
    </row>
    <row r="837" spans="1:7">
      <c r="A837" t="s">
        <v>22</v>
      </c>
      <c r="B837" t="s">
        <v>177</v>
      </c>
      <c r="C837" s="32">
        <v>319.10000000000002</v>
      </c>
      <c r="D837" s="33">
        <v>50</v>
      </c>
      <c r="E837" t="s">
        <v>128</v>
      </c>
      <c r="F837" t="s">
        <v>90</v>
      </c>
      <c r="G837" s="33">
        <v>27</v>
      </c>
    </row>
    <row r="838" spans="1:7">
      <c r="A838" t="s">
        <v>22</v>
      </c>
      <c r="B838" t="s">
        <v>177</v>
      </c>
      <c r="C838" s="32">
        <v>319.27</v>
      </c>
      <c r="D838" s="33">
        <v>51</v>
      </c>
      <c r="E838" t="s">
        <v>129</v>
      </c>
      <c r="F838" t="s">
        <v>90</v>
      </c>
      <c r="G838" s="33">
        <v>27</v>
      </c>
    </row>
    <row r="839" spans="1:7">
      <c r="A839" t="s">
        <v>22</v>
      </c>
      <c r="B839" t="s">
        <v>177</v>
      </c>
      <c r="C839" s="32">
        <v>319.43</v>
      </c>
      <c r="D839" s="33">
        <v>52</v>
      </c>
      <c r="E839" t="s">
        <v>130</v>
      </c>
      <c r="F839" t="s">
        <v>93</v>
      </c>
      <c r="G839" s="33">
        <v>27</v>
      </c>
    </row>
    <row r="840" spans="1:7">
      <c r="A840" t="s">
        <v>22</v>
      </c>
      <c r="B840" t="s">
        <v>177</v>
      </c>
      <c r="C840" s="32">
        <v>319.60000000000002</v>
      </c>
      <c r="D840" s="33">
        <v>53</v>
      </c>
      <c r="E840" t="s">
        <v>131</v>
      </c>
      <c r="F840" t="s">
        <v>90</v>
      </c>
      <c r="G840" s="33">
        <v>27</v>
      </c>
    </row>
    <row r="841" spans="1:7">
      <c r="A841" t="s">
        <v>22</v>
      </c>
      <c r="B841" t="s">
        <v>178</v>
      </c>
      <c r="C841" s="32">
        <v>321</v>
      </c>
      <c r="D841" s="33">
        <v>1</v>
      </c>
      <c r="E841" t="s">
        <v>127</v>
      </c>
      <c r="F841" t="s">
        <v>90</v>
      </c>
      <c r="G841" s="33">
        <v>27</v>
      </c>
    </row>
    <row r="842" spans="1:7">
      <c r="A842" t="s">
        <v>22</v>
      </c>
      <c r="B842" t="s">
        <v>178</v>
      </c>
      <c r="C842" s="32">
        <v>321.16000000000003</v>
      </c>
      <c r="D842" s="33">
        <v>2</v>
      </c>
      <c r="E842" t="s">
        <v>128</v>
      </c>
      <c r="F842" t="s">
        <v>93</v>
      </c>
      <c r="G842" s="33">
        <v>27</v>
      </c>
    </row>
    <row r="843" spans="1:7">
      <c r="A843" t="s">
        <v>22</v>
      </c>
      <c r="B843" t="s">
        <v>178</v>
      </c>
      <c r="C843" s="32">
        <v>321.32</v>
      </c>
      <c r="D843" s="33">
        <v>3</v>
      </c>
      <c r="E843" t="s">
        <v>129</v>
      </c>
      <c r="F843" t="s">
        <v>90</v>
      </c>
      <c r="G843" s="33">
        <v>27</v>
      </c>
    </row>
    <row r="844" spans="1:7">
      <c r="A844" t="s">
        <v>22</v>
      </c>
      <c r="B844" t="s">
        <v>178</v>
      </c>
      <c r="C844" s="32">
        <v>321.48</v>
      </c>
      <c r="D844" s="33">
        <v>4</v>
      </c>
      <c r="E844" t="s">
        <v>130</v>
      </c>
      <c r="F844" t="s">
        <v>90</v>
      </c>
      <c r="G844" s="33">
        <v>27</v>
      </c>
    </row>
    <row r="845" spans="1:7">
      <c r="A845" t="s">
        <v>22</v>
      </c>
      <c r="B845" t="s">
        <v>178</v>
      </c>
      <c r="C845" s="32">
        <v>321.64</v>
      </c>
      <c r="D845" s="33">
        <v>5</v>
      </c>
      <c r="E845" t="s">
        <v>131</v>
      </c>
      <c r="F845" t="s">
        <v>96</v>
      </c>
      <c r="G845" s="33">
        <v>27</v>
      </c>
    </row>
    <row r="846" spans="1:7">
      <c r="A846" t="s">
        <v>22</v>
      </c>
      <c r="B846" t="s">
        <v>178</v>
      </c>
      <c r="C846" s="32">
        <v>321.8</v>
      </c>
      <c r="D846" s="33">
        <v>6</v>
      </c>
      <c r="E846" t="s">
        <v>133</v>
      </c>
      <c r="F846" t="s">
        <v>90</v>
      </c>
      <c r="G846" s="33">
        <v>28</v>
      </c>
    </row>
    <row r="847" spans="1:7">
      <c r="A847" t="s">
        <v>22</v>
      </c>
      <c r="B847" t="s">
        <v>178</v>
      </c>
      <c r="C847" s="32">
        <v>321.95999999999998</v>
      </c>
      <c r="D847" s="33">
        <v>7</v>
      </c>
      <c r="E847" t="s">
        <v>134</v>
      </c>
      <c r="F847" t="s">
        <v>93</v>
      </c>
      <c r="G847" s="33">
        <v>27</v>
      </c>
    </row>
    <row r="848" spans="1:7">
      <c r="A848" t="s">
        <v>22</v>
      </c>
      <c r="B848" t="s">
        <v>178</v>
      </c>
      <c r="C848" s="32">
        <v>322.11</v>
      </c>
      <c r="D848" s="33">
        <v>8</v>
      </c>
      <c r="E848" t="s">
        <v>135</v>
      </c>
      <c r="F848" t="s">
        <v>90</v>
      </c>
      <c r="G848" s="33">
        <v>27</v>
      </c>
    </row>
    <row r="849" spans="1:7">
      <c r="A849" t="s">
        <v>22</v>
      </c>
      <c r="B849" t="s">
        <v>178</v>
      </c>
      <c r="C849" s="32">
        <v>322.27</v>
      </c>
      <c r="D849" s="33">
        <v>9</v>
      </c>
      <c r="E849" t="s">
        <v>136</v>
      </c>
      <c r="F849" t="s">
        <v>90</v>
      </c>
      <c r="G849" s="33">
        <v>27</v>
      </c>
    </row>
    <row r="850" spans="1:7">
      <c r="A850" t="s">
        <v>22</v>
      </c>
      <c r="B850" t="s">
        <v>178</v>
      </c>
      <c r="C850" s="32">
        <v>322.43</v>
      </c>
      <c r="D850" s="33">
        <v>10</v>
      </c>
      <c r="E850" t="s">
        <v>137</v>
      </c>
      <c r="F850" t="s">
        <v>90</v>
      </c>
      <c r="G850" s="33">
        <v>27</v>
      </c>
    </row>
    <row r="851" spans="1:7">
      <c r="A851" t="s">
        <v>22</v>
      </c>
      <c r="B851" t="s">
        <v>178</v>
      </c>
      <c r="C851" s="32">
        <v>322.58999999999997</v>
      </c>
      <c r="D851" s="33">
        <v>11</v>
      </c>
      <c r="E851" t="s">
        <v>138</v>
      </c>
      <c r="F851" t="s">
        <v>93</v>
      </c>
      <c r="G851" s="33">
        <v>27</v>
      </c>
    </row>
    <row r="852" spans="1:7">
      <c r="A852" t="s">
        <v>22</v>
      </c>
      <c r="B852" t="s">
        <v>178</v>
      </c>
      <c r="C852" s="32">
        <v>322.75</v>
      </c>
      <c r="D852" s="33">
        <v>12</v>
      </c>
      <c r="E852" t="s">
        <v>140</v>
      </c>
      <c r="F852" t="s">
        <v>90</v>
      </c>
      <c r="G852" s="33">
        <v>27</v>
      </c>
    </row>
    <row r="853" spans="1:7">
      <c r="A853" t="s">
        <v>22</v>
      </c>
      <c r="B853" t="s">
        <v>178</v>
      </c>
      <c r="C853" s="32">
        <v>322.91000000000003</v>
      </c>
      <c r="D853" s="33">
        <v>13</v>
      </c>
      <c r="E853" t="s">
        <v>141</v>
      </c>
      <c r="F853" t="s">
        <v>90</v>
      </c>
      <c r="G853" s="33">
        <v>27</v>
      </c>
    </row>
    <row r="854" spans="1:7">
      <c r="A854" t="s">
        <v>22</v>
      </c>
      <c r="B854" t="s">
        <v>178</v>
      </c>
      <c r="C854" s="32">
        <v>323.07</v>
      </c>
      <c r="D854" s="33">
        <v>14</v>
      </c>
      <c r="E854" t="s">
        <v>142</v>
      </c>
      <c r="F854" t="s">
        <v>96</v>
      </c>
      <c r="G854" s="33">
        <v>27</v>
      </c>
    </row>
    <row r="855" spans="1:7">
      <c r="A855" t="s">
        <v>22</v>
      </c>
      <c r="B855" t="s">
        <v>178</v>
      </c>
      <c r="C855" s="32">
        <v>323.23</v>
      </c>
      <c r="D855" s="33">
        <v>15</v>
      </c>
      <c r="E855" t="s">
        <v>143</v>
      </c>
      <c r="F855" t="s">
        <v>102</v>
      </c>
      <c r="G855" s="33">
        <v>27</v>
      </c>
    </row>
    <row r="856" spans="1:7">
      <c r="A856" t="s">
        <v>22</v>
      </c>
      <c r="B856" t="s">
        <v>178</v>
      </c>
      <c r="C856" s="32">
        <v>323.39</v>
      </c>
      <c r="D856" s="33">
        <v>16</v>
      </c>
      <c r="E856" t="s">
        <v>144</v>
      </c>
      <c r="F856" t="s">
        <v>93</v>
      </c>
      <c r="G856" s="33">
        <v>27</v>
      </c>
    </row>
    <row r="857" spans="1:7">
      <c r="A857" t="s">
        <v>22</v>
      </c>
      <c r="B857" t="s">
        <v>178</v>
      </c>
      <c r="C857" s="32">
        <v>323.55</v>
      </c>
      <c r="D857" s="33">
        <v>17</v>
      </c>
      <c r="E857" t="s">
        <v>145</v>
      </c>
      <c r="F857" t="s">
        <v>90</v>
      </c>
      <c r="G857" s="33">
        <v>28</v>
      </c>
    </row>
    <row r="858" spans="1:7">
      <c r="A858" t="s">
        <v>22</v>
      </c>
      <c r="B858" t="s">
        <v>178</v>
      </c>
      <c r="C858" s="32">
        <v>323.70999999999998</v>
      </c>
      <c r="D858" s="33">
        <v>18</v>
      </c>
      <c r="E858" t="s">
        <v>146</v>
      </c>
      <c r="F858" t="s">
        <v>90</v>
      </c>
      <c r="G858" s="33">
        <v>27</v>
      </c>
    </row>
    <row r="859" spans="1:7">
      <c r="A859" t="s">
        <v>22</v>
      </c>
      <c r="B859" t="s">
        <v>178</v>
      </c>
      <c r="C859" s="32">
        <v>323.87</v>
      </c>
      <c r="D859" s="33">
        <v>19</v>
      </c>
      <c r="E859" t="s">
        <v>148</v>
      </c>
      <c r="F859" t="s">
        <v>93</v>
      </c>
      <c r="G859" s="33">
        <v>27</v>
      </c>
    </row>
    <row r="860" spans="1:7">
      <c r="A860" t="s">
        <v>22</v>
      </c>
      <c r="B860" t="s">
        <v>178</v>
      </c>
      <c r="C860" s="32">
        <v>324.02999999999997</v>
      </c>
      <c r="D860" s="33">
        <v>20</v>
      </c>
      <c r="E860" t="s">
        <v>149</v>
      </c>
      <c r="F860" t="s">
        <v>90</v>
      </c>
      <c r="G860" s="33">
        <v>27</v>
      </c>
    </row>
    <row r="861" spans="1:7">
      <c r="A861" t="s">
        <v>22</v>
      </c>
      <c r="B861" t="s">
        <v>178</v>
      </c>
      <c r="C861" s="32">
        <v>324.19</v>
      </c>
      <c r="D861" s="33">
        <v>21</v>
      </c>
      <c r="E861" t="s">
        <v>150</v>
      </c>
      <c r="F861" t="s">
        <v>90</v>
      </c>
      <c r="G861" s="33">
        <v>27</v>
      </c>
    </row>
    <row r="862" spans="1:7">
      <c r="A862" t="s">
        <v>22</v>
      </c>
      <c r="B862" t="s">
        <v>178</v>
      </c>
      <c r="C862" s="32">
        <v>324.33999999999997</v>
      </c>
      <c r="D862" s="33">
        <v>22</v>
      </c>
      <c r="E862" t="s">
        <v>151</v>
      </c>
      <c r="F862" t="s">
        <v>90</v>
      </c>
      <c r="G862" s="33">
        <v>27</v>
      </c>
    </row>
    <row r="863" spans="1:7">
      <c r="A863" t="s">
        <v>22</v>
      </c>
      <c r="B863" t="s">
        <v>178</v>
      </c>
      <c r="C863" s="32">
        <v>324.5</v>
      </c>
      <c r="D863" s="33">
        <v>23</v>
      </c>
      <c r="E863" t="s">
        <v>152</v>
      </c>
      <c r="F863" t="s">
        <v>96</v>
      </c>
      <c r="G863" s="33">
        <v>27</v>
      </c>
    </row>
    <row r="864" spans="1:7">
      <c r="A864" t="s">
        <v>22</v>
      </c>
      <c r="B864" t="s">
        <v>178</v>
      </c>
      <c r="C864" s="32">
        <v>324.66000000000003</v>
      </c>
      <c r="D864" s="33">
        <v>24</v>
      </c>
      <c r="E864" t="s">
        <v>153</v>
      </c>
      <c r="F864" t="s">
        <v>90</v>
      </c>
      <c r="G864" s="33">
        <v>27</v>
      </c>
    </row>
    <row r="865" spans="1:7">
      <c r="A865" t="s">
        <v>22</v>
      </c>
      <c r="B865" t="s">
        <v>178</v>
      </c>
      <c r="C865" s="32">
        <v>324.82</v>
      </c>
      <c r="D865" s="33">
        <v>25</v>
      </c>
      <c r="E865" t="s">
        <v>120</v>
      </c>
      <c r="F865" t="s">
        <v>93</v>
      </c>
      <c r="G865" s="33">
        <v>27</v>
      </c>
    </row>
    <row r="866" spans="1:7">
      <c r="A866" t="s">
        <v>22</v>
      </c>
      <c r="B866" t="s">
        <v>178</v>
      </c>
      <c r="C866" s="32">
        <v>324.98</v>
      </c>
      <c r="D866" s="33">
        <v>26</v>
      </c>
      <c r="E866" t="s">
        <v>115</v>
      </c>
      <c r="F866" t="s">
        <v>90</v>
      </c>
      <c r="G866" s="33">
        <v>27</v>
      </c>
    </row>
    <row r="867" spans="1:7">
      <c r="A867" t="s">
        <v>22</v>
      </c>
      <c r="B867" t="s">
        <v>178</v>
      </c>
      <c r="C867" s="32">
        <v>325.14</v>
      </c>
      <c r="D867" s="33">
        <v>27</v>
      </c>
      <c r="E867" t="s">
        <v>116</v>
      </c>
      <c r="F867" t="s">
        <v>90</v>
      </c>
      <c r="G867" s="33">
        <v>27</v>
      </c>
    </row>
    <row r="868" spans="1:7">
      <c r="A868" t="s">
        <v>22</v>
      </c>
      <c r="B868" t="s">
        <v>178</v>
      </c>
      <c r="C868" s="32">
        <v>325.3</v>
      </c>
      <c r="D868" s="33">
        <v>28</v>
      </c>
      <c r="E868" t="s">
        <v>117</v>
      </c>
      <c r="F868" t="s">
        <v>93</v>
      </c>
      <c r="G868" s="33">
        <v>28</v>
      </c>
    </row>
    <row r="869" spans="1:7">
      <c r="A869" t="s">
        <v>22</v>
      </c>
      <c r="B869" t="s">
        <v>178</v>
      </c>
      <c r="C869" s="32">
        <v>325.45999999999998</v>
      </c>
      <c r="D869" s="33">
        <v>29</v>
      </c>
      <c r="E869" t="s">
        <v>118</v>
      </c>
      <c r="F869" t="s">
        <v>90</v>
      </c>
      <c r="G869" s="33">
        <v>27</v>
      </c>
    </row>
    <row r="870" spans="1:7">
      <c r="A870" t="s">
        <v>22</v>
      </c>
      <c r="B870" t="s">
        <v>178</v>
      </c>
      <c r="C870" s="32">
        <v>325.62</v>
      </c>
      <c r="D870" s="33">
        <v>30</v>
      </c>
      <c r="E870" t="s">
        <v>122</v>
      </c>
      <c r="F870" t="s">
        <v>102</v>
      </c>
      <c r="G870" s="33">
        <v>27</v>
      </c>
    </row>
    <row r="871" spans="1:7">
      <c r="A871" t="s">
        <v>22</v>
      </c>
      <c r="B871" t="s">
        <v>178</v>
      </c>
      <c r="C871" s="32">
        <v>325.77999999999997</v>
      </c>
      <c r="D871" s="33">
        <v>31</v>
      </c>
      <c r="E871" t="s">
        <v>124</v>
      </c>
      <c r="F871" t="s">
        <v>96</v>
      </c>
      <c r="G871" s="33">
        <v>27</v>
      </c>
    </row>
    <row r="872" spans="1:7">
      <c r="A872" t="s">
        <v>22</v>
      </c>
      <c r="B872" t="s">
        <v>178</v>
      </c>
      <c r="C872" s="32">
        <v>325.94</v>
      </c>
      <c r="D872" s="33">
        <v>32</v>
      </c>
      <c r="E872" t="s">
        <v>125</v>
      </c>
      <c r="F872" t="s">
        <v>90</v>
      </c>
      <c r="G872" s="33">
        <v>27</v>
      </c>
    </row>
    <row r="873" spans="1:7">
      <c r="A873" t="s">
        <v>22</v>
      </c>
      <c r="B873" t="s">
        <v>178</v>
      </c>
      <c r="C873" s="32">
        <v>326.10000000000002</v>
      </c>
      <c r="D873" s="33">
        <v>33</v>
      </c>
      <c r="E873" t="s">
        <v>127</v>
      </c>
      <c r="F873" t="s">
        <v>93</v>
      </c>
      <c r="G873" s="33">
        <v>27</v>
      </c>
    </row>
    <row r="874" spans="1:7">
      <c r="A874" t="s">
        <v>22</v>
      </c>
      <c r="B874" t="s">
        <v>178</v>
      </c>
      <c r="C874" s="32">
        <v>326.26</v>
      </c>
      <c r="D874" s="33">
        <v>34</v>
      </c>
      <c r="E874" t="s">
        <v>128</v>
      </c>
      <c r="F874" t="s">
        <v>90</v>
      </c>
      <c r="G874" s="33">
        <v>27</v>
      </c>
    </row>
    <row r="875" spans="1:7">
      <c r="A875" t="s">
        <v>22</v>
      </c>
      <c r="B875" t="s">
        <v>178</v>
      </c>
      <c r="C875" s="32">
        <v>326.41000000000003</v>
      </c>
      <c r="D875" s="33">
        <v>35</v>
      </c>
      <c r="E875" t="s">
        <v>129</v>
      </c>
      <c r="F875" t="s">
        <v>90</v>
      </c>
      <c r="G875" s="33">
        <v>27</v>
      </c>
    </row>
    <row r="876" spans="1:7">
      <c r="A876" t="s">
        <v>22</v>
      </c>
      <c r="B876" t="s">
        <v>178</v>
      </c>
      <c r="C876" s="32">
        <v>326.57</v>
      </c>
      <c r="D876" s="33">
        <v>36</v>
      </c>
      <c r="E876" t="s">
        <v>130</v>
      </c>
      <c r="F876" t="s">
        <v>90</v>
      </c>
      <c r="G876" s="33">
        <v>27</v>
      </c>
    </row>
    <row r="877" spans="1:7">
      <c r="A877" t="s">
        <v>22</v>
      </c>
      <c r="B877" t="s">
        <v>178</v>
      </c>
      <c r="C877" s="32">
        <v>326.73</v>
      </c>
      <c r="D877" s="33">
        <v>37</v>
      </c>
      <c r="E877" t="s">
        <v>131</v>
      </c>
      <c r="F877" t="s">
        <v>93</v>
      </c>
      <c r="G877" s="33">
        <v>27</v>
      </c>
    </row>
    <row r="878" spans="1:7">
      <c r="A878" t="s">
        <v>22</v>
      </c>
      <c r="B878" t="s">
        <v>178</v>
      </c>
      <c r="C878" s="32">
        <v>326.89</v>
      </c>
      <c r="D878" s="33">
        <v>38</v>
      </c>
      <c r="E878" t="s">
        <v>133</v>
      </c>
      <c r="F878" t="s">
        <v>90</v>
      </c>
      <c r="G878" s="33">
        <v>27</v>
      </c>
    </row>
    <row r="879" spans="1:7">
      <c r="A879" t="s">
        <v>22</v>
      </c>
      <c r="B879" t="s">
        <v>178</v>
      </c>
      <c r="C879" s="32">
        <v>327.05</v>
      </c>
      <c r="D879" s="33">
        <v>39</v>
      </c>
      <c r="E879" t="s">
        <v>134</v>
      </c>
      <c r="F879" t="s">
        <v>90</v>
      </c>
      <c r="G879" s="33">
        <v>28</v>
      </c>
    </row>
    <row r="880" spans="1:7">
      <c r="A880" t="s">
        <v>22</v>
      </c>
      <c r="B880" t="s">
        <v>178</v>
      </c>
      <c r="C880" s="32">
        <v>327.20999999999998</v>
      </c>
      <c r="D880" s="33">
        <v>40</v>
      </c>
      <c r="E880" t="s">
        <v>135</v>
      </c>
      <c r="F880" t="s">
        <v>93</v>
      </c>
      <c r="G880" s="33">
        <v>27</v>
      </c>
    </row>
    <row r="881" spans="1:7">
      <c r="A881" t="s">
        <v>22</v>
      </c>
      <c r="B881" t="s">
        <v>178</v>
      </c>
      <c r="C881" s="32">
        <v>327.37</v>
      </c>
      <c r="D881" s="33">
        <v>41</v>
      </c>
      <c r="E881" t="s">
        <v>136</v>
      </c>
      <c r="F881" t="s">
        <v>90</v>
      </c>
      <c r="G881" s="33">
        <v>27</v>
      </c>
    </row>
    <row r="882" spans="1:7">
      <c r="A882" t="s">
        <v>22</v>
      </c>
      <c r="B882" t="s">
        <v>178</v>
      </c>
      <c r="C882" s="32">
        <v>327.52999999999997</v>
      </c>
      <c r="D882" s="33">
        <v>42</v>
      </c>
      <c r="E882" t="s">
        <v>137</v>
      </c>
      <c r="F882" t="s">
        <v>96</v>
      </c>
      <c r="G882" s="33">
        <v>27</v>
      </c>
    </row>
    <row r="883" spans="1:7">
      <c r="A883" t="s">
        <v>22</v>
      </c>
      <c r="B883" t="s">
        <v>178</v>
      </c>
      <c r="C883" s="32">
        <v>327.69</v>
      </c>
      <c r="D883" s="33">
        <v>43</v>
      </c>
      <c r="E883" t="s">
        <v>138</v>
      </c>
      <c r="F883" t="s">
        <v>90</v>
      </c>
      <c r="G883" s="33">
        <v>27</v>
      </c>
    </row>
    <row r="884" spans="1:7">
      <c r="A884" t="s">
        <v>22</v>
      </c>
      <c r="B884" t="s">
        <v>178</v>
      </c>
      <c r="C884" s="32">
        <v>327.85</v>
      </c>
      <c r="D884" s="33">
        <v>44</v>
      </c>
      <c r="E884" t="s">
        <v>140</v>
      </c>
      <c r="F884" t="s">
        <v>90</v>
      </c>
      <c r="G884" s="33">
        <v>27</v>
      </c>
    </row>
    <row r="885" spans="1:7">
      <c r="A885" t="s">
        <v>22</v>
      </c>
      <c r="B885" t="s">
        <v>178</v>
      </c>
      <c r="C885" s="32">
        <v>328.01</v>
      </c>
      <c r="D885" s="33">
        <v>45</v>
      </c>
      <c r="E885" t="s">
        <v>141</v>
      </c>
      <c r="F885" t="s">
        <v>93</v>
      </c>
      <c r="G885" s="33">
        <v>27</v>
      </c>
    </row>
    <row r="886" spans="1:7">
      <c r="A886" t="s">
        <v>22</v>
      </c>
      <c r="B886" t="s">
        <v>178</v>
      </c>
      <c r="C886" s="32">
        <v>328.17</v>
      </c>
      <c r="D886" s="33">
        <v>46</v>
      </c>
      <c r="E886" t="s">
        <v>142</v>
      </c>
      <c r="F886" t="s">
        <v>102</v>
      </c>
      <c r="G886" s="33">
        <v>27</v>
      </c>
    </row>
    <row r="887" spans="1:7">
      <c r="A887" t="s">
        <v>22</v>
      </c>
      <c r="B887" t="s">
        <v>178</v>
      </c>
      <c r="C887" s="32">
        <v>328.33</v>
      </c>
      <c r="D887" s="33">
        <v>47</v>
      </c>
      <c r="E887" t="s">
        <v>143</v>
      </c>
      <c r="F887" t="s">
        <v>90</v>
      </c>
      <c r="G887" s="33">
        <v>27</v>
      </c>
    </row>
    <row r="888" spans="1:7">
      <c r="A888" t="s">
        <v>22</v>
      </c>
      <c r="B888" t="s">
        <v>178</v>
      </c>
      <c r="C888" s="32">
        <v>328.49</v>
      </c>
      <c r="D888" s="33">
        <v>48</v>
      </c>
      <c r="E888" t="s">
        <v>144</v>
      </c>
      <c r="F888" t="s">
        <v>90</v>
      </c>
      <c r="G888" s="33">
        <v>27</v>
      </c>
    </row>
    <row r="889" spans="1:7">
      <c r="A889" t="s">
        <v>22</v>
      </c>
      <c r="B889" t="s">
        <v>178</v>
      </c>
      <c r="C889" s="32">
        <v>328.64</v>
      </c>
      <c r="D889" s="33">
        <v>49</v>
      </c>
      <c r="E889" t="s">
        <v>145</v>
      </c>
      <c r="F889" t="s">
        <v>93</v>
      </c>
      <c r="G889" s="33">
        <v>27</v>
      </c>
    </row>
    <row r="890" spans="1:7">
      <c r="A890" t="s">
        <v>22</v>
      </c>
      <c r="B890" t="s">
        <v>178</v>
      </c>
      <c r="C890" s="32">
        <v>328.8</v>
      </c>
      <c r="D890" s="33">
        <v>50</v>
      </c>
      <c r="E890" t="s">
        <v>146</v>
      </c>
      <c r="F890" t="s">
        <v>90</v>
      </c>
      <c r="G890" s="33">
        <v>28</v>
      </c>
    </row>
    <row r="891" spans="1:7">
      <c r="A891" t="s">
        <v>22</v>
      </c>
      <c r="B891" t="s">
        <v>178</v>
      </c>
      <c r="C891" s="32">
        <v>328.96</v>
      </c>
      <c r="D891" s="33">
        <v>51</v>
      </c>
      <c r="E891" t="s">
        <v>148</v>
      </c>
      <c r="F891" t="s">
        <v>96</v>
      </c>
      <c r="G891" s="33">
        <v>27</v>
      </c>
    </row>
    <row r="892" spans="1:7">
      <c r="A892" t="s">
        <v>22</v>
      </c>
      <c r="B892" t="s">
        <v>178</v>
      </c>
      <c r="C892" s="32">
        <v>329.12</v>
      </c>
      <c r="D892" s="33">
        <v>52</v>
      </c>
      <c r="E892" t="s">
        <v>149</v>
      </c>
      <c r="F892" t="s">
        <v>90</v>
      </c>
      <c r="G892" s="33">
        <v>27</v>
      </c>
    </row>
    <row r="893" spans="1:7">
      <c r="A893" t="s">
        <v>22</v>
      </c>
      <c r="B893" t="s">
        <v>178</v>
      </c>
      <c r="C893" s="32">
        <v>329.28</v>
      </c>
      <c r="D893" s="33">
        <v>53</v>
      </c>
      <c r="E893" t="s">
        <v>150</v>
      </c>
      <c r="F893" t="s">
        <v>90</v>
      </c>
      <c r="G893" s="33">
        <v>27</v>
      </c>
    </row>
    <row r="894" spans="1:7">
      <c r="A894" t="s">
        <v>22</v>
      </c>
      <c r="B894" t="s">
        <v>178</v>
      </c>
      <c r="C894" s="32">
        <v>329.44</v>
      </c>
      <c r="D894" s="33">
        <v>54</v>
      </c>
      <c r="E894" t="s">
        <v>151</v>
      </c>
      <c r="F894" t="s">
        <v>93</v>
      </c>
      <c r="G894" s="33">
        <v>27</v>
      </c>
    </row>
    <row r="895" spans="1:7">
      <c r="A895" t="s">
        <v>22</v>
      </c>
      <c r="B895" t="s">
        <v>178</v>
      </c>
      <c r="C895" s="32">
        <v>329.6</v>
      </c>
      <c r="D895" s="33">
        <v>55</v>
      </c>
      <c r="E895" t="s">
        <v>152</v>
      </c>
      <c r="F895" t="s">
        <v>90</v>
      </c>
      <c r="G895" s="33">
        <v>27</v>
      </c>
    </row>
    <row r="896" spans="1:7">
      <c r="A896" t="s">
        <v>22</v>
      </c>
      <c r="B896" t="s">
        <v>179</v>
      </c>
      <c r="C896" s="32">
        <v>331</v>
      </c>
      <c r="D896" s="33">
        <v>1</v>
      </c>
      <c r="E896" t="s">
        <v>148</v>
      </c>
      <c r="F896" t="s">
        <v>90</v>
      </c>
      <c r="G896" s="33">
        <v>28</v>
      </c>
    </row>
    <row r="897" spans="1:7">
      <c r="A897" t="s">
        <v>22</v>
      </c>
      <c r="B897" t="s">
        <v>179</v>
      </c>
      <c r="C897" s="32">
        <v>331.15</v>
      </c>
      <c r="D897" s="33">
        <v>2</v>
      </c>
      <c r="E897" t="s">
        <v>149</v>
      </c>
      <c r="F897" t="s">
        <v>93</v>
      </c>
      <c r="G897" s="33">
        <v>28</v>
      </c>
    </row>
    <row r="898" spans="1:7">
      <c r="A898" t="s">
        <v>22</v>
      </c>
      <c r="B898" t="s">
        <v>179</v>
      </c>
      <c r="C898" s="32">
        <v>331.31</v>
      </c>
      <c r="D898" s="33">
        <v>3</v>
      </c>
      <c r="E898" t="s">
        <v>150</v>
      </c>
      <c r="F898" t="s">
        <v>90</v>
      </c>
      <c r="G898" s="33">
        <v>28</v>
      </c>
    </row>
    <row r="899" spans="1:7">
      <c r="A899" t="s">
        <v>22</v>
      </c>
      <c r="B899" t="s">
        <v>179</v>
      </c>
      <c r="C899" s="32">
        <v>331.46</v>
      </c>
      <c r="D899" s="33">
        <v>4</v>
      </c>
      <c r="E899" t="s">
        <v>151</v>
      </c>
      <c r="F899" t="s">
        <v>90</v>
      </c>
      <c r="G899" s="33">
        <v>28</v>
      </c>
    </row>
    <row r="900" spans="1:7">
      <c r="A900" t="s">
        <v>22</v>
      </c>
      <c r="B900" t="s">
        <v>179</v>
      </c>
      <c r="C900" s="32">
        <v>331.61</v>
      </c>
      <c r="D900" s="33">
        <v>5</v>
      </c>
      <c r="E900" t="s">
        <v>152</v>
      </c>
      <c r="F900" t="s">
        <v>96</v>
      </c>
      <c r="G900" s="33">
        <v>29</v>
      </c>
    </row>
    <row r="901" spans="1:7">
      <c r="A901" t="s">
        <v>22</v>
      </c>
      <c r="B901" t="s">
        <v>179</v>
      </c>
      <c r="C901" s="32">
        <v>331.77</v>
      </c>
      <c r="D901" s="33">
        <v>6</v>
      </c>
      <c r="E901" t="s">
        <v>153</v>
      </c>
      <c r="F901" t="s">
        <v>90</v>
      </c>
      <c r="G901" s="33">
        <v>28</v>
      </c>
    </row>
    <row r="902" spans="1:7">
      <c r="A902" t="s">
        <v>22</v>
      </c>
      <c r="B902" t="s">
        <v>179</v>
      </c>
      <c r="C902" s="32">
        <v>331.92</v>
      </c>
      <c r="D902" s="33">
        <v>7</v>
      </c>
      <c r="E902" t="s">
        <v>120</v>
      </c>
      <c r="F902" t="s">
        <v>93</v>
      </c>
      <c r="G902" s="33">
        <v>28</v>
      </c>
    </row>
    <row r="903" spans="1:7">
      <c r="A903" t="s">
        <v>22</v>
      </c>
      <c r="B903" t="s">
        <v>179</v>
      </c>
      <c r="C903" s="32">
        <v>332.08</v>
      </c>
      <c r="D903" s="33">
        <v>8</v>
      </c>
      <c r="E903" t="s">
        <v>115</v>
      </c>
      <c r="F903" t="s">
        <v>90</v>
      </c>
      <c r="G903" s="33">
        <v>28</v>
      </c>
    </row>
    <row r="904" spans="1:7">
      <c r="A904" t="s">
        <v>22</v>
      </c>
      <c r="B904" t="s">
        <v>179</v>
      </c>
      <c r="C904" s="32">
        <v>332.23</v>
      </c>
      <c r="D904" s="33">
        <v>9</v>
      </c>
      <c r="E904" t="s">
        <v>116</v>
      </c>
      <c r="F904" t="s">
        <v>90</v>
      </c>
      <c r="G904" s="33">
        <v>28</v>
      </c>
    </row>
    <row r="905" spans="1:7">
      <c r="A905" t="s">
        <v>22</v>
      </c>
      <c r="B905" t="s">
        <v>179</v>
      </c>
      <c r="C905" s="32">
        <v>332.38</v>
      </c>
      <c r="D905" s="33">
        <v>10</v>
      </c>
      <c r="E905" t="s">
        <v>117</v>
      </c>
      <c r="F905" t="s">
        <v>90</v>
      </c>
      <c r="G905" s="33">
        <v>28</v>
      </c>
    </row>
    <row r="906" spans="1:7">
      <c r="A906" t="s">
        <v>22</v>
      </c>
      <c r="B906" t="s">
        <v>179</v>
      </c>
      <c r="C906" s="32">
        <v>332.54</v>
      </c>
      <c r="D906" s="33">
        <v>11</v>
      </c>
      <c r="E906" t="s">
        <v>118</v>
      </c>
      <c r="F906" t="s">
        <v>93</v>
      </c>
      <c r="G906" s="33">
        <v>28</v>
      </c>
    </row>
    <row r="907" spans="1:7">
      <c r="A907" t="s">
        <v>22</v>
      </c>
      <c r="B907" t="s">
        <v>179</v>
      </c>
      <c r="C907" s="32">
        <v>332.69</v>
      </c>
      <c r="D907" s="33">
        <v>12</v>
      </c>
      <c r="E907" t="s">
        <v>122</v>
      </c>
      <c r="F907" t="s">
        <v>90</v>
      </c>
      <c r="G907" s="33">
        <v>28</v>
      </c>
    </row>
    <row r="908" spans="1:7">
      <c r="A908" t="s">
        <v>22</v>
      </c>
      <c r="B908" t="s">
        <v>179</v>
      </c>
      <c r="C908" s="32">
        <v>332.84</v>
      </c>
      <c r="D908" s="33">
        <v>13</v>
      </c>
      <c r="E908" t="s">
        <v>124</v>
      </c>
      <c r="F908" t="s">
        <v>90</v>
      </c>
      <c r="G908" s="33">
        <v>29</v>
      </c>
    </row>
    <row r="909" spans="1:7">
      <c r="A909" t="s">
        <v>22</v>
      </c>
      <c r="B909" t="s">
        <v>179</v>
      </c>
      <c r="C909" s="32">
        <v>333</v>
      </c>
      <c r="D909" s="33">
        <v>14</v>
      </c>
      <c r="E909" t="s">
        <v>125</v>
      </c>
      <c r="F909" t="s">
        <v>96</v>
      </c>
      <c r="G909" s="33">
        <v>28</v>
      </c>
    </row>
    <row r="910" spans="1:7">
      <c r="A910" t="s">
        <v>22</v>
      </c>
      <c r="B910" t="s">
        <v>179</v>
      </c>
      <c r="C910" s="32">
        <v>333.15</v>
      </c>
      <c r="D910" s="33">
        <v>15</v>
      </c>
      <c r="E910" t="s">
        <v>127</v>
      </c>
      <c r="F910" t="s">
        <v>102</v>
      </c>
      <c r="G910" s="33">
        <v>28</v>
      </c>
    </row>
    <row r="911" spans="1:7">
      <c r="A911" t="s">
        <v>22</v>
      </c>
      <c r="B911" t="s">
        <v>179</v>
      </c>
      <c r="C911" s="32">
        <v>333.3</v>
      </c>
      <c r="D911" s="33">
        <v>16</v>
      </c>
      <c r="E911" t="s">
        <v>128</v>
      </c>
      <c r="F911" t="s">
        <v>93</v>
      </c>
      <c r="G911" s="33">
        <v>28</v>
      </c>
    </row>
    <row r="912" spans="1:7">
      <c r="A912" t="s">
        <v>22</v>
      </c>
      <c r="B912" t="s">
        <v>179</v>
      </c>
      <c r="C912" s="32">
        <v>333.46</v>
      </c>
      <c r="D912" s="33">
        <v>17</v>
      </c>
      <c r="E912" t="s">
        <v>129</v>
      </c>
      <c r="F912" t="s">
        <v>90</v>
      </c>
      <c r="G912" s="33">
        <v>28</v>
      </c>
    </row>
    <row r="913" spans="1:7">
      <c r="A913" t="s">
        <v>22</v>
      </c>
      <c r="B913" t="s">
        <v>179</v>
      </c>
      <c r="C913" s="32">
        <v>333.61</v>
      </c>
      <c r="D913" s="33">
        <v>18</v>
      </c>
      <c r="E913" t="s">
        <v>130</v>
      </c>
      <c r="F913" t="s">
        <v>90</v>
      </c>
      <c r="G913" s="33">
        <v>28</v>
      </c>
    </row>
    <row r="914" spans="1:7">
      <c r="A914" t="s">
        <v>22</v>
      </c>
      <c r="B914" t="s">
        <v>179</v>
      </c>
      <c r="C914" s="32">
        <v>333.76</v>
      </c>
      <c r="D914" s="33">
        <v>19</v>
      </c>
      <c r="E914" t="s">
        <v>131</v>
      </c>
      <c r="F914" t="s">
        <v>93</v>
      </c>
      <c r="G914" s="33">
        <v>28</v>
      </c>
    </row>
    <row r="915" spans="1:7">
      <c r="A915" t="s">
        <v>22</v>
      </c>
      <c r="B915" t="s">
        <v>179</v>
      </c>
      <c r="C915" s="32">
        <v>333.92</v>
      </c>
      <c r="D915" s="33">
        <v>20</v>
      </c>
      <c r="E915" t="s">
        <v>133</v>
      </c>
      <c r="F915" t="s">
        <v>90</v>
      </c>
      <c r="G915" s="33">
        <v>28</v>
      </c>
    </row>
    <row r="916" spans="1:7">
      <c r="A916" t="s">
        <v>22</v>
      </c>
      <c r="B916" t="s">
        <v>179</v>
      </c>
      <c r="C916" s="32">
        <v>334.07</v>
      </c>
      <c r="D916" s="33">
        <v>21</v>
      </c>
      <c r="E916" t="s">
        <v>134</v>
      </c>
      <c r="F916" t="s">
        <v>90</v>
      </c>
      <c r="G916" s="33">
        <v>29</v>
      </c>
    </row>
    <row r="917" spans="1:7">
      <c r="A917" t="s">
        <v>22</v>
      </c>
      <c r="B917" t="s">
        <v>179</v>
      </c>
      <c r="C917" s="32">
        <v>334.23</v>
      </c>
      <c r="D917" s="33">
        <v>22</v>
      </c>
      <c r="E917" t="s">
        <v>135</v>
      </c>
      <c r="F917" t="s">
        <v>93</v>
      </c>
      <c r="G917" s="33">
        <v>28</v>
      </c>
    </row>
    <row r="918" spans="1:7">
      <c r="A918" t="s">
        <v>22</v>
      </c>
      <c r="B918" t="s">
        <v>179</v>
      </c>
      <c r="C918" s="32">
        <v>334.38</v>
      </c>
      <c r="D918" s="33">
        <v>23</v>
      </c>
      <c r="E918" t="s">
        <v>136</v>
      </c>
      <c r="F918" t="s">
        <v>90</v>
      </c>
      <c r="G918" s="33">
        <v>28</v>
      </c>
    </row>
    <row r="919" spans="1:7">
      <c r="A919" t="s">
        <v>22</v>
      </c>
      <c r="B919" t="s">
        <v>179</v>
      </c>
      <c r="C919" s="32">
        <v>334.53</v>
      </c>
      <c r="D919" s="33">
        <v>24</v>
      </c>
      <c r="E919" t="s">
        <v>137</v>
      </c>
      <c r="F919" t="s">
        <v>90</v>
      </c>
      <c r="G919" s="33">
        <v>28</v>
      </c>
    </row>
    <row r="920" spans="1:7">
      <c r="A920" t="s">
        <v>22</v>
      </c>
      <c r="B920" t="s">
        <v>179</v>
      </c>
      <c r="C920" s="32">
        <v>334.69</v>
      </c>
      <c r="D920" s="33">
        <v>25</v>
      </c>
      <c r="E920" t="s">
        <v>138</v>
      </c>
      <c r="F920" t="s">
        <v>96</v>
      </c>
      <c r="G920" s="33">
        <v>28</v>
      </c>
    </row>
    <row r="921" spans="1:7">
      <c r="A921" t="s">
        <v>22</v>
      </c>
      <c r="B921" t="s">
        <v>179</v>
      </c>
      <c r="C921" s="32">
        <v>334.84</v>
      </c>
      <c r="D921" s="33">
        <v>26</v>
      </c>
      <c r="E921" t="s">
        <v>140</v>
      </c>
      <c r="F921" t="s">
        <v>90</v>
      </c>
      <c r="G921" s="33">
        <v>28</v>
      </c>
    </row>
    <row r="922" spans="1:7">
      <c r="A922" t="s">
        <v>22</v>
      </c>
      <c r="B922" t="s">
        <v>179</v>
      </c>
      <c r="C922" s="32">
        <v>334.99</v>
      </c>
      <c r="D922" s="33">
        <v>27</v>
      </c>
      <c r="E922" t="s">
        <v>141</v>
      </c>
      <c r="F922" t="s">
        <v>93</v>
      </c>
      <c r="G922" s="33">
        <v>28</v>
      </c>
    </row>
    <row r="923" spans="1:7">
      <c r="A923" t="s">
        <v>22</v>
      </c>
      <c r="B923" t="s">
        <v>179</v>
      </c>
      <c r="C923" s="32">
        <v>335.15</v>
      </c>
      <c r="D923" s="33">
        <v>28</v>
      </c>
      <c r="E923" t="s">
        <v>142</v>
      </c>
      <c r="F923" t="s">
        <v>90</v>
      </c>
      <c r="G923" s="33">
        <v>28</v>
      </c>
    </row>
    <row r="924" spans="1:7">
      <c r="A924" t="s">
        <v>22</v>
      </c>
      <c r="B924" t="s">
        <v>179</v>
      </c>
      <c r="C924" s="32">
        <v>335.3</v>
      </c>
      <c r="D924" s="33">
        <v>29</v>
      </c>
      <c r="E924" t="s">
        <v>143</v>
      </c>
      <c r="F924" t="s">
        <v>90</v>
      </c>
      <c r="G924" s="33">
        <v>29</v>
      </c>
    </row>
    <row r="925" spans="1:7">
      <c r="A925" t="s">
        <v>22</v>
      </c>
      <c r="B925" t="s">
        <v>179</v>
      </c>
      <c r="C925" s="32">
        <v>335.45</v>
      </c>
      <c r="D925" s="33">
        <v>30</v>
      </c>
      <c r="E925" t="s">
        <v>144</v>
      </c>
      <c r="F925" t="s">
        <v>102</v>
      </c>
      <c r="G925" s="33">
        <v>28</v>
      </c>
    </row>
    <row r="926" spans="1:7">
      <c r="A926" t="s">
        <v>22</v>
      </c>
      <c r="B926" t="s">
        <v>179</v>
      </c>
      <c r="C926" s="32">
        <v>335.61</v>
      </c>
      <c r="D926" s="33">
        <v>31</v>
      </c>
      <c r="E926" t="s">
        <v>145</v>
      </c>
      <c r="F926" t="s">
        <v>93</v>
      </c>
      <c r="G926" s="33">
        <v>28</v>
      </c>
    </row>
    <row r="927" spans="1:7">
      <c r="A927" t="s">
        <v>22</v>
      </c>
      <c r="B927" t="s">
        <v>179</v>
      </c>
      <c r="C927" s="32">
        <v>335.76</v>
      </c>
      <c r="D927" s="33">
        <v>32</v>
      </c>
      <c r="E927" t="s">
        <v>146</v>
      </c>
      <c r="F927" t="s">
        <v>90</v>
      </c>
      <c r="G927" s="33">
        <v>28</v>
      </c>
    </row>
    <row r="928" spans="1:7">
      <c r="A928" t="s">
        <v>22</v>
      </c>
      <c r="B928" t="s">
        <v>179</v>
      </c>
      <c r="C928" s="32">
        <v>335.91</v>
      </c>
      <c r="D928" s="33">
        <v>33</v>
      </c>
      <c r="E928" t="s">
        <v>148</v>
      </c>
      <c r="F928" t="s">
        <v>96</v>
      </c>
      <c r="G928" s="33">
        <v>28</v>
      </c>
    </row>
    <row r="929" spans="1:7">
      <c r="A929" t="s">
        <v>22</v>
      </c>
      <c r="B929" t="s">
        <v>179</v>
      </c>
      <c r="C929" s="32">
        <v>336.07</v>
      </c>
      <c r="D929" s="33">
        <v>34</v>
      </c>
      <c r="E929" t="s">
        <v>149</v>
      </c>
      <c r="F929" t="s">
        <v>90</v>
      </c>
      <c r="G929" s="33">
        <v>28</v>
      </c>
    </row>
    <row r="930" spans="1:7">
      <c r="A930" t="s">
        <v>22</v>
      </c>
      <c r="B930" t="s">
        <v>179</v>
      </c>
      <c r="C930" s="32">
        <v>336.22</v>
      </c>
      <c r="D930" s="33">
        <v>35</v>
      </c>
      <c r="E930" t="s">
        <v>150</v>
      </c>
      <c r="F930" t="s">
        <v>90</v>
      </c>
      <c r="G930" s="33">
        <v>28</v>
      </c>
    </row>
    <row r="931" spans="1:7">
      <c r="A931" t="s">
        <v>22</v>
      </c>
      <c r="B931" t="s">
        <v>179</v>
      </c>
      <c r="C931" s="32">
        <v>336.38</v>
      </c>
      <c r="D931" s="33">
        <v>36</v>
      </c>
      <c r="E931" t="s">
        <v>151</v>
      </c>
      <c r="F931" t="s">
        <v>93</v>
      </c>
      <c r="G931" s="33">
        <v>28</v>
      </c>
    </row>
    <row r="932" spans="1:7">
      <c r="A932" t="s">
        <v>22</v>
      </c>
      <c r="B932" t="s">
        <v>179</v>
      </c>
      <c r="C932" s="32">
        <v>336.53</v>
      </c>
      <c r="D932" s="33">
        <v>37</v>
      </c>
      <c r="E932" t="s">
        <v>152</v>
      </c>
      <c r="F932" t="s">
        <v>90</v>
      </c>
      <c r="G932" s="33">
        <v>29</v>
      </c>
    </row>
    <row r="933" spans="1:7">
      <c r="A933" t="s">
        <v>22</v>
      </c>
      <c r="B933" t="s">
        <v>179</v>
      </c>
      <c r="C933" s="32">
        <v>336.68</v>
      </c>
      <c r="D933" s="33">
        <v>38</v>
      </c>
      <c r="E933" t="s">
        <v>153</v>
      </c>
      <c r="F933" t="s">
        <v>90</v>
      </c>
      <c r="G933" s="33">
        <v>28</v>
      </c>
    </row>
    <row r="934" spans="1:7">
      <c r="A934" t="s">
        <v>22</v>
      </c>
      <c r="B934" t="s">
        <v>179</v>
      </c>
      <c r="C934" s="32">
        <v>336.84</v>
      </c>
      <c r="D934" s="33">
        <v>39</v>
      </c>
      <c r="E934" t="s">
        <v>120</v>
      </c>
      <c r="F934" t="s">
        <v>93</v>
      </c>
      <c r="G934" s="33">
        <v>28</v>
      </c>
    </row>
    <row r="935" spans="1:7">
      <c r="A935" t="s">
        <v>22</v>
      </c>
      <c r="B935" t="s">
        <v>179</v>
      </c>
      <c r="C935" s="32">
        <v>336.99</v>
      </c>
      <c r="D935" s="33">
        <v>40</v>
      </c>
      <c r="E935" t="s">
        <v>115</v>
      </c>
      <c r="F935" t="s">
        <v>90</v>
      </c>
      <c r="G935" s="33">
        <v>28</v>
      </c>
    </row>
    <row r="936" spans="1:7">
      <c r="A936" t="s">
        <v>22</v>
      </c>
      <c r="B936" t="s">
        <v>179</v>
      </c>
      <c r="C936" s="32">
        <v>337.14</v>
      </c>
      <c r="D936" s="33">
        <v>41</v>
      </c>
      <c r="E936" t="s">
        <v>116</v>
      </c>
      <c r="F936" t="s">
        <v>90</v>
      </c>
      <c r="G936" s="33">
        <v>28</v>
      </c>
    </row>
    <row r="937" spans="1:7">
      <c r="A937" t="s">
        <v>22</v>
      </c>
      <c r="B937" t="s">
        <v>179</v>
      </c>
      <c r="C937" s="32">
        <v>337.3</v>
      </c>
      <c r="D937" s="33">
        <v>42</v>
      </c>
      <c r="E937" t="s">
        <v>117</v>
      </c>
      <c r="F937" t="s">
        <v>96</v>
      </c>
      <c r="G937" s="33">
        <v>28</v>
      </c>
    </row>
    <row r="938" spans="1:7">
      <c r="A938" t="s">
        <v>22</v>
      </c>
      <c r="B938" t="s">
        <v>179</v>
      </c>
      <c r="C938" s="32">
        <v>337.45</v>
      </c>
      <c r="D938" s="33">
        <v>43</v>
      </c>
      <c r="E938" t="s">
        <v>118</v>
      </c>
      <c r="F938" t="s">
        <v>90</v>
      </c>
      <c r="G938" s="33">
        <v>28</v>
      </c>
    </row>
    <row r="939" spans="1:7">
      <c r="A939" t="s">
        <v>22</v>
      </c>
      <c r="B939" t="s">
        <v>179</v>
      </c>
      <c r="C939" s="32">
        <v>337.6</v>
      </c>
      <c r="D939" s="33">
        <v>44</v>
      </c>
      <c r="E939" t="s">
        <v>122</v>
      </c>
      <c r="F939" t="s">
        <v>93</v>
      </c>
      <c r="G939" s="33">
        <v>28</v>
      </c>
    </row>
    <row r="940" spans="1:7">
      <c r="A940" t="s">
        <v>22</v>
      </c>
      <c r="B940" t="s">
        <v>179</v>
      </c>
      <c r="C940" s="32">
        <v>337.76</v>
      </c>
      <c r="D940" s="33">
        <v>45</v>
      </c>
      <c r="E940" t="s">
        <v>124</v>
      </c>
      <c r="F940" t="s">
        <v>90</v>
      </c>
      <c r="G940" s="33">
        <v>29</v>
      </c>
    </row>
    <row r="941" spans="1:7">
      <c r="A941" t="s">
        <v>22</v>
      </c>
      <c r="B941" t="s">
        <v>179</v>
      </c>
      <c r="C941" s="32">
        <v>337.91</v>
      </c>
      <c r="D941" s="33">
        <v>46</v>
      </c>
      <c r="E941" t="s">
        <v>125</v>
      </c>
      <c r="F941" t="s">
        <v>102</v>
      </c>
      <c r="G941" s="33">
        <v>28</v>
      </c>
    </row>
    <row r="942" spans="1:7">
      <c r="A942" t="s">
        <v>22</v>
      </c>
      <c r="B942" t="s">
        <v>179</v>
      </c>
      <c r="C942" s="32">
        <v>338.06</v>
      </c>
      <c r="D942" s="33">
        <v>47</v>
      </c>
      <c r="E942" t="s">
        <v>127</v>
      </c>
      <c r="F942" t="s">
        <v>93</v>
      </c>
      <c r="G942" s="33">
        <v>28</v>
      </c>
    </row>
    <row r="943" spans="1:7">
      <c r="A943" t="s">
        <v>22</v>
      </c>
      <c r="B943" t="s">
        <v>179</v>
      </c>
      <c r="C943" s="32">
        <v>338.22</v>
      </c>
      <c r="D943" s="33">
        <v>48</v>
      </c>
      <c r="E943" t="s">
        <v>128</v>
      </c>
      <c r="F943" t="s">
        <v>90</v>
      </c>
      <c r="G943" s="33">
        <v>28</v>
      </c>
    </row>
    <row r="944" spans="1:7">
      <c r="A944" t="s">
        <v>22</v>
      </c>
      <c r="B944" t="s">
        <v>179</v>
      </c>
      <c r="C944" s="32">
        <v>338.37</v>
      </c>
      <c r="D944" s="33">
        <v>49</v>
      </c>
      <c r="E944" t="s">
        <v>129</v>
      </c>
      <c r="F944" t="s">
        <v>90</v>
      </c>
      <c r="G944" s="33">
        <v>28</v>
      </c>
    </row>
    <row r="945" spans="1:7">
      <c r="A945" t="s">
        <v>22</v>
      </c>
      <c r="B945" t="s">
        <v>179</v>
      </c>
      <c r="C945" s="32">
        <v>338.53</v>
      </c>
      <c r="D945" s="33">
        <v>50</v>
      </c>
      <c r="E945" t="s">
        <v>130</v>
      </c>
      <c r="F945" t="s">
        <v>90</v>
      </c>
      <c r="G945" s="33">
        <v>28</v>
      </c>
    </row>
    <row r="946" spans="1:7">
      <c r="A946" t="s">
        <v>22</v>
      </c>
      <c r="B946" t="s">
        <v>179</v>
      </c>
      <c r="C946" s="32">
        <v>338.68</v>
      </c>
      <c r="D946" s="33">
        <v>51</v>
      </c>
      <c r="E946" t="s">
        <v>131</v>
      </c>
      <c r="F946" t="s">
        <v>93</v>
      </c>
      <c r="G946" s="33">
        <v>28</v>
      </c>
    </row>
    <row r="947" spans="1:7">
      <c r="A947" t="s">
        <v>22</v>
      </c>
      <c r="B947" t="s">
        <v>179</v>
      </c>
      <c r="C947" s="32">
        <v>338.83</v>
      </c>
      <c r="D947" s="33">
        <v>52</v>
      </c>
      <c r="E947" t="s">
        <v>133</v>
      </c>
      <c r="F947" t="s">
        <v>90</v>
      </c>
      <c r="G947" s="33">
        <v>28</v>
      </c>
    </row>
    <row r="948" spans="1:7">
      <c r="A948" t="s">
        <v>22</v>
      </c>
      <c r="B948" t="s">
        <v>179</v>
      </c>
      <c r="C948" s="32">
        <v>338.99</v>
      </c>
      <c r="D948" s="33">
        <v>53</v>
      </c>
      <c r="E948" t="s">
        <v>134</v>
      </c>
      <c r="F948" t="s">
        <v>96</v>
      </c>
      <c r="G948" s="33">
        <v>29</v>
      </c>
    </row>
    <row r="949" spans="1:7">
      <c r="A949" t="s">
        <v>22</v>
      </c>
      <c r="B949" t="s">
        <v>179</v>
      </c>
      <c r="C949" s="32">
        <v>339.14</v>
      </c>
      <c r="D949" s="33">
        <v>54</v>
      </c>
      <c r="E949" t="s">
        <v>135</v>
      </c>
      <c r="F949" t="s">
        <v>90</v>
      </c>
      <c r="G949" s="33">
        <v>28</v>
      </c>
    </row>
    <row r="950" spans="1:7">
      <c r="A950" t="s">
        <v>22</v>
      </c>
      <c r="B950" t="s">
        <v>179</v>
      </c>
      <c r="C950" s="32">
        <v>339.29</v>
      </c>
      <c r="D950" s="33">
        <v>55</v>
      </c>
      <c r="E950" t="s">
        <v>136</v>
      </c>
      <c r="F950" t="s">
        <v>90</v>
      </c>
      <c r="G950" s="33">
        <v>28</v>
      </c>
    </row>
    <row r="951" spans="1:7">
      <c r="A951" t="s">
        <v>22</v>
      </c>
      <c r="B951" t="s">
        <v>179</v>
      </c>
      <c r="C951" s="32">
        <v>339.45</v>
      </c>
      <c r="D951" s="33">
        <v>56</v>
      </c>
      <c r="E951" t="s">
        <v>137</v>
      </c>
      <c r="F951" t="s">
        <v>93</v>
      </c>
      <c r="G951" s="33">
        <v>28</v>
      </c>
    </row>
    <row r="952" spans="1:7">
      <c r="A952" t="s">
        <v>22</v>
      </c>
      <c r="B952" t="s">
        <v>179</v>
      </c>
      <c r="C952" s="32">
        <v>339.6</v>
      </c>
      <c r="D952" s="33">
        <v>57</v>
      </c>
      <c r="E952" t="s">
        <v>138</v>
      </c>
      <c r="F952" t="s">
        <v>90</v>
      </c>
      <c r="G952" s="33">
        <v>28</v>
      </c>
    </row>
    <row r="953" spans="1:7">
      <c r="A953" t="s">
        <v>22</v>
      </c>
      <c r="B953" t="s">
        <v>180</v>
      </c>
      <c r="C953" s="32">
        <v>341</v>
      </c>
      <c r="D953" s="33">
        <v>1</v>
      </c>
      <c r="E953" t="s">
        <v>134</v>
      </c>
      <c r="F953" t="s">
        <v>90</v>
      </c>
      <c r="G953" s="33">
        <v>29</v>
      </c>
    </row>
    <row r="954" spans="1:7">
      <c r="A954" t="s">
        <v>22</v>
      </c>
      <c r="B954" t="s">
        <v>180</v>
      </c>
      <c r="C954" s="32">
        <v>341.15</v>
      </c>
      <c r="D954" s="33">
        <v>2</v>
      </c>
      <c r="E954" t="s">
        <v>135</v>
      </c>
      <c r="F954" t="s">
        <v>93</v>
      </c>
      <c r="G954" s="33">
        <v>29</v>
      </c>
    </row>
    <row r="955" spans="1:7">
      <c r="A955" t="s">
        <v>22</v>
      </c>
      <c r="B955" t="s">
        <v>180</v>
      </c>
      <c r="C955" s="32">
        <v>341.3</v>
      </c>
      <c r="D955" s="33">
        <v>3</v>
      </c>
      <c r="E955" t="s">
        <v>136</v>
      </c>
      <c r="F955" t="s">
        <v>90</v>
      </c>
      <c r="G955" s="33">
        <v>29</v>
      </c>
    </row>
    <row r="956" spans="1:7">
      <c r="A956" t="s">
        <v>22</v>
      </c>
      <c r="B956" t="s">
        <v>180</v>
      </c>
      <c r="C956" s="32">
        <v>341.44</v>
      </c>
      <c r="D956" s="33">
        <v>4</v>
      </c>
      <c r="E956" t="s">
        <v>137</v>
      </c>
      <c r="F956" t="s">
        <v>90</v>
      </c>
      <c r="G956" s="33">
        <v>30</v>
      </c>
    </row>
    <row r="957" spans="1:7">
      <c r="A957" t="s">
        <v>22</v>
      </c>
      <c r="B957" t="s">
        <v>180</v>
      </c>
      <c r="C957" s="32">
        <v>341.59</v>
      </c>
      <c r="D957" s="33">
        <v>5</v>
      </c>
      <c r="E957" t="s">
        <v>138</v>
      </c>
      <c r="F957" t="s">
        <v>96</v>
      </c>
      <c r="G957" s="33">
        <v>29</v>
      </c>
    </row>
    <row r="958" spans="1:7">
      <c r="A958" t="s">
        <v>22</v>
      </c>
      <c r="B958" t="s">
        <v>180</v>
      </c>
      <c r="C958" s="32">
        <v>341.74</v>
      </c>
      <c r="D958" s="33">
        <v>6</v>
      </c>
      <c r="E958" t="s">
        <v>140</v>
      </c>
      <c r="F958" t="s">
        <v>90</v>
      </c>
      <c r="G958" s="33">
        <v>29</v>
      </c>
    </row>
    <row r="959" spans="1:7">
      <c r="A959" t="s">
        <v>22</v>
      </c>
      <c r="B959" t="s">
        <v>180</v>
      </c>
      <c r="C959" s="32">
        <v>341.89</v>
      </c>
      <c r="D959" s="33">
        <v>7</v>
      </c>
      <c r="E959" t="s">
        <v>141</v>
      </c>
      <c r="F959" t="s">
        <v>93</v>
      </c>
      <c r="G959" s="33">
        <v>29</v>
      </c>
    </row>
    <row r="960" spans="1:7">
      <c r="A960" t="s">
        <v>22</v>
      </c>
      <c r="B960" t="s">
        <v>180</v>
      </c>
      <c r="C960" s="32">
        <v>342.04</v>
      </c>
      <c r="D960" s="33">
        <v>8</v>
      </c>
      <c r="E960" t="s">
        <v>142</v>
      </c>
      <c r="F960" t="s">
        <v>90</v>
      </c>
      <c r="G960" s="33">
        <v>29</v>
      </c>
    </row>
    <row r="961" spans="1:7">
      <c r="A961" t="s">
        <v>22</v>
      </c>
      <c r="B961" t="s">
        <v>180</v>
      </c>
      <c r="C961" s="32">
        <v>342.19</v>
      </c>
      <c r="D961" s="33">
        <v>9</v>
      </c>
      <c r="E961" t="s">
        <v>143</v>
      </c>
      <c r="F961" t="s">
        <v>90</v>
      </c>
      <c r="G961" s="33">
        <v>29</v>
      </c>
    </row>
    <row r="962" spans="1:7">
      <c r="A962" t="s">
        <v>22</v>
      </c>
      <c r="B962" t="s">
        <v>180</v>
      </c>
      <c r="C962" s="32">
        <v>342.33</v>
      </c>
      <c r="D962" s="33">
        <v>10</v>
      </c>
      <c r="E962" t="s">
        <v>144</v>
      </c>
      <c r="F962" t="s">
        <v>93</v>
      </c>
      <c r="G962" s="33">
        <v>30</v>
      </c>
    </row>
    <row r="963" spans="1:7">
      <c r="A963" t="s">
        <v>22</v>
      </c>
      <c r="B963" t="s">
        <v>180</v>
      </c>
      <c r="C963" s="32">
        <v>342.48</v>
      </c>
      <c r="D963" s="33">
        <v>11</v>
      </c>
      <c r="E963" t="s">
        <v>145</v>
      </c>
      <c r="F963" t="s">
        <v>90</v>
      </c>
      <c r="G963" s="33">
        <v>29</v>
      </c>
    </row>
    <row r="964" spans="1:7">
      <c r="A964" t="s">
        <v>22</v>
      </c>
      <c r="B964" t="s">
        <v>180</v>
      </c>
      <c r="C964" s="32">
        <v>342.63</v>
      </c>
      <c r="D964" s="33">
        <v>12</v>
      </c>
      <c r="E964" t="s">
        <v>146</v>
      </c>
      <c r="F964" t="s">
        <v>90</v>
      </c>
      <c r="G964" s="33">
        <v>29</v>
      </c>
    </row>
    <row r="965" spans="1:7">
      <c r="A965" t="s">
        <v>22</v>
      </c>
      <c r="B965" t="s">
        <v>180</v>
      </c>
      <c r="C965" s="32">
        <v>342.78</v>
      </c>
      <c r="D965" s="33">
        <v>13</v>
      </c>
      <c r="E965" t="s">
        <v>148</v>
      </c>
      <c r="F965" t="s">
        <v>90</v>
      </c>
      <c r="G965" s="33">
        <v>29</v>
      </c>
    </row>
    <row r="966" spans="1:7">
      <c r="A966" t="s">
        <v>22</v>
      </c>
      <c r="B966" t="s">
        <v>180</v>
      </c>
      <c r="C966" s="32">
        <v>342.93</v>
      </c>
      <c r="D966" s="33">
        <v>14</v>
      </c>
      <c r="E966" t="s">
        <v>149</v>
      </c>
      <c r="F966" t="s">
        <v>93</v>
      </c>
      <c r="G966" s="33">
        <v>29</v>
      </c>
    </row>
    <row r="967" spans="1:7">
      <c r="A967" t="s">
        <v>22</v>
      </c>
      <c r="B967" t="s">
        <v>180</v>
      </c>
      <c r="C967" s="32">
        <v>343.08</v>
      </c>
      <c r="D967" s="33">
        <v>15</v>
      </c>
      <c r="E967" t="s">
        <v>150</v>
      </c>
      <c r="F967" t="s">
        <v>102</v>
      </c>
      <c r="G967" s="33">
        <v>29</v>
      </c>
    </row>
    <row r="968" spans="1:7">
      <c r="A968" t="s">
        <v>22</v>
      </c>
      <c r="B968" t="s">
        <v>180</v>
      </c>
      <c r="C968" s="32">
        <v>343.22</v>
      </c>
      <c r="D968" s="33">
        <v>16</v>
      </c>
      <c r="E968" t="s">
        <v>151</v>
      </c>
      <c r="F968" t="s">
        <v>96</v>
      </c>
      <c r="G968" s="33">
        <v>29</v>
      </c>
    </row>
    <row r="969" spans="1:7">
      <c r="A969" t="s">
        <v>22</v>
      </c>
      <c r="B969" t="s">
        <v>180</v>
      </c>
      <c r="C969" s="32">
        <v>343.37</v>
      </c>
      <c r="D969" s="33">
        <v>17</v>
      </c>
      <c r="E969" t="s">
        <v>152</v>
      </c>
      <c r="F969" t="s">
        <v>90</v>
      </c>
      <c r="G969" s="33">
        <v>30</v>
      </c>
    </row>
    <row r="970" spans="1:7">
      <c r="A970" t="s">
        <v>22</v>
      </c>
      <c r="B970" t="s">
        <v>180</v>
      </c>
      <c r="C970" s="32">
        <v>343.52</v>
      </c>
      <c r="D970" s="33">
        <v>18</v>
      </c>
      <c r="E970" t="s">
        <v>153</v>
      </c>
      <c r="F970" t="s">
        <v>90</v>
      </c>
      <c r="G970" s="33">
        <v>29</v>
      </c>
    </row>
    <row r="971" spans="1:7">
      <c r="A971" t="s">
        <v>22</v>
      </c>
      <c r="B971" t="s">
        <v>180</v>
      </c>
      <c r="C971" s="32">
        <v>343.67</v>
      </c>
      <c r="D971" s="33">
        <v>19</v>
      </c>
      <c r="E971" t="s">
        <v>120</v>
      </c>
      <c r="F971" t="s">
        <v>93</v>
      </c>
      <c r="G971" s="33">
        <v>29</v>
      </c>
    </row>
    <row r="972" spans="1:7">
      <c r="A972" t="s">
        <v>22</v>
      </c>
      <c r="B972" t="s">
        <v>180</v>
      </c>
      <c r="C972" s="32">
        <v>343.82</v>
      </c>
      <c r="D972" s="33">
        <v>20</v>
      </c>
      <c r="E972" t="s">
        <v>115</v>
      </c>
      <c r="F972" t="s">
        <v>90</v>
      </c>
      <c r="G972" s="33">
        <v>29</v>
      </c>
    </row>
    <row r="973" spans="1:7">
      <c r="A973" t="s">
        <v>22</v>
      </c>
      <c r="B973" t="s">
        <v>180</v>
      </c>
      <c r="C973" s="32">
        <v>343.97</v>
      </c>
      <c r="D973" s="33">
        <v>21</v>
      </c>
      <c r="E973" t="s">
        <v>116</v>
      </c>
      <c r="F973" t="s">
        <v>90</v>
      </c>
      <c r="G973" s="33">
        <v>29</v>
      </c>
    </row>
    <row r="974" spans="1:7">
      <c r="A974" t="s">
        <v>22</v>
      </c>
      <c r="B974" t="s">
        <v>180</v>
      </c>
      <c r="C974" s="32">
        <v>344.11</v>
      </c>
      <c r="D974" s="33">
        <v>22</v>
      </c>
      <c r="E974" t="s">
        <v>117</v>
      </c>
      <c r="F974" t="s">
        <v>93</v>
      </c>
      <c r="G974" s="33">
        <v>29</v>
      </c>
    </row>
    <row r="975" spans="1:7">
      <c r="A975" t="s">
        <v>22</v>
      </c>
      <c r="B975" t="s">
        <v>180</v>
      </c>
      <c r="C975" s="32">
        <v>344.26</v>
      </c>
      <c r="D975" s="33">
        <v>23</v>
      </c>
      <c r="E975" t="s">
        <v>118</v>
      </c>
      <c r="F975" t="s">
        <v>90</v>
      </c>
      <c r="G975" s="33">
        <v>30</v>
      </c>
    </row>
    <row r="976" spans="1:7">
      <c r="A976" t="s">
        <v>22</v>
      </c>
      <c r="B976" t="s">
        <v>180</v>
      </c>
      <c r="C976" s="32">
        <v>344.41</v>
      </c>
      <c r="D976" s="33">
        <v>24</v>
      </c>
      <c r="E976" t="s">
        <v>122</v>
      </c>
      <c r="F976" t="s">
        <v>90</v>
      </c>
      <c r="G976" s="33">
        <v>29</v>
      </c>
    </row>
    <row r="977" spans="1:7">
      <c r="A977" t="s">
        <v>22</v>
      </c>
      <c r="B977" t="s">
        <v>180</v>
      </c>
      <c r="C977" s="32">
        <v>344.56</v>
      </c>
      <c r="D977" s="33">
        <v>25</v>
      </c>
      <c r="E977" t="s">
        <v>124</v>
      </c>
      <c r="F977" t="s">
        <v>96</v>
      </c>
      <c r="G977" s="33">
        <v>29</v>
      </c>
    </row>
    <row r="978" spans="1:7">
      <c r="A978" t="s">
        <v>22</v>
      </c>
      <c r="B978" t="s">
        <v>180</v>
      </c>
      <c r="C978" s="32">
        <v>344.71</v>
      </c>
      <c r="D978" s="33">
        <v>26</v>
      </c>
      <c r="E978" t="s">
        <v>125</v>
      </c>
      <c r="F978" t="s">
        <v>90</v>
      </c>
      <c r="G978" s="33">
        <v>29</v>
      </c>
    </row>
    <row r="979" spans="1:7">
      <c r="A979" t="s">
        <v>22</v>
      </c>
      <c r="B979" t="s">
        <v>180</v>
      </c>
      <c r="C979" s="32">
        <v>344.86</v>
      </c>
      <c r="D979" s="33">
        <v>27</v>
      </c>
      <c r="E979" t="s">
        <v>127</v>
      </c>
      <c r="F979" t="s">
        <v>93</v>
      </c>
      <c r="G979" s="33">
        <v>29</v>
      </c>
    </row>
    <row r="980" spans="1:7">
      <c r="A980" t="s">
        <v>22</v>
      </c>
      <c r="B980" t="s">
        <v>180</v>
      </c>
      <c r="C980" s="32">
        <v>345</v>
      </c>
      <c r="D980" s="33">
        <v>28</v>
      </c>
      <c r="E980" t="s">
        <v>128</v>
      </c>
      <c r="F980" t="s">
        <v>90</v>
      </c>
      <c r="G980" s="33">
        <v>29</v>
      </c>
    </row>
    <row r="981" spans="1:7">
      <c r="A981" t="s">
        <v>22</v>
      </c>
      <c r="B981" t="s">
        <v>180</v>
      </c>
      <c r="C981" s="32">
        <v>345.15</v>
      </c>
      <c r="D981" s="33">
        <v>29</v>
      </c>
      <c r="E981" t="s">
        <v>129</v>
      </c>
      <c r="F981" t="s">
        <v>90</v>
      </c>
      <c r="G981" s="33">
        <v>29</v>
      </c>
    </row>
    <row r="982" spans="1:7">
      <c r="A982" t="s">
        <v>22</v>
      </c>
      <c r="B982" t="s">
        <v>180</v>
      </c>
      <c r="C982" s="32">
        <v>345.3</v>
      </c>
      <c r="D982" s="33">
        <v>30</v>
      </c>
      <c r="E982" t="s">
        <v>130</v>
      </c>
      <c r="F982" t="s">
        <v>93</v>
      </c>
      <c r="G982" s="33">
        <v>30</v>
      </c>
    </row>
    <row r="983" spans="1:7">
      <c r="A983" t="s">
        <v>22</v>
      </c>
      <c r="B983" t="s">
        <v>180</v>
      </c>
      <c r="C983" s="32">
        <v>345.45</v>
      </c>
      <c r="D983" s="33">
        <v>31</v>
      </c>
      <c r="E983" t="s">
        <v>131</v>
      </c>
      <c r="F983" t="s">
        <v>102</v>
      </c>
      <c r="G983" s="33">
        <v>29</v>
      </c>
    </row>
    <row r="984" spans="1:7">
      <c r="A984" t="s">
        <v>22</v>
      </c>
      <c r="B984" t="s">
        <v>180</v>
      </c>
      <c r="C984" s="32">
        <v>345.6</v>
      </c>
      <c r="D984" s="33">
        <v>32</v>
      </c>
      <c r="E984" t="s">
        <v>133</v>
      </c>
      <c r="F984" t="s">
        <v>90</v>
      </c>
      <c r="G984" s="33">
        <v>29</v>
      </c>
    </row>
    <row r="985" spans="1:7">
      <c r="A985" t="s">
        <v>22</v>
      </c>
      <c r="B985" t="s">
        <v>180</v>
      </c>
      <c r="C985" s="32">
        <v>345.74</v>
      </c>
      <c r="D985" s="33">
        <v>33</v>
      </c>
      <c r="E985" t="s">
        <v>134</v>
      </c>
      <c r="F985" t="s">
        <v>93</v>
      </c>
      <c r="G985" s="33">
        <v>29</v>
      </c>
    </row>
    <row r="986" spans="1:7">
      <c r="A986" t="s">
        <v>22</v>
      </c>
      <c r="B986" t="s">
        <v>180</v>
      </c>
      <c r="C986" s="32">
        <v>345.89</v>
      </c>
      <c r="D986" s="33">
        <v>34</v>
      </c>
      <c r="E986" t="s">
        <v>135</v>
      </c>
      <c r="F986" t="s">
        <v>90</v>
      </c>
      <c r="G986" s="33">
        <v>29</v>
      </c>
    </row>
    <row r="987" spans="1:7">
      <c r="A987" t="s">
        <v>22</v>
      </c>
      <c r="B987" t="s">
        <v>180</v>
      </c>
      <c r="C987" s="32">
        <v>346.04</v>
      </c>
      <c r="D987" s="33">
        <v>35</v>
      </c>
      <c r="E987" t="s">
        <v>136</v>
      </c>
      <c r="F987" t="s">
        <v>96</v>
      </c>
      <c r="G987" s="33">
        <v>29</v>
      </c>
    </row>
    <row r="988" spans="1:7">
      <c r="A988" t="s">
        <v>22</v>
      </c>
      <c r="B988" t="s">
        <v>180</v>
      </c>
      <c r="C988" s="32">
        <v>346.19</v>
      </c>
      <c r="D988" s="33">
        <v>36</v>
      </c>
      <c r="E988" t="s">
        <v>137</v>
      </c>
      <c r="F988" t="s">
        <v>90</v>
      </c>
      <c r="G988" s="33">
        <v>29</v>
      </c>
    </row>
    <row r="989" spans="1:7">
      <c r="A989" t="s">
        <v>22</v>
      </c>
      <c r="B989" t="s">
        <v>180</v>
      </c>
      <c r="C989" s="32">
        <v>346.34</v>
      </c>
      <c r="D989" s="33">
        <v>37</v>
      </c>
      <c r="E989" t="s">
        <v>138</v>
      </c>
      <c r="F989" t="s">
        <v>90</v>
      </c>
      <c r="G989" s="33">
        <v>30</v>
      </c>
    </row>
    <row r="990" spans="1:7">
      <c r="A990" t="s">
        <v>22</v>
      </c>
      <c r="B990" t="s">
        <v>180</v>
      </c>
      <c r="C990" s="32">
        <v>346.49</v>
      </c>
      <c r="D990" s="33">
        <v>38</v>
      </c>
      <c r="E990" t="s">
        <v>140</v>
      </c>
      <c r="F990" t="s">
        <v>93</v>
      </c>
      <c r="G990" s="33">
        <v>29</v>
      </c>
    </row>
    <row r="991" spans="1:7">
      <c r="A991" t="s">
        <v>22</v>
      </c>
      <c r="B991" t="s">
        <v>180</v>
      </c>
      <c r="C991" s="32">
        <v>346.63</v>
      </c>
      <c r="D991" s="33">
        <v>39</v>
      </c>
      <c r="E991" t="s">
        <v>141</v>
      </c>
      <c r="F991" t="s">
        <v>90</v>
      </c>
      <c r="G991" s="33">
        <v>29</v>
      </c>
    </row>
    <row r="992" spans="1:7">
      <c r="A992" t="s">
        <v>22</v>
      </c>
      <c r="B992" t="s">
        <v>180</v>
      </c>
      <c r="C992" s="32">
        <v>346.78</v>
      </c>
      <c r="D992" s="33">
        <v>40</v>
      </c>
      <c r="E992" t="s">
        <v>142</v>
      </c>
      <c r="F992" t="s">
        <v>90</v>
      </c>
      <c r="G992" s="33">
        <v>29</v>
      </c>
    </row>
    <row r="993" spans="1:7">
      <c r="A993" t="s">
        <v>22</v>
      </c>
      <c r="B993" t="s">
        <v>180</v>
      </c>
      <c r="C993" s="32">
        <v>346.93</v>
      </c>
      <c r="D993" s="33">
        <v>41</v>
      </c>
      <c r="E993" t="s">
        <v>143</v>
      </c>
      <c r="F993" t="s">
        <v>93</v>
      </c>
      <c r="G993" s="33">
        <v>29</v>
      </c>
    </row>
    <row r="994" spans="1:7">
      <c r="A994" t="s">
        <v>22</v>
      </c>
      <c r="B994" t="s">
        <v>180</v>
      </c>
      <c r="C994" s="32">
        <v>347.08</v>
      </c>
      <c r="D994" s="33">
        <v>42</v>
      </c>
      <c r="E994" t="s">
        <v>144</v>
      </c>
      <c r="F994" t="s">
        <v>90</v>
      </c>
      <c r="G994" s="33">
        <v>29</v>
      </c>
    </row>
    <row r="995" spans="1:7">
      <c r="A995" t="s">
        <v>22</v>
      </c>
      <c r="B995" t="s">
        <v>180</v>
      </c>
      <c r="C995" s="32">
        <v>347.23</v>
      </c>
      <c r="D995" s="33">
        <v>43</v>
      </c>
      <c r="E995" t="s">
        <v>145</v>
      </c>
      <c r="F995" t="s">
        <v>90</v>
      </c>
      <c r="G995" s="33">
        <v>30</v>
      </c>
    </row>
    <row r="996" spans="1:7">
      <c r="A996" t="s">
        <v>22</v>
      </c>
      <c r="B996" t="s">
        <v>180</v>
      </c>
      <c r="C996" s="32">
        <v>347.38</v>
      </c>
      <c r="D996" s="33">
        <v>44</v>
      </c>
      <c r="E996" t="s">
        <v>146</v>
      </c>
      <c r="F996" t="s">
        <v>96</v>
      </c>
      <c r="G996" s="33">
        <v>29</v>
      </c>
    </row>
    <row r="997" spans="1:7">
      <c r="A997" t="s">
        <v>22</v>
      </c>
      <c r="B997" t="s">
        <v>180</v>
      </c>
      <c r="C997" s="32">
        <v>347.52</v>
      </c>
      <c r="D997" s="33">
        <v>45</v>
      </c>
      <c r="E997" t="s">
        <v>148</v>
      </c>
      <c r="F997" t="s">
        <v>90</v>
      </c>
      <c r="G997" s="33">
        <v>29</v>
      </c>
    </row>
    <row r="998" spans="1:7">
      <c r="A998" t="s">
        <v>22</v>
      </c>
      <c r="B998" t="s">
        <v>180</v>
      </c>
      <c r="C998" s="32">
        <v>347.67</v>
      </c>
      <c r="D998" s="33">
        <v>46</v>
      </c>
      <c r="E998" t="s">
        <v>149</v>
      </c>
      <c r="F998" t="s">
        <v>93</v>
      </c>
      <c r="G998" s="33">
        <v>29</v>
      </c>
    </row>
    <row r="999" spans="1:7">
      <c r="A999" t="s">
        <v>22</v>
      </c>
      <c r="B999" t="s">
        <v>180</v>
      </c>
      <c r="C999" s="32">
        <v>347.82</v>
      </c>
      <c r="D999" s="33">
        <v>47</v>
      </c>
      <c r="E999" t="s">
        <v>150</v>
      </c>
      <c r="F999" t="s">
        <v>102</v>
      </c>
      <c r="G999" s="33">
        <v>29</v>
      </c>
    </row>
    <row r="1000" spans="1:7">
      <c r="A1000" t="s">
        <v>22</v>
      </c>
      <c r="B1000" t="s">
        <v>180</v>
      </c>
      <c r="C1000" s="32">
        <v>347.97</v>
      </c>
      <c r="D1000" s="33">
        <v>48</v>
      </c>
      <c r="E1000" t="s">
        <v>151</v>
      </c>
      <c r="F1000" t="s">
        <v>90</v>
      </c>
      <c r="G1000" s="33">
        <v>29</v>
      </c>
    </row>
    <row r="1001" spans="1:7">
      <c r="A1001" t="s">
        <v>22</v>
      </c>
      <c r="B1001" t="s">
        <v>180</v>
      </c>
      <c r="C1001" s="32">
        <v>348.12</v>
      </c>
      <c r="D1001" s="33">
        <v>49</v>
      </c>
      <c r="E1001" t="s">
        <v>152</v>
      </c>
      <c r="F1001" t="s">
        <v>90</v>
      </c>
      <c r="G1001" s="33">
        <v>29</v>
      </c>
    </row>
    <row r="1002" spans="1:7">
      <c r="A1002" t="s">
        <v>22</v>
      </c>
      <c r="B1002" t="s">
        <v>180</v>
      </c>
      <c r="C1002" s="32">
        <v>348.27</v>
      </c>
      <c r="D1002" s="33">
        <v>50</v>
      </c>
      <c r="E1002" t="s">
        <v>153</v>
      </c>
      <c r="F1002" t="s">
        <v>93</v>
      </c>
      <c r="G1002" s="33">
        <v>30</v>
      </c>
    </row>
    <row r="1003" spans="1:7">
      <c r="A1003" t="s">
        <v>22</v>
      </c>
      <c r="B1003" t="s">
        <v>180</v>
      </c>
      <c r="C1003" s="32">
        <v>348.41</v>
      </c>
      <c r="D1003" s="33">
        <v>51</v>
      </c>
      <c r="E1003" t="s">
        <v>120</v>
      </c>
      <c r="F1003" t="s">
        <v>90</v>
      </c>
      <c r="G1003" s="33">
        <v>29</v>
      </c>
    </row>
    <row r="1004" spans="1:7">
      <c r="A1004" t="s">
        <v>22</v>
      </c>
      <c r="B1004" t="s">
        <v>180</v>
      </c>
      <c r="C1004" s="32">
        <v>348.56</v>
      </c>
      <c r="D1004" s="33">
        <v>52</v>
      </c>
      <c r="E1004" t="s">
        <v>115</v>
      </c>
      <c r="F1004" t="s">
        <v>90</v>
      </c>
      <c r="G1004" s="33">
        <v>29</v>
      </c>
    </row>
    <row r="1005" spans="1:7">
      <c r="A1005" t="s">
        <v>22</v>
      </c>
      <c r="B1005" t="s">
        <v>180</v>
      </c>
      <c r="C1005" s="32">
        <v>348.71</v>
      </c>
      <c r="D1005" s="33">
        <v>53</v>
      </c>
      <c r="E1005" t="s">
        <v>116</v>
      </c>
      <c r="F1005" t="s">
        <v>93</v>
      </c>
      <c r="G1005" s="33">
        <v>29</v>
      </c>
    </row>
    <row r="1006" spans="1:7">
      <c r="A1006" t="s">
        <v>22</v>
      </c>
      <c r="B1006" t="s">
        <v>180</v>
      </c>
      <c r="C1006" s="32">
        <v>348.86</v>
      </c>
      <c r="D1006" s="33">
        <v>54</v>
      </c>
      <c r="E1006" t="s">
        <v>117</v>
      </c>
      <c r="F1006" t="s">
        <v>90</v>
      </c>
      <c r="G1006" s="33">
        <v>29</v>
      </c>
    </row>
    <row r="1007" spans="1:7">
      <c r="A1007" t="s">
        <v>22</v>
      </c>
      <c r="B1007" t="s">
        <v>180</v>
      </c>
      <c r="C1007" s="32">
        <v>349.01</v>
      </c>
      <c r="D1007" s="33">
        <v>55</v>
      </c>
      <c r="E1007" t="s">
        <v>118</v>
      </c>
      <c r="F1007" t="s">
        <v>96</v>
      </c>
      <c r="G1007" s="33">
        <v>29</v>
      </c>
    </row>
    <row r="1008" spans="1:7">
      <c r="A1008" t="s">
        <v>22</v>
      </c>
      <c r="B1008" t="s">
        <v>180</v>
      </c>
      <c r="C1008" s="32">
        <v>349.16</v>
      </c>
      <c r="D1008" s="33">
        <v>56</v>
      </c>
      <c r="E1008" t="s">
        <v>122</v>
      </c>
      <c r="F1008" t="s">
        <v>90</v>
      </c>
      <c r="G1008" s="33">
        <v>30</v>
      </c>
    </row>
    <row r="1009" spans="1:7">
      <c r="A1009" t="s">
        <v>22</v>
      </c>
      <c r="B1009" t="s">
        <v>180</v>
      </c>
      <c r="C1009" s="32">
        <v>349.3</v>
      </c>
      <c r="D1009" s="33">
        <v>57</v>
      </c>
      <c r="E1009" t="s">
        <v>124</v>
      </c>
      <c r="F1009" t="s">
        <v>90</v>
      </c>
      <c r="G1009" s="33">
        <v>29</v>
      </c>
    </row>
    <row r="1010" spans="1:7">
      <c r="A1010" t="s">
        <v>22</v>
      </c>
      <c r="B1010" t="s">
        <v>180</v>
      </c>
      <c r="C1010" s="32">
        <v>349.45</v>
      </c>
      <c r="D1010" s="33">
        <v>58</v>
      </c>
      <c r="E1010" t="s">
        <v>125</v>
      </c>
      <c r="F1010" t="s">
        <v>93</v>
      </c>
      <c r="G1010" s="33">
        <v>29</v>
      </c>
    </row>
    <row r="1011" spans="1:7">
      <c r="A1011" t="s">
        <v>22</v>
      </c>
      <c r="B1011" t="s">
        <v>180</v>
      </c>
      <c r="C1011" s="32">
        <v>349.6</v>
      </c>
      <c r="D1011" s="33">
        <v>59</v>
      </c>
      <c r="E1011" t="s">
        <v>127</v>
      </c>
      <c r="F1011" t="s">
        <v>90</v>
      </c>
      <c r="G1011" s="33">
        <v>29</v>
      </c>
    </row>
    <row r="1012" spans="1:7">
      <c r="A1012" t="s">
        <v>22</v>
      </c>
      <c r="B1012" t="s">
        <v>181</v>
      </c>
      <c r="C1012" s="32">
        <v>351</v>
      </c>
      <c r="D1012" s="33">
        <v>1</v>
      </c>
      <c r="E1012" t="s">
        <v>118</v>
      </c>
      <c r="F1012" t="s">
        <v>90</v>
      </c>
      <c r="G1012" s="33">
        <v>30</v>
      </c>
    </row>
    <row r="1013" spans="1:7">
      <c r="A1013" t="s">
        <v>22</v>
      </c>
      <c r="B1013" t="s">
        <v>181</v>
      </c>
      <c r="C1013" s="32">
        <v>351.14</v>
      </c>
      <c r="D1013" s="33">
        <v>2</v>
      </c>
      <c r="E1013" t="s">
        <v>122</v>
      </c>
      <c r="F1013" t="s">
        <v>93</v>
      </c>
      <c r="G1013" s="33">
        <v>30</v>
      </c>
    </row>
    <row r="1014" spans="1:7">
      <c r="A1014" t="s">
        <v>22</v>
      </c>
      <c r="B1014" t="s">
        <v>181</v>
      </c>
      <c r="C1014" s="32">
        <v>351.29</v>
      </c>
      <c r="D1014" s="33">
        <v>3</v>
      </c>
      <c r="E1014" t="s">
        <v>124</v>
      </c>
      <c r="F1014" t="s">
        <v>90</v>
      </c>
      <c r="G1014" s="33">
        <v>31</v>
      </c>
    </row>
    <row r="1015" spans="1:7">
      <c r="A1015" t="s">
        <v>22</v>
      </c>
      <c r="B1015" t="s">
        <v>181</v>
      </c>
      <c r="C1015" s="32">
        <v>351.43</v>
      </c>
      <c r="D1015" s="33">
        <v>4</v>
      </c>
      <c r="E1015" t="s">
        <v>125</v>
      </c>
      <c r="F1015" t="s">
        <v>90</v>
      </c>
      <c r="G1015" s="33">
        <v>30</v>
      </c>
    </row>
    <row r="1016" spans="1:7">
      <c r="A1016" t="s">
        <v>22</v>
      </c>
      <c r="B1016" t="s">
        <v>181</v>
      </c>
      <c r="C1016" s="32">
        <v>351.57</v>
      </c>
      <c r="D1016" s="33">
        <v>5</v>
      </c>
      <c r="E1016" t="s">
        <v>127</v>
      </c>
      <c r="F1016" t="s">
        <v>96</v>
      </c>
      <c r="G1016" s="33">
        <v>30</v>
      </c>
    </row>
    <row r="1017" spans="1:7">
      <c r="A1017" t="s">
        <v>22</v>
      </c>
      <c r="B1017" t="s">
        <v>181</v>
      </c>
      <c r="C1017" s="32">
        <v>351.72</v>
      </c>
      <c r="D1017" s="33">
        <v>6</v>
      </c>
      <c r="E1017" t="s">
        <v>128</v>
      </c>
      <c r="F1017" t="s">
        <v>90</v>
      </c>
      <c r="G1017" s="33">
        <v>30</v>
      </c>
    </row>
    <row r="1018" spans="1:7">
      <c r="A1018" t="s">
        <v>22</v>
      </c>
      <c r="B1018" t="s">
        <v>181</v>
      </c>
      <c r="C1018" s="32">
        <v>351.86</v>
      </c>
      <c r="D1018" s="33">
        <v>7</v>
      </c>
      <c r="E1018" t="s">
        <v>129</v>
      </c>
      <c r="F1018" t="s">
        <v>93</v>
      </c>
      <c r="G1018" s="33">
        <v>30</v>
      </c>
    </row>
    <row r="1019" spans="1:7">
      <c r="A1019" t="s">
        <v>22</v>
      </c>
      <c r="B1019" t="s">
        <v>181</v>
      </c>
      <c r="C1019" s="32">
        <v>352</v>
      </c>
      <c r="D1019" s="33">
        <v>8</v>
      </c>
      <c r="E1019" t="s">
        <v>130</v>
      </c>
      <c r="F1019" t="s">
        <v>90</v>
      </c>
      <c r="G1019" s="33">
        <v>30</v>
      </c>
    </row>
    <row r="1020" spans="1:7">
      <c r="A1020" t="s">
        <v>22</v>
      </c>
      <c r="B1020" t="s">
        <v>181</v>
      </c>
      <c r="C1020" s="32">
        <v>352.15</v>
      </c>
      <c r="D1020" s="33">
        <v>9</v>
      </c>
      <c r="E1020" t="s">
        <v>131</v>
      </c>
      <c r="F1020" t="s">
        <v>90</v>
      </c>
      <c r="G1020" s="33">
        <v>31</v>
      </c>
    </row>
    <row r="1021" spans="1:7">
      <c r="A1021" t="s">
        <v>22</v>
      </c>
      <c r="B1021" t="s">
        <v>181</v>
      </c>
      <c r="C1021" s="32">
        <v>352.29</v>
      </c>
      <c r="D1021" s="33">
        <v>10</v>
      </c>
      <c r="E1021" t="s">
        <v>133</v>
      </c>
      <c r="F1021" t="s">
        <v>93</v>
      </c>
      <c r="G1021" s="33">
        <v>30</v>
      </c>
    </row>
    <row r="1022" spans="1:7">
      <c r="A1022" t="s">
        <v>22</v>
      </c>
      <c r="B1022" t="s">
        <v>181</v>
      </c>
      <c r="C1022" s="32">
        <v>352.43</v>
      </c>
      <c r="D1022" s="33">
        <v>11</v>
      </c>
      <c r="E1022" t="s">
        <v>134</v>
      </c>
      <c r="F1022" t="s">
        <v>90</v>
      </c>
      <c r="G1022" s="33">
        <v>30</v>
      </c>
    </row>
    <row r="1023" spans="1:7">
      <c r="A1023" t="s">
        <v>22</v>
      </c>
      <c r="B1023" t="s">
        <v>181</v>
      </c>
      <c r="C1023" s="32">
        <v>352.58</v>
      </c>
      <c r="D1023" s="33">
        <v>12</v>
      </c>
      <c r="E1023" t="s">
        <v>135</v>
      </c>
      <c r="F1023" t="s">
        <v>90</v>
      </c>
      <c r="G1023" s="33">
        <v>30</v>
      </c>
    </row>
    <row r="1024" spans="1:7">
      <c r="A1024" t="s">
        <v>22</v>
      </c>
      <c r="B1024" t="s">
        <v>181</v>
      </c>
      <c r="C1024" s="32">
        <v>352.72</v>
      </c>
      <c r="D1024" s="33">
        <v>13</v>
      </c>
      <c r="E1024" t="s">
        <v>136</v>
      </c>
      <c r="F1024" t="s">
        <v>96</v>
      </c>
      <c r="G1024" s="33">
        <v>30</v>
      </c>
    </row>
    <row r="1025" spans="1:7">
      <c r="A1025" t="s">
        <v>22</v>
      </c>
      <c r="B1025" t="s">
        <v>181</v>
      </c>
      <c r="C1025" s="32">
        <v>352.86</v>
      </c>
      <c r="D1025" s="33">
        <v>14</v>
      </c>
      <c r="E1025" t="s">
        <v>137</v>
      </c>
      <c r="F1025" t="s">
        <v>90</v>
      </c>
      <c r="G1025" s="33">
        <v>31</v>
      </c>
    </row>
    <row r="1026" spans="1:7">
      <c r="A1026" t="s">
        <v>22</v>
      </c>
      <c r="B1026" t="s">
        <v>181</v>
      </c>
      <c r="C1026" s="32">
        <v>353.01</v>
      </c>
      <c r="D1026" s="33">
        <v>15</v>
      </c>
      <c r="E1026" t="s">
        <v>138</v>
      </c>
      <c r="F1026" t="s">
        <v>93</v>
      </c>
      <c r="G1026" s="33">
        <v>30</v>
      </c>
    </row>
    <row r="1027" spans="1:7">
      <c r="A1027" t="s">
        <v>22</v>
      </c>
      <c r="B1027" t="s">
        <v>181</v>
      </c>
      <c r="C1027" s="32">
        <v>353.15</v>
      </c>
      <c r="D1027" s="33">
        <v>16</v>
      </c>
      <c r="E1027" t="s">
        <v>140</v>
      </c>
      <c r="F1027" t="s">
        <v>102</v>
      </c>
      <c r="G1027" s="33">
        <v>30</v>
      </c>
    </row>
    <row r="1028" spans="1:7">
      <c r="A1028" t="s">
        <v>22</v>
      </c>
      <c r="B1028" t="s">
        <v>181</v>
      </c>
      <c r="C1028" s="32">
        <v>353.29</v>
      </c>
      <c r="D1028" s="33">
        <v>17</v>
      </c>
      <c r="E1028" t="s">
        <v>141</v>
      </c>
      <c r="F1028" t="s">
        <v>90</v>
      </c>
      <c r="G1028" s="33">
        <v>30</v>
      </c>
    </row>
    <row r="1029" spans="1:7">
      <c r="A1029" t="s">
        <v>22</v>
      </c>
      <c r="B1029" t="s">
        <v>181</v>
      </c>
      <c r="C1029" s="32">
        <v>353.44</v>
      </c>
      <c r="D1029" s="33">
        <v>18</v>
      </c>
      <c r="E1029" t="s">
        <v>142</v>
      </c>
      <c r="F1029" t="s">
        <v>93</v>
      </c>
      <c r="G1029" s="33">
        <v>30</v>
      </c>
    </row>
    <row r="1030" spans="1:7">
      <c r="A1030" t="s">
        <v>22</v>
      </c>
      <c r="B1030" t="s">
        <v>181</v>
      </c>
      <c r="C1030" s="32">
        <v>353.58</v>
      </c>
      <c r="D1030" s="33">
        <v>19</v>
      </c>
      <c r="E1030" t="s">
        <v>143</v>
      </c>
      <c r="F1030" t="s">
        <v>90</v>
      </c>
      <c r="G1030" s="33">
        <v>30</v>
      </c>
    </row>
    <row r="1031" spans="1:7">
      <c r="A1031" t="s">
        <v>22</v>
      </c>
      <c r="B1031" t="s">
        <v>181</v>
      </c>
      <c r="C1031" s="32">
        <v>353.72</v>
      </c>
      <c r="D1031" s="33">
        <v>20</v>
      </c>
      <c r="E1031" t="s">
        <v>144</v>
      </c>
      <c r="F1031" t="s">
        <v>90</v>
      </c>
      <c r="G1031" s="33">
        <v>31</v>
      </c>
    </row>
    <row r="1032" spans="1:7">
      <c r="A1032" t="s">
        <v>22</v>
      </c>
      <c r="B1032" t="s">
        <v>181</v>
      </c>
      <c r="C1032" s="32">
        <v>353.87</v>
      </c>
      <c r="D1032" s="33">
        <v>21</v>
      </c>
      <c r="E1032" t="s">
        <v>145</v>
      </c>
      <c r="F1032" t="s">
        <v>96</v>
      </c>
      <c r="G1032" s="33">
        <v>30</v>
      </c>
    </row>
    <row r="1033" spans="1:7">
      <c r="A1033" t="s">
        <v>22</v>
      </c>
      <c r="B1033" t="s">
        <v>181</v>
      </c>
      <c r="C1033" s="32">
        <v>354.01</v>
      </c>
      <c r="D1033" s="33">
        <v>22</v>
      </c>
      <c r="E1033" t="s">
        <v>146</v>
      </c>
      <c r="F1033" t="s">
        <v>90</v>
      </c>
      <c r="G1033" s="33">
        <v>30</v>
      </c>
    </row>
    <row r="1034" spans="1:7">
      <c r="A1034" t="s">
        <v>22</v>
      </c>
      <c r="B1034" t="s">
        <v>181</v>
      </c>
      <c r="C1034" s="32">
        <v>354.15</v>
      </c>
      <c r="D1034" s="33">
        <v>23</v>
      </c>
      <c r="E1034" t="s">
        <v>148</v>
      </c>
      <c r="F1034" t="s">
        <v>93</v>
      </c>
      <c r="G1034" s="33">
        <v>30</v>
      </c>
    </row>
    <row r="1035" spans="1:7">
      <c r="A1035" t="s">
        <v>22</v>
      </c>
      <c r="B1035" t="s">
        <v>181</v>
      </c>
      <c r="C1035" s="32">
        <v>354.3</v>
      </c>
      <c r="D1035" s="33">
        <v>24</v>
      </c>
      <c r="E1035" t="s">
        <v>149</v>
      </c>
      <c r="F1035" t="s">
        <v>90</v>
      </c>
      <c r="G1035" s="33">
        <v>30</v>
      </c>
    </row>
    <row r="1036" spans="1:7">
      <c r="A1036" t="s">
        <v>22</v>
      </c>
      <c r="B1036" t="s">
        <v>181</v>
      </c>
      <c r="C1036" s="32">
        <v>354.44</v>
      </c>
      <c r="D1036" s="33">
        <v>25</v>
      </c>
      <c r="E1036" t="s">
        <v>150</v>
      </c>
      <c r="F1036" t="s">
        <v>90</v>
      </c>
      <c r="G1036" s="33">
        <v>31</v>
      </c>
    </row>
    <row r="1037" spans="1:7">
      <c r="A1037" t="s">
        <v>22</v>
      </c>
      <c r="B1037" t="s">
        <v>181</v>
      </c>
      <c r="C1037" s="32">
        <v>354.58</v>
      </c>
      <c r="D1037" s="33">
        <v>26</v>
      </c>
      <c r="E1037" t="s">
        <v>151</v>
      </c>
      <c r="F1037" t="s">
        <v>104</v>
      </c>
      <c r="G1037" s="33">
        <v>31</v>
      </c>
    </row>
    <row r="1038" spans="1:7">
      <c r="A1038" t="s">
        <v>22</v>
      </c>
      <c r="B1038" t="s">
        <v>181</v>
      </c>
      <c r="C1038" s="32">
        <v>354.73</v>
      </c>
      <c r="D1038" s="33">
        <v>27</v>
      </c>
      <c r="E1038" t="s">
        <v>152</v>
      </c>
      <c r="F1038" t="s">
        <v>90</v>
      </c>
      <c r="G1038" s="33">
        <v>30</v>
      </c>
    </row>
    <row r="1039" spans="1:7">
      <c r="A1039" t="s">
        <v>22</v>
      </c>
      <c r="B1039" t="s">
        <v>181</v>
      </c>
      <c r="C1039" s="32">
        <v>354.87</v>
      </c>
      <c r="D1039" s="33">
        <v>28</v>
      </c>
      <c r="E1039" t="s">
        <v>153</v>
      </c>
      <c r="F1039" t="s">
        <v>93</v>
      </c>
      <c r="G1039" s="33">
        <v>30</v>
      </c>
    </row>
    <row r="1040" spans="1:7">
      <c r="A1040" t="s">
        <v>22</v>
      </c>
      <c r="B1040" t="s">
        <v>181</v>
      </c>
      <c r="C1040" s="32">
        <v>355.01</v>
      </c>
      <c r="D1040" s="33">
        <v>29</v>
      </c>
      <c r="E1040" t="s">
        <v>120</v>
      </c>
      <c r="F1040" t="s">
        <v>90</v>
      </c>
      <c r="G1040" s="33">
        <v>30</v>
      </c>
    </row>
    <row r="1041" spans="1:7">
      <c r="A1041" t="s">
        <v>22</v>
      </c>
      <c r="B1041" t="s">
        <v>181</v>
      </c>
      <c r="C1041" s="32">
        <v>355.16</v>
      </c>
      <c r="D1041" s="33">
        <v>30</v>
      </c>
      <c r="E1041" t="s">
        <v>115</v>
      </c>
      <c r="F1041" t="s">
        <v>90</v>
      </c>
      <c r="G1041" s="33">
        <v>30</v>
      </c>
    </row>
    <row r="1042" spans="1:7">
      <c r="A1042" t="s">
        <v>22</v>
      </c>
      <c r="B1042" t="s">
        <v>181</v>
      </c>
      <c r="C1042" s="32">
        <v>355.3</v>
      </c>
      <c r="D1042" s="33">
        <v>31</v>
      </c>
      <c r="E1042" t="s">
        <v>116</v>
      </c>
      <c r="F1042" t="s">
        <v>93</v>
      </c>
      <c r="G1042" s="33">
        <v>31</v>
      </c>
    </row>
    <row r="1043" spans="1:7">
      <c r="A1043" t="s">
        <v>22</v>
      </c>
      <c r="B1043" t="s">
        <v>181</v>
      </c>
      <c r="C1043" s="32">
        <v>355.44</v>
      </c>
      <c r="D1043" s="33">
        <v>32</v>
      </c>
      <c r="E1043" t="s">
        <v>117</v>
      </c>
      <c r="F1043" t="s">
        <v>102</v>
      </c>
      <c r="G1043" s="33">
        <v>30</v>
      </c>
    </row>
    <row r="1044" spans="1:7">
      <c r="A1044" t="s">
        <v>22</v>
      </c>
      <c r="B1044" t="s">
        <v>181</v>
      </c>
      <c r="C1044" s="32">
        <v>355.59</v>
      </c>
      <c r="D1044" s="33">
        <v>33</v>
      </c>
      <c r="E1044" t="s">
        <v>118</v>
      </c>
      <c r="F1044" t="s">
        <v>96</v>
      </c>
      <c r="G1044" s="33">
        <v>30</v>
      </c>
    </row>
    <row r="1045" spans="1:7">
      <c r="A1045" t="s">
        <v>22</v>
      </c>
      <c r="B1045" t="s">
        <v>181</v>
      </c>
      <c r="C1045" s="32">
        <v>355.73</v>
      </c>
      <c r="D1045" s="33">
        <v>34</v>
      </c>
      <c r="E1045" t="s">
        <v>122</v>
      </c>
      <c r="F1045" t="s">
        <v>90</v>
      </c>
      <c r="G1045" s="33">
        <v>30</v>
      </c>
    </row>
    <row r="1046" spans="1:7">
      <c r="A1046" t="s">
        <v>22</v>
      </c>
      <c r="B1046" t="s">
        <v>181</v>
      </c>
      <c r="C1046" s="32">
        <v>355.87</v>
      </c>
      <c r="D1046" s="33">
        <v>35</v>
      </c>
      <c r="E1046" t="s">
        <v>124</v>
      </c>
      <c r="F1046" t="s">
        <v>90</v>
      </c>
      <c r="G1046" s="33">
        <v>30</v>
      </c>
    </row>
    <row r="1047" spans="1:7">
      <c r="A1047" t="s">
        <v>22</v>
      </c>
      <c r="B1047" t="s">
        <v>181</v>
      </c>
      <c r="C1047" s="32">
        <v>356.02</v>
      </c>
      <c r="D1047" s="33">
        <v>36</v>
      </c>
      <c r="E1047" t="s">
        <v>125</v>
      </c>
      <c r="F1047" t="s">
        <v>93</v>
      </c>
      <c r="G1047" s="33">
        <v>30</v>
      </c>
    </row>
    <row r="1048" spans="1:7">
      <c r="A1048" t="s">
        <v>22</v>
      </c>
      <c r="B1048" t="s">
        <v>181</v>
      </c>
      <c r="C1048" s="32">
        <v>356.16</v>
      </c>
      <c r="D1048" s="33">
        <v>37</v>
      </c>
      <c r="E1048" t="s">
        <v>127</v>
      </c>
      <c r="F1048" t="s">
        <v>90</v>
      </c>
      <c r="G1048" s="33">
        <v>31</v>
      </c>
    </row>
    <row r="1049" spans="1:7">
      <c r="A1049" t="s">
        <v>22</v>
      </c>
      <c r="B1049" t="s">
        <v>181</v>
      </c>
      <c r="C1049" s="32">
        <v>356.3</v>
      </c>
      <c r="D1049" s="33">
        <v>38</v>
      </c>
      <c r="E1049" t="s">
        <v>128</v>
      </c>
      <c r="F1049" t="s">
        <v>90</v>
      </c>
      <c r="G1049" s="33">
        <v>30</v>
      </c>
    </row>
    <row r="1050" spans="1:7">
      <c r="A1050" t="s">
        <v>22</v>
      </c>
      <c r="B1050" t="s">
        <v>181</v>
      </c>
      <c r="C1050" s="32">
        <v>356.45</v>
      </c>
      <c r="D1050" s="33">
        <v>39</v>
      </c>
      <c r="E1050" t="s">
        <v>129</v>
      </c>
      <c r="F1050" t="s">
        <v>93</v>
      </c>
      <c r="G1050" s="33">
        <v>30</v>
      </c>
    </row>
    <row r="1051" spans="1:7">
      <c r="A1051" t="s">
        <v>22</v>
      </c>
      <c r="B1051" t="s">
        <v>181</v>
      </c>
      <c r="C1051" s="32">
        <v>356.59</v>
      </c>
      <c r="D1051" s="33">
        <v>40</v>
      </c>
      <c r="E1051" t="s">
        <v>130</v>
      </c>
      <c r="F1051" t="s">
        <v>90</v>
      </c>
      <c r="G1051" s="33">
        <v>30</v>
      </c>
    </row>
    <row r="1052" spans="1:7">
      <c r="A1052" t="s">
        <v>22</v>
      </c>
      <c r="B1052" t="s">
        <v>181</v>
      </c>
      <c r="C1052" s="32">
        <v>356.73</v>
      </c>
      <c r="D1052" s="33">
        <v>41</v>
      </c>
      <c r="E1052" t="s">
        <v>131</v>
      </c>
      <c r="F1052" t="s">
        <v>96</v>
      </c>
      <c r="G1052" s="33">
        <v>30</v>
      </c>
    </row>
    <row r="1053" spans="1:7">
      <c r="A1053" t="s">
        <v>22</v>
      </c>
      <c r="B1053" t="s">
        <v>181</v>
      </c>
      <c r="C1053" s="32">
        <v>356.88</v>
      </c>
      <c r="D1053" s="33">
        <v>42</v>
      </c>
      <c r="E1053" t="s">
        <v>133</v>
      </c>
      <c r="F1053" t="s">
        <v>90</v>
      </c>
      <c r="G1053" s="33">
        <v>31</v>
      </c>
    </row>
    <row r="1054" spans="1:7">
      <c r="A1054" t="s">
        <v>22</v>
      </c>
      <c r="B1054" t="s">
        <v>181</v>
      </c>
      <c r="C1054" s="32">
        <v>357.02</v>
      </c>
      <c r="D1054" s="33">
        <v>43</v>
      </c>
      <c r="E1054" t="s">
        <v>134</v>
      </c>
      <c r="F1054" t="s">
        <v>90</v>
      </c>
      <c r="G1054" s="33">
        <v>30</v>
      </c>
    </row>
    <row r="1055" spans="1:7">
      <c r="A1055" t="s">
        <v>22</v>
      </c>
      <c r="B1055" t="s">
        <v>181</v>
      </c>
      <c r="C1055" s="32">
        <v>357.16</v>
      </c>
      <c r="D1055" s="33">
        <v>44</v>
      </c>
      <c r="E1055" t="s">
        <v>135</v>
      </c>
      <c r="F1055" t="s">
        <v>93</v>
      </c>
      <c r="G1055" s="33">
        <v>30</v>
      </c>
    </row>
    <row r="1056" spans="1:7">
      <c r="A1056" t="s">
        <v>22</v>
      </c>
      <c r="B1056" t="s">
        <v>181</v>
      </c>
      <c r="C1056" s="32">
        <v>357.31</v>
      </c>
      <c r="D1056" s="33">
        <v>45</v>
      </c>
      <c r="E1056" t="s">
        <v>136</v>
      </c>
      <c r="F1056" t="s">
        <v>90</v>
      </c>
      <c r="G1056" s="33">
        <v>30</v>
      </c>
    </row>
    <row r="1057" spans="1:7">
      <c r="A1057" t="s">
        <v>22</v>
      </c>
      <c r="B1057" t="s">
        <v>181</v>
      </c>
      <c r="C1057" s="32">
        <v>357.45</v>
      </c>
      <c r="D1057" s="33">
        <v>46</v>
      </c>
      <c r="E1057" t="s">
        <v>137</v>
      </c>
      <c r="F1057" t="s">
        <v>90</v>
      </c>
      <c r="G1057" s="33">
        <v>30</v>
      </c>
    </row>
    <row r="1058" spans="1:7">
      <c r="A1058" t="s">
        <v>22</v>
      </c>
      <c r="B1058" t="s">
        <v>181</v>
      </c>
      <c r="C1058" s="32">
        <v>357.59</v>
      </c>
      <c r="D1058" s="33">
        <v>47</v>
      </c>
      <c r="E1058" t="s">
        <v>138</v>
      </c>
      <c r="F1058" t="s">
        <v>93</v>
      </c>
      <c r="G1058" s="33">
        <v>30</v>
      </c>
    </row>
    <row r="1059" spans="1:7">
      <c r="A1059" t="s">
        <v>22</v>
      </c>
      <c r="B1059" t="s">
        <v>181</v>
      </c>
      <c r="C1059" s="32">
        <v>357.74</v>
      </c>
      <c r="D1059" s="33">
        <v>48</v>
      </c>
      <c r="E1059" t="s">
        <v>140</v>
      </c>
      <c r="F1059" t="s">
        <v>102</v>
      </c>
      <c r="G1059" s="33">
        <v>31</v>
      </c>
    </row>
    <row r="1060" spans="1:7">
      <c r="A1060" t="s">
        <v>22</v>
      </c>
      <c r="B1060" t="s">
        <v>181</v>
      </c>
      <c r="C1060" s="32">
        <v>357.88</v>
      </c>
      <c r="D1060" s="33">
        <v>49</v>
      </c>
      <c r="E1060" t="s">
        <v>141</v>
      </c>
      <c r="F1060" t="s">
        <v>96</v>
      </c>
      <c r="G1060" s="33">
        <v>30</v>
      </c>
    </row>
    <row r="1061" spans="1:7">
      <c r="A1061" t="s">
        <v>22</v>
      </c>
      <c r="B1061" t="s">
        <v>181</v>
      </c>
      <c r="C1061" s="32">
        <v>358.02</v>
      </c>
      <c r="D1061" s="33">
        <v>50</v>
      </c>
      <c r="E1061" t="s">
        <v>142</v>
      </c>
      <c r="F1061" t="s">
        <v>90</v>
      </c>
      <c r="G1061" s="33">
        <v>30</v>
      </c>
    </row>
    <row r="1062" spans="1:7">
      <c r="A1062" t="s">
        <v>22</v>
      </c>
      <c r="B1062" t="s">
        <v>181</v>
      </c>
      <c r="C1062" s="32">
        <v>358.17</v>
      </c>
      <c r="D1062" s="33">
        <v>51</v>
      </c>
      <c r="E1062" t="s">
        <v>143</v>
      </c>
      <c r="F1062" t="s">
        <v>90</v>
      </c>
      <c r="G1062" s="33">
        <v>30</v>
      </c>
    </row>
    <row r="1063" spans="1:7">
      <c r="A1063" t="s">
        <v>22</v>
      </c>
      <c r="B1063" t="s">
        <v>181</v>
      </c>
      <c r="C1063" s="32">
        <v>358.31</v>
      </c>
      <c r="D1063" s="33">
        <v>52</v>
      </c>
      <c r="E1063" t="s">
        <v>144</v>
      </c>
      <c r="F1063" t="s">
        <v>93</v>
      </c>
      <c r="G1063" s="33">
        <v>30</v>
      </c>
    </row>
    <row r="1064" spans="1:7">
      <c r="A1064" t="s">
        <v>22</v>
      </c>
      <c r="B1064" t="s">
        <v>181</v>
      </c>
      <c r="C1064" s="32">
        <v>358.45</v>
      </c>
      <c r="D1064" s="33">
        <v>53</v>
      </c>
      <c r="E1064" t="s">
        <v>145</v>
      </c>
      <c r="F1064" t="s">
        <v>90</v>
      </c>
      <c r="G1064" s="33">
        <v>31</v>
      </c>
    </row>
    <row r="1065" spans="1:7">
      <c r="A1065" t="s">
        <v>22</v>
      </c>
      <c r="B1065" t="s">
        <v>181</v>
      </c>
      <c r="C1065" s="32">
        <v>358.6</v>
      </c>
      <c r="D1065" s="33">
        <v>54</v>
      </c>
      <c r="E1065" t="s">
        <v>146</v>
      </c>
      <c r="F1065" t="s">
        <v>90</v>
      </c>
      <c r="G1065" s="33">
        <v>30</v>
      </c>
    </row>
    <row r="1066" spans="1:7">
      <c r="A1066" t="s">
        <v>22</v>
      </c>
      <c r="B1066" t="s">
        <v>181</v>
      </c>
      <c r="C1066" s="32">
        <v>358.74</v>
      </c>
      <c r="D1066" s="33">
        <v>55</v>
      </c>
      <c r="E1066" t="s">
        <v>148</v>
      </c>
      <c r="F1066" t="s">
        <v>93</v>
      </c>
      <c r="G1066" s="33">
        <v>30</v>
      </c>
    </row>
    <row r="1067" spans="1:7">
      <c r="A1067" t="s">
        <v>22</v>
      </c>
      <c r="B1067" t="s">
        <v>181</v>
      </c>
      <c r="C1067" s="32">
        <v>358.88</v>
      </c>
      <c r="D1067" s="33">
        <v>56</v>
      </c>
      <c r="E1067" t="s">
        <v>149</v>
      </c>
      <c r="F1067" t="s">
        <v>90</v>
      </c>
      <c r="G1067" s="33">
        <v>30</v>
      </c>
    </row>
    <row r="1068" spans="1:7">
      <c r="A1068" t="s">
        <v>22</v>
      </c>
      <c r="B1068" t="s">
        <v>181</v>
      </c>
      <c r="C1068" s="32">
        <v>359.03</v>
      </c>
      <c r="D1068" s="33">
        <v>57</v>
      </c>
      <c r="E1068" t="s">
        <v>150</v>
      </c>
      <c r="F1068" t="s">
        <v>96</v>
      </c>
      <c r="G1068" s="33">
        <v>30</v>
      </c>
    </row>
    <row r="1069" spans="1:7">
      <c r="A1069" t="s">
        <v>22</v>
      </c>
      <c r="B1069" t="s">
        <v>181</v>
      </c>
      <c r="C1069" s="32">
        <v>359.17</v>
      </c>
      <c r="D1069" s="33">
        <v>58</v>
      </c>
      <c r="E1069" t="s">
        <v>151</v>
      </c>
      <c r="F1069" t="s">
        <v>90</v>
      </c>
      <c r="G1069" s="33">
        <v>30</v>
      </c>
    </row>
    <row r="1070" spans="1:7">
      <c r="A1070" t="s">
        <v>22</v>
      </c>
      <c r="B1070" t="s">
        <v>181</v>
      </c>
      <c r="C1070" s="32">
        <v>359.31</v>
      </c>
      <c r="D1070" s="33">
        <v>59</v>
      </c>
      <c r="E1070" t="s">
        <v>152</v>
      </c>
      <c r="F1070" t="s">
        <v>90</v>
      </c>
      <c r="G1070" s="33">
        <v>30</v>
      </c>
    </row>
    <row r="1071" spans="1:7">
      <c r="A1071" t="s">
        <v>22</v>
      </c>
      <c r="B1071" t="s">
        <v>181</v>
      </c>
      <c r="C1071" s="32">
        <v>359.46</v>
      </c>
      <c r="D1071" s="33">
        <v>60</v>
      </c>
      <c r="E1071" t="s">
        <v>153</v>
      </c>
      <c r="F1071" t="s">
        <v>93</v>
      </c>
      <c r="G1071" s="33">
        <v>30</v>
      </c>
    </row>
    <row r="1072" spans="1:7">
      <c r="A1072" t="s">
        <v>22</v>
      </c>
      <c r="B1072" t="s">
        <v>181</v>
      </c>
      <c r="C1072" s="32">
        <v>359.6</v>
      </c>
      <c r="D1072" s="33">
        <v>61</v>
      </c>
      <c r="E1072" t="s">
        <v>120</v>
      </c>
      <c r="F1072" t="s">
        <v>90</v>
      </c>
      <c r="G1072" s="33">
        <v>30</v>
      </c>
    </row>
    <row r="1073" spans="1:7">
      <c r="A1073" t="s">
        <v>22</v>
      </c>
      <c r="B1073" t="s">
        <v>182</v>
      </c>
      <c r="C1073" s="32">
        <v>361</v>
      </c>
      <c r="D1073" s="33">
        <v>1</v>
      </c>
      <c r="E1073" t="s">
        <v>150</v>
      </c>
      <c r="F1073" t="s">
        <v>90</v>
      </c>
      <c r="G1073" s="33">
        <v>31</v>
      </c>
    </row>
    <row r="1074" spans="1:7">
      <c r="A1074" t="s">
        <v>22</v>
      </c>
      <c r="B1074" t="s">
        <v>182</v>
      </c>
      <c r="C1074" s="32">
        <v>361.14</v>
      </c>
      <c r="D1074" s="33">
        <v>2</v>
      </c>
      <c r="E1074" t="s">
        <v>151</v>
      </c>
      <c r="F1074" t="s">
        <v>93</v>
      </c>
      <c r="G1074" s="33">
        <v>31</v>
      </c>
    </row>
    <row r="1075" spans="1:7">
      <c r="A1075" t="s">
        <v>22</v>
      </c>
      <c r="B1075" t="s">
        <v>182</v>
      </c>
      <c r="C1075" s="32">
        <v>361.28</v>
      </c>
      <c r="D1075" s="33">
        <v>3</v>
      </c>
      <c r="E1075" t="s">
        <v>152</v>
      </c>
      <c r="F1075" t="s">
        <v>90</v>
      </c>
      <c r="G1075" s="33">
        <v>32</v>
      </c>
    </row>
    <row r="1076" spans="1:7">
      <c r="A1076" t="s">
        <v>22</v>
      </c>
      <c r="B1076" t="s">
        <v>182</v>
      </c>
      <c r="C1076" s="32">
        <v>361.42</v>
      </c>
      <c r="D1076" s="33">
        <v>4</v>
      </c>
      <c r="E1076" t="s">
        <v>153</v>
      </c>
      <c r="F1076" t="s">
        <v>90</v>
      </c>
      <c r="G1076" s="33">
        <v>31</v>
      </c>
    </row>
    <row r="1077" spans="1:7">
      <c r="A1077" t="s">
        <v>22</v>
      </c>
      <c r="B1077" t="s">
        <v>182</v>
      </c>
      <c r="C1077" s="32">
        <v>361.55</v>
      </c>
      <c r="D1077" s="33">
        <v>5</v>
      </c>
      <c r="E1077" t="s">
        <v>120</v>
      </c>
      <c r="F1077" t="s">
        <v>96</v>
      </c>
      <c r="G1077" s="33">
        <v>31</v>
      </c>
    </row>
    <row r="1078" spans="1:7">
      <c r="A1078" t="s">
        <v>22</v>
      </c>
      <c r="B1078" t="s">
        <v>182</v>
      </c>
      <c r="C1078" s="32">
        <v>361.69</v>
      </c>
      <c r="D1078" s="33">
        <v>6</v>
      </c>
      <c r="E1078" t="s">
        <v>115</v>
      </c>
      <c r="F1078" t="s">
        <v>90</v>
      </c>
      <c r="G1078" s="33">
        <v>31</v>
      </c>
    </row>
    <row r="1079" spans="1:7">
      <c r="A1079" t="s">
        <v>22</v>
      </c>
      <c r="B1079" t="s">
        <v>182</v>
      </c>
      <c r="C1079" s="32">
        <v>361.83</v>
      </c>
      <c r="D1079" s="33">
        <v>7</v>
      </c>
      <c r="E1079" t="s">
        <v>116</v>
      </c>
      <c r="F1079" t="s">
        <v>93</v>
      </c>
      <c r="G1079" s="33">
        <v>32</v>
      </c>
    </row>
    <row r="1080" spans="1:7">
      <c r="A1080" t="s">
        <v>22</v>
      </c>
      <c r="B1080" t="s">
        <v>182</v>
      </c>
      <c r="C1080" s="32">
        <v>361.97</v>
      </c>
      <c r="D1080" s="33">
        <v>8</v>
      </c>
      <c r="E1080" t="s">
        <v>117</v>
      </c>
      <c r="F1080" t="s">
        <v>90</v>
      </c>
      <c r="G1080" s="33">
        <v>31</v>
      </c>
    </row>
    <row r="1081" spans="1:7">
      <c r="A1081" t="s">
        <v>22</v>
      </c>
      <c r="B1081" t="s">
        <v>182</v>
      </c>
      <c r="C1081" s="32">
        <v>362.11</v>
      </c>
      <c r="D1081" s="33">
        <v>9</v>
      </c>
      <c r="E1081" t="s">
        <v>118</v>
      </c>
      <c r="F1081" t="s">
        <v>90</v>
      </c>
      <c r="G1081" s="33">
        <v>31</v>
      </c>
    </row>
    <row r="1082" spans="1:7">
      <c r="A1082" t="s">
        <v>22</v>
      </c>
      <c r="B1082" t="s">
        <v>182</v>
      </c>
      <c r="C1082" s="32">
        <v>362.25</v>
      </c>
      <c r="D1082" s="33">
        <v>10</v>
      </c>
      <c r="E1082" t="s">
        <v>122</v>
      </c>
      <c r="F1082" t="s">
        <v>93</v>
      </c>
      <c r="G1082" s="33">
        <v>31</v>
      </c>
    </row>
    <row r="1083" spans="1:7">
      <c r="A1083" t="s">
        <v>22</v>
      </c>
      <c r="B1083" t="s">
        <v>182</v>
      </c>
      <c r="C1083" s="32">
        <v>362.39</v>
      </c>
      <c r="D1083" s="33">
        <v>11</v>
      </c>
      <c r="E1083" t="s">
        <v>124</v>
      </c>
      <c r="F1083" t="s">
        <v>90</v>
      </c>
      <c r="G1083" s="33">
        <v>31</v>
      </c>
    </row>
    <row r="1084" spans="1:7">
      <c r="A1084" t="s">
        <v>22</v>
      </c>
      <c r="B1084" t="s">
        <v>182</v>
      </c>
      <c r="C1084" s="32">
        <v>362.53</v>
      </c>
      <c r="D1084" s="33">
        <v>12</v>
      </c>
      <c r="E1084" t="s">
        <v>125</v>
      </c>
      <c r="F1084" t="s">
        <v>102</v>
      </c>
      <c r="G1084" s="33">
        <v>32</v>
      </c>
    </row>
    <row r="1085" spans="1:7">
      <c r="A1085" t="s">
        <v>22</v>
      </c>
      <c r="B1085" t="s">
        <v>182</v>
      </c>
      <c r="C1085" s="32">
        <v>362.66</v>
      </c>
      <c r="D1085" s="33">
        <v>13</v>
      </c>
      <c r="E1085" t="s">
        <v>127</v>
      </c>
      <c r="F1085" t="s">
        <v>96</v>
      </c>
      <c r="G1085" s="33">
        <v>31</v>
      </c>
    </row>
    <row r="1086" spans="1:7">
      <c r="A1086" t="s">
        <v>22</v>
      </c>
      <c r="B1086" t="s">
        <v>182</v>
      </c>
      <c r="C1086" s="32">
        <v>362.8</v>
      </c>
      <c r="D1086" s="33">
        <v>14</v>
      </c>
      <c r="E1086" t="s">
        <v>128</v>
      </c>
      <c r="F1086" t="s">
        <v>90</v>
      </c>
      <c r="G1086" s="33">
        <v>31</v>
      </c>
    </row>
    <row r="1087" spans="1:7">
      <c r="A1087" t="s">
        <v>22</v>
      </c>
      <c r="B1087" t="s">
        <v>182</v>
      </c>
      <c r="C1087" s="32">
        <v>362.94</v>
      </c>
      <c r="D1087" s="33">
        <v>15</v>
      </c>
      <c r="E1087" t="s">
        <v>129</v>
      </c>
      <c r="F1087" t="s">
        <v>93</v>
      </c>
      <c r="G1087" s="33">
        <v>31</v>
      </c>
    </row>
    <row r="1088" spans="1:7">
      <c r="A1088" t="s">
        <v>22</v>
      </c>
      <c r="B1088" t="s">
        <v>182</v>
      </c>
      <c r="C1088" s="32">
        <v>363.08</v>
      </c>
      <c r="D1088" s="33">
        <v>16</v>
      </c>
      <c r="E1088" t="s">
        <v>130</v>
      </c>
      <c r="F1088" t="s">
        <v>90</v>
      </c>
      <c r="G1088" s="33">
        <v>32</v>
      </c>
    </row>
    <row r="1089" spans="1:7">
      <c r="A1089" t="s">
        <v>22</v>
      </c>
      <c r="B1089" t="s">
        <v>182</v>
      </c>
      <c r="C1089" s="32">
        <v>363.22</v>
      </c>
      <c r="D1089" s="33">
        <v>17</v>
      </c>
      <c r="E1089" t="s">
        <v>131</v>
      </c>
      <c r="F1089" t="s">
        <v>90</v>
      </c>
      <c r="G1089" s="33">
        <v>31</v>
      </c>
    </row>
    <row r="1090" spans="1:7">
      <c r="A1090" t="s">
        <v>22</v>
      </c>
      <c r="B1090" t="s">
        <v>182</v>
      </c>
      <c r="C1090" s="32">
        <v>363.36</v>
      </c>
      <c r="D1090" s="33">
        <v>18</v>
      </c>
      <c r="E1090" t="s">
        <v>133</v>
      </c>
      <c r="F1090" t="s">
        <v>93</v>
      </c>
      <c r="G1090" s="33">
        <v>31</v>
      </c>
    </row>
    <row r="1091" spans="1:7">
      <c r="A1091" t="s">
        <v>22</v>
      </c>
      <c r="B1091" t="s">
        <v>182</v>
      </c>
      <c r="C1091" s="32">
        <v>363.5</v>
      </c>
      <c r="D1091" s="33">
        <v>19</v>
      </c>
      <c r="E1091" t="s">
        <v>134</v>
      </c>
      <c r="F1091" t="s">
        <v>90</v>
      </c>
      <c r="G1091" s="33">
        <v>31</v>
      </c>
    </row>
    <row r="1092" spans="1:7">
      <c r="A1092" t="s">
        <v>22</v>
      </c>
      <c r="B1092" t="s">
        <v>182</v>
      </c>
      <c r="C1092" s="32">
        <v>363.64</v>
      </c>
      <c r="D1092" s="33">
        <v>20</v>
      </c>
      <c r="E1092" t="s">
        <v>135</v>
      </c>
      <c r="F1092" t="s">
        <v>90</v>
      </c>
      <c r="G1092" s="33">
        <v>31</v>
      </c>
    </row>
    <row r="1093" spans="1:7">
      <c r="A1093" t="s">
        <v>22</v>
      </c>
      <c r="B1093" t="s">
        <v>182</v>
      </c>
      <c r="C1093" s="32">
        <v>363.77</v>
      </c>
      <c r="D1093" s="33">
        <v>21</v>
      </c>
      <c r="E1093" t="s">
        <v>136</v>
      </c>
      <c r="F1093" t="s">
        <v>90</v>
      </c>
      <c r="G1093" s="33">
        <v>32</v>
      </c>
    </row>
    <row r="1094" spans="1:7">
      <c r="A1094" t="s">
        <v>22</v>
      </c>
      <c r="B1094" t="s">
        <v>182</v>
      </c>
      <c r="C1094" s="32">
        <v>363.91</v>
      </c>
      <c r="D1094" s="33">
        <v>22</v>
      </c>
      <c r="E1094" t="s">
        <v>137</v>
      </c>
      <c r="F1094" t="s">
        <v>93</v>
      </c>
      <c r="G1094" s="33">
        <v>31</v>
      </c>
    </row>
    <row r="1095" spans="1:7">
      <c r="A1095" t="s">
        <v>22</v>
      </c>
      <c r="B1095" t="s">
        <v>182</v>
      </c>
      <c r="C1095" s="32">
        <v>364.05</v>
      </c>
      <c r="D1095" s="33">
        <v>23</v>
      </c>
      <c r="E1095" t="s">
        <v>138</v>
      </c>
      <c r="F1095" t="s">
        <v>90</v>
      </c>
      <c r="G1095" s="33">
        <v>31</v>
      </c>
    </row>
    <row r="1096" spans="1:7">
      <c r="A1096" t="s">
        <v>22</v>
      </c>
      <c r="B1096" t="s">
        <v>182</v>
      </c>
      <c r="C1096" s="32">
        <v>364.19</v>
      </c>
      <c r="D1096" s="33">
        <v>24</v>
      </c>
      <c r="E1096" t="s">
        <v>140</v>
      </c>
      <c r="F1096" t="s">
        <v>96</v>
      </c>
      <c r="G1096" s="33">
        <v>31</v>
      </c>
    </row>
    <row r="1097" spans="1:7">
      <c r="A1097" t="s">
        <v>22</v>
      </c>
      <c r="B1097" t="s">
        <v>182</v>
      </c>
      <c r="C1097" s="32">
        <v>364.33</v>
      </c>
      <c r="D1097" s="33">
        <v>25</v>
      </c>
      <c r="E1097" t="s">
        <v>141</v>
      </c>
      <c r="F1097" t="s">
        <v>102</v>
      </c>
      <c r="G1097" s="33">
        <v>32</v>
      </c>
    </row>
    <row r="1098" spans="1:7">
      <c r="A1098" t="s">
        <v>22</v>
      </c>
      <c r="B1098" t="s">
        <v>182</v>
      </c>
      <c r="C1098" s="32">
        <v>364.47</v>
      </c>
      <c r="D1098" s="33">
        <v>26</v>
      </c>
      <c r="E1098" t="s">
        <v>142</v>
      </c>
      <c r="F1098" t="s">
        <v>93</v>
      </c>
      <c r="G1098" s="33">
        <v>31</v>
      </c>
    </row>
    <row r="1099" spans="1:7">
      <c r="A1099" t="s">
        <v>22</v>
      </c>
      <c r="B1099" t="s">
        <v>182</v>
      </c>
      <c r="C1099" s="32">
        <v>364.61</v>
      </c>
      <c r="D1099" s="33">
        <v>27</v>
      </c>
      <c r="E1099" t="s">
        <v>143</v>
      </c>
      <c r="F1099" t="s">
        <v>90</v>
      </c>
      <c r="G1099" s="33">
        <v>31</v>
      </c>
    </row>
    <row r="1100" spans="1:7">
      <c r="A1100" t="s">
        <v>22</v>
      </c>
      <c r="B1100" t="s">
        <v>182</v>
      </c>
      <c r="C1100" s="32">
        <v>364.75</v>
      </c>
      <c r="D1100" s="33">
        <v>28</v>
      </c>
      <c r="E1100" t="s">
        <v>144</v>
      </c>
      <c r="F1100" t="s">
        <v>90</v>
      </c>
      <c r="G1100" s="33">
        <v>31</v>
      </c>
    </row>
    <row r="1101" spans="1:7">
      <c r="A1101" t="s">
        <v>22</v>
      </c>
      <c r="B1101" t="s">
        <v>182</v>
      </c>
      <c r="C1101" s="32">
        <v>364.88</v>
      </c>
      <c r="D1101" s="33">
        <v>29</v>
      </c>
      <c r="E1101" t="s">
        <v>145</v>
      </c>
      <c r="F1101" t="s">
        <v>90</v>
      </c>
      <c r="G1101" s="33">
        <v>31</v>
      </c>
    </row>
    <row r="1102" spans="1:7">
      <c r="A1102" t="s">
        <v>22</v>
      </c>
      <c r="B1102" t="s">
        <v>182</v>
      </c>
      <c r="C1102" s="32">
        <v>365.02</v>
      </c>
      <c r="D1102" s="33">
        <v>30</v>
      </c>
      <c r="E1102" t="s">
        <v>146</v>
      </c>
      <c r="F1102" t="s">
        <v>93</v>
      </c>
      <c r="G1102" s="33">
        <v>32</v>
      </c>
    </row>
    <row r="1103" spans="1:7">
      <c r="A1103" t="s">
        <v>22</v>
      </c>
      <c r="B1103" t="s">
        <v>182</v>
      </c>
      <c r="C1103" s="32">
        <v>365.16</v>
      </c>
      <c r="D1103" s="33">
        <v>31</v>
      </c>
      <c r="E1103" t="s">
        <v>148</v>
      </c>
      <c r="F1103" t="s">
        <v>90</v>
      </c>
      <c r="G1103" s="33">
        <v>31</v>
      </c>
    </row>
    <row r="1104" spans="1:7">
      <c r="A1104" t="s">
        <v>22</v>
      </c>
      <c r="B1104" t="s">
        <v>182</v>
      </c>
      <c r="C1104" s="32">
        <v>365.3</v>
      </c>
      <c r="D1104" s="33">
        <v>32</v>
      </c>
      <c r="E1104" t="s">
        <v>149</v>
      </c>
      <c r="F1104" t="s">
        <v>96</v>
      </c>
      <c r="G1104" s="33">
        <v>31</v>
      </c>
    </row>
    <row r="1105" spans="1:7">
      <c r="A1105" t="s">
        <v>22</v>
      </c>
      <c r="B1105" t="s">
        <v>182</v>
      </c>
      <c r="C1105" s="32">
        <v>365.44</v>
      </c>
      <c r="D1105" s="33">
        <v>33</v>
      </c>
      <c r="E1105" t="s">
        <v>150</v>
      </c>
      <c r="F1105" t="s">
        <v>90</v>
      </c>
      <c r="G1105" s="33">
        <v>31</v>
      </c>
    </row>
    <row r="1106" spans="1:7">
      <c r="A1106" t="s">
        <v>22</v>
      </c>
      <c r="B1106" t="s">
        <v>182</v>
      </c>
      <c r="C1106" s="32">
        <v>365.58</v>
      </c>
      <c r="D1106" s="33">
        <v>34</v>
      </c>
      <c r="E1106" t="s">
        <v>151</v>
      </c>
      <c r="F1106" t="s">
        <v>93</v>
      </c>
      <c r="G1106" s="33">
        <v>32</v>
      </c>
    </row>
    <row r="1107" spans="1:7">
      <c r="A1107" t="s">
        <v>22</v>
      </c>
      <c r="B1107" t="s">
        <v>182</v>
      </c>
      <c r="C1107" s="32">
        <v>365.72</v>
      </c>
      <c r="D1107" s="33">
        <v>35</v>
      </c>
      <c r="E1107" t="s">
        <v>152</v>
      </c>
      <c r="F1107" t="s">
        <v>90</v>
      </c>
      <c r="G1107" s="33">
        <v>31</v>
      </c>
    </row>
    <row r="1108" spans="1:7">
      <c r="A1108" t="s">
        <v>22</v>
      </c>
      <c r="B1108" t="s">
        <v>182</v>
      </c>
      <c r="C1108" s="32">
        <v>365.85</v>
      </c>
      <c r="D1108" s="33">
        <v>36</v>
      </c>
      <c r="E1108" t="s">
        <v>153</v>
      </c>
      <c r="F1108" t="s">
        <v>90</v>
      </c>
      <c r="G1108" s="33">
        <v>31</v>
      </c>
    </row>
    <row r="1109" spans="1:7">
      <c r="A1109" t="s">
        <v>22</v>
      </c>
      <c r="B1109" t="s">
        <v>182</v>
      </c>
      <c r="C1109" s="32">
        <v>365.99</v>
      </c>
      <c r="D1109" s="33">
        <v>37</v>
      </c>
      <c r="E1109" t="s">
        <v>120</v>
      </c>
      <c r="F1109" t="s">
        <v>102</v>
      </c>
      <c r="G1109" s="33">
        <v>31</v>
      </c>
    </row>
    <row r="1110" spans="1:7">
      <c r="A1110" t="s">
        <v>22</v>
      </c>
      <c r="B1110" t="s">
        <v>182</v>
      </c>
      <c r="C1110" s="32">
        <v>366.13</v>
      </c>
      <c r="D1110" s="33">
        <v>38</v>
      </c>
      <c r="E1110" t="s">
        <v>115</v>
      </c>
      <c r="F1110" t="s">
        <v>93</v>
      </c>
      <c r="G1110" s="33">
        <v>31</v>
      </c>
    </row>
    <row r="1111" spans="1:7">
      <c r="A1111" t="s">
        <v>22</v>
      </c>
      <c r="B1111" t="s">
        <v>182</v>
      </c>
      <c r="C1111" s="32">
        <v>366.27</v>
      </c>
      <c r="D1111" s="33">
        <v>39</v>
      </c>
      <c r="E1111" t="s">
        <v>116</v>
      </c>
      <c r="F1111" t="s">
        <v>90</v>
      </c>
      <c r="G1111" s="33">
        <v>32</v>
      </c>
    </row>
    <row r="1112" spans="1:7">
      <c r="A1112" t="s">
        <v>22</v>
      </c>
      <c r="B1112" t="s">
        <v>182</v>
      </c>
      <c r="C1112" s="32">
        <v>366.41</v>
      </c>
      <c r="D1112" s="33">
        <v>40</v>
      </c>
      <c r="E1112" t="s">
        <v>117</v>
      </c>
      <c r="F1112" t="s">
        <v>96</v>
      </c>
      <c r="G1112" s="33">
        <v>31</v>
      </c>
    </row>
    <row r="1113" spans="1:7">
      <c r="A1113" t="s">
        <v>22</v>
      </c>
      <c r="B1113" t="s">
        <v>182</v>
      </c>
      <c r="C1113" s="32">
        <v>366.55</v>
      </c>
      <c r="D1113" s="33">
        <v>41</v>
      </c>
      <c r="E1113" t="s">
        <v>118</v>
      </c>
      <c r="F1113" t="s">
        <v>90</v>
      </c>
      <c r="G1113" s="33">
        <v>31</v>
      </c>
    </row>
    <row r="1114" spans="1:7">
      <c r="A1114" t="s">
        <v>22</v>
      </c>
      <c r="B1114" t="s">
        <v>182</v>
      </c>
      <c r="C1114" s="32">
        <v>366.69</v>
      </c>
      <c r="D1114" s="33">
        <v>42</v>
      </c>
      <c r="E1114" t="s">
        <v>122</v>
      </c>
      <c r="F1114" t="s">
        <v>90</v>
      </c>
      <c r="G1114" s="33">
        <v>31</v>
      </c>
    </row>
    <row r="1115" spans="1:7">
      <c r="A1115" t="s">
        <v>22</v>
      </c>
      <c r="B1115" t="s">
        <v>182</v>
      </c>
      <c r="C1115" s="32">
        <v>366.83</v>
      </c>
      <c r="D1115" s="33">
        <v>43</v>
      </c>
      <c r="E1115" t="s">
        <v>124</v>
      </c>
      <c r="F1115" t="s">
        <v>93</v>
      </c>
      <c r="G1115" s="33">
        <v>32</v>
      </c>
    </row>
    <row r="1116" spans="1:7">
      <c r="A1116" t="s">
        <v>22</v>
      </c>
      <c r="B1116" t="s">
        <v>182</v>
      </c>
      <c r="C1116" s="32">
        <v>366.96</v>
      </c>
      <c r="D1116" s="33">
        <v>44</v>
      </c>
      <c r="E1116" t="s">
        <v>125</v>
      </c>
      <c r="F1116" t="s">
        <v>90</v>
      </c>
      <c r="G1116" s="33">
        <v>31</v>
      </c>
    </row>
    <row r="1117" spans="1:7">
      <c r="A1117" t="s">
        <v>22</v>
      </c>
      <c r="B1117" t="s">
        <v>182</v>
      </c>
      <c r="C1117" s="32">
        <v>367.1</v>
      </c>
      <c r="D1117" s="33">
        <v>45</v>
      </c>
      <c r="E1117" t="s">
        <v>127</v>
      </c>
      <c r="F1117" t="s">
        <v>90</v>
      </c>
      <c r="G1117" s="33">
        <v>31</v>
      </c>
    </row>
    <row r="1118" spans="1:7">
      <c r="A1118" t="s">
        <v>22</v>
      </c>
      <c r="B1118" t="s">
        <v>182</v>
      </c>
      <c r="C1118" s="32">
        <v>367.24</v>
      </c>
      <c r="D1118" s="33">
        <v>46</v>
      </c>
      <c r="E1118" t="s">
        <v>128</v>
      </c>
      <c r="F1118" t="s">
        <v>93</v>
      </c>
      <c r="G1118" s="33">
        <v>31</v>
      </c>
    </row>
    <row r="1119" spans="1:7">
      <c r="A1119" t="s">
        <v>22</v>
      </c>
      <c r="B1119" t="s">
        <v>182</v>
      </c>
      <c r="C1119" s="32">
        <v>367.38</v>
      </c>
      <c r="D1119" s="33">
        <v>47</v>
      </c>
      <c r="E1119" t="s">
        <v>129</v>
      </c>
      <c r="F1119" t="s">
        <v>90</v>
      </c>
      <c r="G1119" s="33">
        <v>31</v>
      </c>
    </row>
    <row r="1120" spans="1:7">
      <c r="A1120" t="s">
        <v>22</v>
      </c>
      <c r="B1120" t="s">
        <v>182</v>
      </c>
      <c r="C1120" s="32">
        <v>367.52</v>
      </c>
      <c r="D1120" s="33">
        <v>48</v>
      </c>
      <c r="E1120" t="s">
        <v>130</v>
      </c>
      <c r="F1120" t="s">
        <v>90</v>
      </c>
      <c r="G1120" s="33">
        <v>32</v>
      </c>
    </row>
    <row r="1121" spans="1:7">
      <c r="A1121" t="s">
        <v>22</v>
      </c>
      <c r="B1121" t="s">
        <v>182</v>
      </c>
      <c r="C1121" s="32">
        <v>367.66</v>
      </c>
      <c r="D1121" s="33">
        <v>49</v>
      </c>
      <c r="E1121" t="s">
        <v>131</v>
      </c>
      <c r="F1121" t="s">
        <v>93</v>
      </c>
      <c r="G1121" s="33">
        <v>31</v>
      </c>
    </row>
    <row r="1122" spans="1:7">
      <c r="A1122" t="s">
        <v>22</v>
      </c>
      <c r="B1122" t="s">
        <v>182</v>
      </c>
      <c r="C1122" s="32">
        <v>367.8</v>
      </c>
      <c r="D1122" s="33">
        <v>50</v>
      </c>
      <c r="E1122" t="s">
        <v>133</v>
      </c>
      <c r="F1122" t="s">
        <v>102</v>
      </c>
      <c r="G1122" s="33">
        <v>31</v>
      </c>
    </row>
    <row r="1123" spans="1:7">
      <c r="A1123" t="s">
        <v>22</v>
      </c>
      <c r="B1123" t="s">
        <v>182</v>
      </c>
      <c r="C1123" s="32">
        <v>367.94</v>
      </c>
      <c r="D1123" s="33">
        <v>51</v>
      </c>
      <c r="E1123" t="s">
        <v>134</v>
      </c>
      <c r="F1123" t="s">
        <v>96</v>
      </c>
      <c r="G1123" s="33">
        <v>31</v>
      </c>
    </row>
    <row r="1124" spans="1:7">
      <c r="A1124" t="s">
        <v>22</v>
      </c>
      <c r="B1124" t="s">
        <v>182</v>
      </c>
      <c r="C1124" s="32">
        <v>368.07</v>
      </c>
      <c r="D1124" s="33">
        <v>52</v>
      </c>
      <c r="E1124" t="s">
        <v>135</v>
      </c>
      <c r="F1124" t="s">
        <v>90</v>
      </c>
      <c r="G1124" s="33">
        <v>32</v>
      </c>
    </row>
    <row r="1125" spans="1:7">
      <c r="A1125" t="s">
        <v>22</v>
      </c>
      <c r="B1125" t="s">
        <v>182</v>
      </c>
      <c r="C1125" s="32">
        <v>368.21</v>
      </c>
      <c r="D1125" s="33">
        <v>53</v>
      </c>
      <c r="E1125" t="s">
        <v>136</v>
      </c>
      <c r="F1125" t="s">
        <v>90</v>
      </c>
      <c r="G1125" s="33">
        <v>31</v>
      </c>
    </row>
    <row r="1126" spans="1:7">
      <c r="A1126" t="s">
        <v>22</v>
      </c>
      <c r="B1126" t="s">
        <v>182</v>
      </c>
      <c r="C1126" s="32">
        <v>368.35</v>
      </c>
      <c r="D1126" s="33">
        <v>54</v>
      </c>
      <c r="E1126" t="s">
        <v>137</v>
      </c>
      <c r="F1126" t="s">
        <v>93</v>
      </c>
      <c r="G1126" s="33">
        <v>31</v>
      </c>
    </row>
    <row r="1127" spans="1:7">
      <c r="A1127" t="s">
        <v>22</v>
      </c>
      <c r="B1127" t="s">
        <v>182</v>
      </c>
      <c r="C1127" s="32">
        <v>368.49</v>
      </c>
      <c r="D1127" s="33">
        <v>55</v>
      </c>
      <c r="E1127" t="s">
        <v>138</v>
      </c>
      <c r="F1127" t="s">
        <v>90</v>
      </c>
      <c r="G1127" s="33">
        <v>31</v>
      </c>
    </row>
    <row r="1128" spans="1:7">
      <c r="A1128" t="s">
        <v>22</v>
      </c>
      <c r="B1128" t="s">
        <v>182</v>
      </c>
      <c r="C1128" s="32">
        <v>368.63</v>
      </c>
      <c r="D1128" s="33">
        <v>56</v>
      </c>
      <c r="E1128" t="s">
        <v>140</v>
      </c>
      <c r="F1128" t="s">
        <v>90</v>
      </c>
      <c r="G1128" s="33">
        <v>31</v>
      </c>
    </row>
    <row r="1129" spans="1:7">
      <c r="A1129" t="s">
        <v>22</v>
      </c>
      <c r="B1129" t="s">
        <v>182</v>
      </c>
      <c r="C1129" s="32">
        <v>368.77</v>
      </c>
      <c r="D1129" s="33">
        <v>57</v>
      </c>
      <c r="E1129" t="s">
        <v>141</v>
      </c>
      <c r="F1129" t="s">
        <v>93</v>
      </c>
      <c r="G1129" s="33">
        <v>32</v>
      </c>
    </row>
    <row r="1130" spans="1:7">
      <c r="A1130" t="s">
        <v>22</v>
      </c>
      <c r="B1130" t="s">
        <v>182</v>
      </c>
      <c r="C1130" s="32">
        <v>368.91</v>
      </c>
      <c r="D1130" s="33">
        <v>58</v>
      </c>
      <c r="E1130" t="s">
        <v>142</v>
      </c>
      <c r="F1130" t="s">
        <v>90</v>
      </c>
      <c r="G1130" s="33">
        <v>31</v>
      </c>
    </row>
    <row r="1131" spans="1:7">
      <c r="A1131" t="s">
        <v>22</v>
      </c>
      <c r="B1131" t="s">
        <v>182</v>
      </c>
      <c r="C1131" s="32">
        <v>369.05</v>
      </c>
      <c r="D1131" s="33">
        <v>59</v>
      </c>
      <c r="E1131" t="s">
        <v>143</v>
      </c>
      <c r="F1131" t="s">
        <v>96</v>
      </c>
      <c r="G1131" s="33">
        <v>31</v>
      </c>
    </row>
    <row r="1132" spans="1:7">
      <c r="A1132" t="s">
        <v>22</v>
      </c>
      <c r="B1132" t="s">
        <v>182</v>
      </c>
      <c r="C1132" s="32">
        <v>369.18</v>
      </c>
      <c r="D1132" s="33">
        <v>60</v>
      </c>
      <c r="E1132" t="s">
        <v>144</v>
      </c>
      <c r="F1132" t="s">
        <v>90</v>
      </c>
      <c r="G1132" s="33">
        <v>31</v>
      </c>
    </row>
    <row r="1133" spans="1:7">
      <c r="A1133" t="s">
        <v>22</v>
      </c>
      <c r="B1133" t="s">
        <v>182</v>
      </c>
      <c r="C1133" s="32">
        <v>369.32</v>
      </c>
      <c r="D1133" s="33">
        <v>61</v>
      </c>
      <c r="E1133" t="s">
        <v>145</v>
      </c>
      <c r="F1133" t="s">
        <v>90</v>
      </c>
      <c r="G1133" s="33">
        <v>32</v>
      </c>
    </row>
    <row r="1134" spans="1:7">
      <c r="A1134" t="s">
        <v>22</v>
      </c>
      <c r="B1134" t="s">
        <v>182</v>
      </c>
      <c r="C1134" s="32">
        <v>369.46</v>
      </c>
      <c r="D1134" s="33">
        <v>62</v>
      </c>
      <c r="E1134" t="s">
        <v>146</v>
      </c>
      <c r="F1134" t="s">
        <v>93</v>
      </c>
      <c r="G1134" s="33">
        <v>31</v>
      </c>
    </row>
    <row r="1135" spans="1:7">
      <c r="A1135" t="s">
        <v>22</v>
      </c>
      <c r="B1135" t="s">
        <v>182</v>
      </c>
      <c r="C1135" s="32">
        <v>369.6</v>
      </c>
      <c r="D1135" s="33">
        <v>63</v>
      </c>
      <c r="E1135" t="s">
        <v>148</v>
      </c>
      <c r="F1135" t="s">
        <v>102</v>
      </c>
      <c r="G1135" s="33">
        <v>31</v>
      </c>
    </row>
    <row r="1136" spans="1:7">
      <c r="A1136" t="s">
        <v>22</v>
      </c>
      <c r="B1136" t="s">
        <v>183</v>
      </c>
      <c r="C1136" s="32">
        <v>371</v>
      </c>
      <c r="D1136" s="33">
        <v>1</v>
      </c>
      <c r="E1136" t="s">
        <v>143</v>
      </c>
      <c r="F1136" t="s">
        <v>90</v>
      </c>
      <c r="G1136" s="33">
        <v>32</v>
      </c>
    </row>
    <row r="1137" spans="1:7">
      <c r="A1137" t="s">
        <v>22</v>
      </c>
      <c r="B1137" t="s">
        <v>183</v>
      </c>
      <c r="C1137" s="32">
        <v>371.13</v>
      </c>
      <c r="D1137" s="33">
        <v>2</v>
      </c>
      <c r="E1137" t="s">
        <v>144</v>
      </c>
      <c r="F1137" t="s">
        <v>93</v>
      </c>
      <c r="G1137" s="33">
        <v>33</v>
      </c>
    </row>
    <row r="1138" spans="1:7">
      <c r="A1138" t="s">
        <v>22</v>
      </c>
      <c r="B1138" t="s">
        <v>183</v>
      </c>
      <c r="C1138" s="32">
        <v>371.26</v>
      </c>
      <c r="D1138" s="33">
        <v>3</v>
      </c>
      <c r="E1138" t="s">
        <v>145</v>
      </c>
      <c r="F1138" t="s">
        <v>90</v>
      </c>
      <c r="G1138" s="33">
        <v>32</v>
      </c>
    </row>
    <row r="1139" spans="1:7">
      <c r="A1139" t="s">
        <v>22</v>
      </c>
      <c r="B1139" t="s">
        <v>183</v>
      </c>
      <c r="C1139" s="32">
        <v>371.4</v>
      </c>
      <c r="D1139" s="33">
        <v>4</v>
      </c>
      <c r="E1139" t="s">
        <v>146</v>
      </c>
      <c r="F1139" t="s">
        <v>90</v>
      </c>
      <c r="G1139" s="33">
        <v>32</v>
      </c>
    </row>
    <row r="1140" spans="1:7">
      <c r="A1140" t="s">
        <v>22</v>
      </c>
      <c r="B1140" t="s">
        <v>183</v>
      </c>
      <c r="C1140" s="32">
        <v>371.53</v>
      </c>
      <c r="D1140" s="33">
        <v>5</v>
      </c>
      <c r="E1140" t="s">
        <v>148</v>
      </c>
      <c r="F1140" t="s">
        <v>96</v>
      </c>
      <c r="G1140" s="33">
        <v>32</v>
      </c>
    </row>
    <row r="1141" spans="1:7">
      <c r="A1141" t="s">
        <v>22</v>
      </c>
      <c r="B1141" t="s">
        <v>183</v>
      </c>
      <c r="C1141" s="32">
        <v>371.66</v>
      </c>
      <c r="D1141" s="33">
        <v>6</v>
      </c>
      <c r="E1141" t="s">
        <v>149</v>
      </c>
      <c r="F1141" t="s">
        <v>90</v>
      </c>
      <c r="G1141" s="33">
        <v>33</v>
      </c>
    </row>
    <row r="1142" spans="1:7">
      <c r="A1142" t="s">
        <v>22</v>
      </c>
      <c r="B1142" t="s">
        <v>183</v>
      </c>
      <c r="C1142" s="32">
        <v>371.79</v>
      </c>
      <c r="D1142" s="33">
        <v>7</v>
      </c>
      <c r="E1142" t="s">
        <v>150</v>
      </c>
      <c r="F1142" t="s">
        <v>93</v>
      </c>
      <c r="G1142" s="33">
        <v>32</v>
      </c>
    </row>
    <row r="1143" spans="1:7">
      <c r="A1143" t="s">
        <v>22</v>
      </c>
      <c r="B1143" t="s">
        <v>183</v>
      </c>
      <c r="C1143" s="32">
        <v>371.93</v>
      </c>
      <c r="D1143" s="33">
        <v>8</v>
      </c>
      <c r="E1143" t="s">
        <v>151</v>
      </c>
      <c r="F1143" t="s">
        <v>90</v>
      </c>
      <c r="G1143" s="33">
        <v>32</v>
      </c>
    </row>
    <row r="1144" spans="1:7">
      <c r="A1144" t="s">
        <v>22</v>
      </c>
      <c r="B1144" t="s">
        <v>183</v>
      </c>
      <c r="C1144" s="32">
        <v>372.06</v>
      </c>
      <c r="D1144" s="33">
        <v>9</v>
      </c>
      <c r="E1144" t="s">
        <v>152</v>
      </c>
      <c r="F1144" t="s">
        <v>90</v>
      </c>
      <c r="G1144" s="33">
        <v>32</v>
      </c>
    </row>
    <row r="1145" spans="1:7">
      <c r="A1145" t="s">
        <v>22</v>
      </c>
      <c r="B1145" t="s">
        <v>183</v>
      </c>
      <c r="C1145" s="32">
        <v>372.19</v>
      </c>
      <c r="D1145" s="33">
        <v>10</v>
      </c>
      <c r="E1145" t="s">
        <v>153</v>
      </c>
      <c r="F1145" t="s">
        <v>93</v>
      </c>
      <c r="G1145" s="33">
        <v>33</v>
      </c>
    </row>
    <row r="1146" spans="1:7">
      <c r="A1146" t="s">
        <v>22</v>
      </c>
      <c r="B1146" t="s">
        <v>183</v>
      </c>
      <c r="C1146" s="32">
        <v>372.32</v>
      </c>
      <c r="D1146" s="33">
        <v>11</v>
      </c>
      <c r="E1146" t="s">
        <v>120</v>
      </c>
      <c r="F1146" t="s">
        <v>90</v>
      </c>
      <c r="G1146" s="33">
        <v>32</v>
      </c>
    </row>
    <row r="1147" spans="1:7">
      <c r="A1147" t="s">
        <v>22</v>
      </c>
      <c r="B1147" t="s">
        <v>183</v>
      </c>
      <c r="C1147" s="32">
        <v>372.46</v>
      </c>
      <c r="D1147" s="33">
        <v>12</v>
      </c>
      <c r="E1147" t="s">
        <v>115</v>
      </c>
      <c r="F1147" t="s">
        <v>102</v>
      </c>
      <c r="G1147" s="33">
        <v>32</v>
      </c>
    </row>
    <row r="1148" spans="1:7">
      <c r="A1148" t="s">
        <v>22</v>
      </c>
      <c r="B1148" t="s">
        <v>183</v>
      </c>
      <c r="C1148" s="32">
        <v>372.59</v>
      </c>
      <c r="D1148" s="33">
        <v>13</v>
      </c>
      <c r="E1148" t="s">
        <v>116</v>
      </c>
      <c r="F1148" t="s">
        <v>96</v>
      </c>
      <c r="G1148" s="33">
        <v>32</v>
      </c>
    </row>
    <row r="1149" spans="1:7">
      <c r="A1149" t="s">
        <v>22</v>
      </c>
      <c r="B1149" t="s">
        <v>183</v>
      </c>
      <c r="C1149" s="32">
        <v>372.72</v>
      </c>
      <c r="D1149" s="33">
        <v>14</v>
      </c>
      <c r="E1149" t="s">
        <v>117</v>
      </c>
      <c r="F1149" t="s">
        <v>90</v>
      </c>
      <c r="G1149" s="33">
        <v>33</v>
      </c>
    </row>
    <row r="1150" spans="1:7">
      <c r="A1150" t="s">
        <v>22</v>
      </c>
      <c r="B1150" t="s">
        <v>183</v>
      </c>
      <c r="C1150" s="32">
        <v>372.85</v>
      </c>
      <c r="D1150" s="33">
        <v>15</v>
      </c>
      <c r="E1150" t="s">
        <v>118</v>
      </c>
      <c r="F1150" t="s">
        <v>93</v>
      </c>
      <c r="G1150" s="33">
        <v>32</v>
      </c>
    </row>
    <row r="1151" spans="1:7">
      <c r="A1151" t="s">
        <v>22</v>
      </c>
      <c r="B1151" t="s">
        <v>183</v>
      </c>
      <c r="C1151" s="32">
        <v>372.98</v>
      </c>
      <c r="D1151" s="33">
        <v>16</v>
      </c>
      <c r="E1151" t="s">
        <v>122</v>
      </c>
      <c r="F1151" t="s">
        <v>90</v>
      </c>
      <c r="G1151" s="33">
        <v>32</v>
      </c>
    </row>
    <row r="1152" spans="1:7">
      <c r="A1152" t="s">
        <v>22</v>
      </c>
      <c r="B1152" t="s">
        <v>183</v>
      </c>
      <c r="C1152" s="32">
        <v>373.12</v>
      </c>
      <c r="D1152" s="33">
        <v>17</v>
      </c>
      <c r="E1152" t="s">
        <v>124</v>
      </c>
      <c r="F1152" t="s">
        <v>90</v>
      </c>
      <c r="G1152" s="33">
        <v>32</v>
      </c>
    </row>
    <row r="1153" spans="1:7">
      <c r="A1153" t="s">
        <v>22</v>
      </c>
      <c r="B1153" t="s">
        <v>183</v>
      </c>
      <c r="C1153" s="32">
        <v>373.25</v>
      </c>
      <c r="D1153" s="33">
        <v>18</v>
      </c>
      <c r="E1153" t="s">
        <v>125</v>
      </c>
      <c r="F1153" t="s">
        <v>93</v>
      </c>
      <c r="G1153" s="33">
        <v>33</v>
      </c>
    </row>
    <row r="1154" spans="1:7">
      <c r="A1154" t="s">
        <v>22</v>
      </c>
      <c r="B1154" t="s">
        <v>183</v>
      </c>
      <c r="C1154" s="32">
        <v>373.38</v>
      </c>
      <c r="D1154" s="33">
        <v>19</v>
      </c>
      <c r="E1154" t="s">
        <v>127</v>
      </c>
      <c r="F1154" t="s">
        <v>90</v>
      </c>
      <c r="G1154" s="33">
        <v>32</v>
      </c>
    </row>
    <row r="1155" spans="1:7">
      <c r="A1155" t="s">
        <v>22</v>
      </c>
      <c r="B1155" t="s">
        <v>183</v>
      </c>
      <c r="C1155" s="32">
        <v>373.51</v>
      </c>
      <c r="D1155" s="33">
        <v>20</v>
      </c>
      <c r="E1155" t="s">
        <v>128</v>
      </c>
      <c r="F1155" t="s">
        <v>90</v>
      </c>
      <c r="G1155" s="33">
        <v>32</v>
      </c>
    </row>
    <row r="1156" spans="1:7">
      <c r="A1156" t="s">
        <v>22</v>
      </c>
      <c r="B1156" t="s">
        <v>183</v>
      </c>
      <c r="C1156" s="32">
        <v>373.65</v>
      </c>
      <c r="D1156" s="33">
        <v>21</v>
      </c>
      <c r="E1156" t="s">
        <v>129</v>
      </c>
      <c r="F1156" t="s">
        <v>93</v>
      </c>
      <c r="G1156" s="33">
        <v>32</v>
      </c>
    </row>
    <row r="1157" spans="1:7">
      <c r="A1157" t="s">
        <v>22</v>
      </c>
      <c r="B1157" t="s">
        <v>183</v>
      </c>
      <c r="C1157" s="32">
        <v>373.78</v>
      </c>
      <c r="D1157" s="33">
        <v>22</v>
      </c>
      <c r="E1157" t="s">
        <v>130</v>
      </c>
      <c r="F1157" t="s">
        <v>90</v>
      </c>
      <c r="G1157" s="33">
        <v>33</v>
      </c>
    </row>
    <row r="1158" spans="1:7">
      <c r="A1158" t="s">
        <v>22</v>
      </c>
      <c r="B1158" t="s">
        <v>183</v>
      </c>
      <c r="C1158" s="32">
        <v>373.91</v>
      </c>
      <c r="D1158" s="33">
        <v>23</v>
      </c>
      <c r="E1158" t="s">
        <v>131</v>
      </c>
      <c r="F1158" t="s">
        <v>90</v>
      </c>
      <c r="G1158" s="33">
        <v>32</v>
      </c>
    </row>
    <row r="1159" spans="1:7">
      <c r="A1159" t="s">
        <v>22</v>
      </c>
      <c r="B1159" t="s">
        <v>183</v>
      </c>
      <c r="C1159" s="32">
        <v>374.04</v>
      </c>
      <c r="D1159" s="33">
        <v>24</v>
      </c>
      <c r="E1159" t="s">
        <v>133</v>
      </c>
      <c r="F1159" t="s">
        <v>96</v>
      </c>
      <c r="G1159" s="33">
        <v>32</v>
      </c>
    </row>
    <row r="1160" spans="1:7">
      <c r="A1160" t="s">
        <v>22</v>
      </c>
      <c r="B1160" t="s">
        <v>183</v>
      </c>
      <c r="C1160" s="32">
        <v>374.18</v>
      </c>
      <c r="D1160" s="33">
        <v>25</v>
      </c>
      <c r="E1160" t="s">
        <v>134</v>
      </c>
      <c r="F1160" t="s">
        <v>102</v>
      </c>
      <c r="G1160" s="33">
        <v>32</v>
      </c>
    </row>
    <row r="1161" spans="1:7">
      <c r="A1161" t="s">
        <v>22</v>
      </c>
      <c r="B1161" t="s">
        <v>183</v>
      </c>
      <c r="C1161" s="32">
        <v>374.31</v>
      </c>
      <c r="D1161" s="33">
        <v>26</v>
      </c>
      <c r="E1161" t="s">
        <v>135</v>
      </c>
      <c r="F1161" t="s">
        <v>93</v>
      </c>
      <c r="G1161" s="33">
        <v>33</v>
      </c>
    </row>
    <row r="1162" spans="1:7">
      <c r="A1162" t="s">
        <v>22</v>
      </c>
      <c r="B1162" t="s">
        <v>183</v>
      </c>
      <c r="C1162" s="32">
        <v>374.44</v>
      </c>
      <c r="D1162" s="33">
        <v>27</v>
      </c>
      <c r="E1162" t="s">
        <v>136</v>
      </c>
      <c r="F1162" t="s">
        <v>90</v>
      </c>
      <c r="G1162" s="33">
        <v>32</v>
      </c>
    </row>
    <row r="1163" spans="1:7">
      <c r="A1163" t="s">
        <v>22</v>
      </c>
      <c r="B1163" t="s">
        <v>183</v>
      </c>
      <c r="C1163" s="32">
        <v>374.57</v>
      </c>
      <c r="D1163" s="33">
        <v>28</v>
      </c>
      <c r="E1163" t="s">
        <v>137</v>
      </c>
      <c r="F1163" t="s">
        <v>90</v>
      </c>
      <c r="G1163" s="33">
        <v>32</v>
      </c>
    </row>
    <row r="1164" spans="1:7">
      <c r="A1164" t="s">
        <v>22</v>
      </c>
      <c r="B1164" t="s">
        <v>183</v>
      </c>
      <c r="C1164" s="32">
        <v>374.7</v>
      </c>
      <c r="D1164" s="33">
        <v>29</v>
      </c>
      <c r="E1164" t="s">
        <v>138</v>
      </c>
      <c r="F1164" t="s">
        <v>93</v>
      </c>
      <c r="G1164" s="33">
        <v>32</v>
      </c>
    </row>
    <row r="1165" spans="1:7">
      <c r="A1165" t="s">
        <v>22</v>
      </c>
      <c r="B1165" t="s">
        <v>183</v>
      </c>
      <c r="C1165" s="32">
        <v>374.84</v>
      </c>
      <c r="D1165" s="33">
        <v>30</v>
      </c>
      <c r="E1165" t="s">
        <v>140</v>
      </c>
      <c r="F1165" t="s">
        <v>90</v>
      </c>
      <c r="G1165" s="33">
        <v>33</v>
      </c>
    </row>
    <row r="1166" spans="1:7">
      <c r="A1166" t="s">
        <v>22</v>
      </c>
      <c r="B1166" t="s">
        <v>183</v>
      </c>
      <c r="C1166" s="32">
        <v>374.97</v>
      </c>
      <c r="D1166" s="33">
        <v>31</v>
      </c>
      <c r="E1166" t="s">
        <v>141</v>
      </c>
      <c r="F1166" t="s">
        <v>90</v>
      </c>
      <c r="G1166" s="33">
        <v>32</v>
      </c>
    </row>
    <row r="1167" spans="1:7">
      <c r="A1167" t="s">
        <v>22</v>
      </c>
      <c r="B1167" t="s">
        <v>183</v>
      </c>
      <c r="C1167" s="32">
        <v>375.1</v>
      </c>
      <c r="D1167" s="33">
        <v>32</v>
      </c>
      <c r="E1167" t="s">
        <v>142</v>
      </c>
      <c r="F1167" t="s">
        <v>96</v>
      </c>
      <c r="G1167" s="33">
        <v>32</v>
      </c>
    </row>
    <row r="1168" spans="1:7">
      <c r="A1168" t="s">
        <v>22</v>
      </c>
      <c r="B1168" t="s">
        <v>183</v>
      </c>
      <c r="C1168" s="32">
        <v>375.23</v>
      </c>
      <c r="D1168" s="33">
        <v>33</v>
      </c>
      <c r="E1168" t="s">
        <v>143</v>
      </c>
      <c r="F1168" t="s">
        <v>90</v>
      </c>
      <c r="G1168" s="33">
        <v>32</v>
      </c>
    </row>
    <row r="1169" spans="1:7">
      <c r="A1169" t="s">
        <v>22</v>
      </c>
      <c r="B1169" t="s">
        <v>183</v>
      </c>
      <c r="C1169" s="32">
        <v>375.37</v>
      </c>
      <c r="D1169" s="33">
        <v>34</v>
      </c>
      <c r="E1169" t="s">
        <v>144</v>
      </c>
      <c r="F1169" t="s">
        <v>93</v>
      </c>
      <c r="G1169" s="33">
        <v>33</v>
      </c>
    </row>
    <row r="1170" spans="1:7">
      <c r="A1170" t="s">
        <v>22</v>
      </c>
      <c r="B1170" t="s">
        <v>183</v>
      </c>
      <c r="C1170" s="32">
        <v>375.5</v>
      </c>
      <c r="D1170" s="33">
        <v>35</v>
      </c>
      <c r="E1170" t="s">
        <v>145</v>
      </c>
      <c r="F1170" t="s">
        <v>90</v>
      </c>
      <c r="G1170" s="33">
        <v>32</v>
      </c>
    </row>
    <row r="1171" spans="1:7">
      <c r="A1171" t="s">
        <v>22</v>
      </c>
      <c r="B1171" t="s">
        <v>183</v>
      </c>
      <c r="C1171" s="32">
        <v>375.63</v>
      </c>
      <c r="D1171" s="33">
        <v>36</v>
      </c>
      <c r="E1171" t="s">
        <v>146</v>
      </c>
      <c r="F1171" t="s">
        <v>90</v>
      </c>
      <c r="G1171" s="33">
        <v>32</v>
      </c>
    </row>
    <row r="1172" spans="1:7">
      <c r="A1172" t="s">
        <v>22</v>
      </c>
      <c r="B1172" t="s">
        <v>183</v>
      </c>
      <c r="C1172" s="32">
        <v>375.76</v>
      </c>
      <c r="D1172" s="33">
        <v>37</v>
      </c>
      <c r="E1172" t="s">
        <v>148</v>
      </c>
      <c r="F1172" t="s">
        <v>102</v>
      </c>
      <c r="G1172" s="33">
        <v>33</v>
      </c>
    </row>
    <row r="1173" spans="1:7">
      <c r="A1173" t="s">
        <v>22</v>
      </c>
      <c r="B1173" t="s">
        <v>183</v>
      </c>
      <c r="C1173" s="32">
        <v>375.9</v>
      </c>
      <c r="D1173" s="33">
        <v>38</v>
      </c>
      <c r="E1173" t="s">
        <v>149</v>
      </c>
      <c r="F1173" t="s">
        <v>93</v>
      </c>
      <c r="G1173" s="33">
        <v>32</v>
      </c>
    </row>
    <row r="1174" spans="1:7">
      <c r="A1174" t="s">
        <v>22</v>
      </c>
      <c r="B1174" t="s">
        <v>183</v>
      </c>
      <c r="C1174" s="32">
        <v>376.03</v>
      </c>
      <c r="D1174" s="33">
        <v>39</v>
      </c>
      <c r="E1174" t="s">
        <v>150</v>
      </c>
      <c r="F1174" t="s">
        <v>90</v>
      </c>
      <c r="G1174" s="33">
        <v>32</v>
      </c>
    </row>
    <row r="1175" spans="1:7">
      <c r="A1175" t="s">
        <v>22</v>
      </c>
      <c r="B1175" t="s">
        <v>183</v>
      </c>
      <c r="C1175" s="32">
        <v>376.16</v>
      </c>
      <c r="D1175" s="33">
        <v>40</v>
      </c>
      <c r="E1175" t="s">
        <v>151</v>
      </c>
      <c r="F1175" t="s">
        <v>90</v>
      </c>
      <c r="G1175" s="33">
        <v>32</v>
      </c>
    </row>
    <row r="1176" spans="1:7">
      <c r="A1176" t="s">
        <v>22</v>
      </c>
      <c r="B1176" t="s">
        <v>183</v>
      </c>
      <c r="C1176" s="32">
        <v>376.29</v>
      </c>
      <c r="D1176" s="33">
        <v>41</v>
      </c>
      <c r="E1176" t="s">
        <v>152</v>
      </c>
      <c r="F1176" t="s">
        <v>93</v>
      </c>
      <c r="G1176" s="33">
        <v>33</v>
      </c>
    </row>
    <row r="1177" spans="1:7">
      <c r="A1177" t="s">
        <v>22</v>
      </c>
      <c r="B1177" t="s">
        <v>183</v>
      </c>
      <c r="C1177" s="32">
        <v>376.42</v>
      </c>
      <c r="D1177" s="33">
        <v>42</v>
      </c>
      <c r="E1177" t="s">
        <v>153</v>
      </c>
      <c r="F1177" t="s">
        <v>90</v>
      </c>
      <c r="G1177" s="33">
        <v>32</v>
      </c>
    </row>
    <row r="1178" spans="1:7">
      <c r="A1178" t="s">
        <v>22</v>
      </c>
      <c r="B1178" t="s">
        <v>183</v>
      </c>
      <c r="C1178" s="32">
        <v>376.56</v>
      </c>
      <c r="D1178" s="33">
        <v>43</v>
      </c>
      <c r="E1178" t="s">
        <v>120</v>
      </c>
      <c r="F1178" t="s">
        <v>96</v>
      </c>
      <c r="G1178" s="33">
        <v>32</v>
      </c>
    </row>
    <row r="1179" spans="1:7">
      <c r="A1179" t="s">
        <v>22</v>
      </c>
      <c r="B1179" t="s">
        <v>183</v>
      </c>
      <c r="C1179" s="32">
        <v>376.69</v>
      </c>
      <c r="D1179" s="33">
        <v>44</v>
      </c>
      <c r="E1179" t="s">
        <v>115</v>
      </c>
      <c r="F1179" t="s">
        <v>90</v>
      </c>
      <c r="G1179" s="33">
        <v>32</v>
      </c>
    </row>
    <row r="1180" spans="1:7">
      <c r="A1180" t="s">
        <v>22</v>
      </c>
      <c r="B1180" t="s">
        <v>183</v>
      </c>
      <c r="C1180" s="32">
        <v>376.82</v>
      </c>
      <c r="D1180" s="33">
        <v>45</v>
      </c>
      <c r="E1180" t="s">
        <v>116</v>
      </c>
      <c r="F1180" t="s">
        <v>90</v>
      </c>
      <c r="G1180" s="33">
        <v>33</v>
      </c>
    </row>
    <row r="1181" spans="1:7">
      <c r="A1181" t="s">
        <v>22</v>
      </c>
      <c r="B1181" t="s">
        <v>183</v>
      </c>
      <c r="C1181" s="32">
        <v>376.95</v>
      </c>
      <c r="D1181" s="33">
        <v>46</v>
      </c>
      <c r="E1181" t="s">
        <v>117</v>
      </c>
      <c r="F1181" t="s">
        <v>93</v>
      </c>
      <c r="G1181" s="33">
        <v>32</v>
      </c>
    </row>
    <row r="1182" spans="1:7">
      <c r="A1182" t="s">
        <v>22</v>
      </c>
      <c r="B1182" t="s">
        <v>183</v>
      </c>
      <c r="C1182" s="32">
        <v>377.09</v>
      </c>
      <c r="D1182" s="33">
        <v>47</v>
      </c>
      <c r="E1182" t="s">
        <v>118</v>
      </c>
      <c r="F1182" t="s">
        <v>90</v>
      </c>
      <c r="G1182" s="33">
        <v>32</v>
      </c>
    </row>
    <row r="1183" spans="1:7">
      <c r="A1183" t="s">
        <v>22</v>
      </c>
      <c r="B1183" t="s">
        <v>183</v>
      </c>
      <c r="C1183" s="32">
        <v>377.22</v>
      </c>
      <c r="D1183" s="33">
        <v>48</v>
      </c>
      <c r="E1183" t="s">
        <v>122</v>
      </c>
      <c r="F1183" t="s">
        <v>90</v>
      </c>
      <c r="G1183" s="33">
        <v>32</v>
      </c>
    </row>
    <row r="1184" spans="1:7">
      <c r="A1184" t="s">
        <v>22</v>
      </c>
      <c r="B1184" t="s">
        <v>183</v>
      </c>
      <c r="C1184" s="32">
        <v>377.35</v>
      </c>
      <c r="D1184" s="33">
        <v>49</v>
      </c>
      <c r="E1184" t="s">
        <v>124</v>
      </c>
      <c r="F1184" t="s">
        <v>93</v>
      </c>
      <c r="G1184" s="33">
        <v>33</v>
      </c>
    </row>
    <row r="1185" spans="1:7">
      <c r="A1185" t="s">
        <v>22</v>
      </c>
      <c r="B1185" t="s">
        <v>183</v>
      </c>
      <c r="C1185" s="32">
        <v>377.48</v>
      </c>
      <c r="D1185" s="33">
        <v>50</v>
      </c>
      <c r="E1185" t="s">
        <v>125</v>
      </c>
      <c r="F1185" t="s">
        <v>102</v>
      </c>
      <c r="G1185" s="33">
        <v>32</v>
      </c>
    </row>
    <row r="1186" spans="1:7">
      <c r="A1186" t="s">
        <v>22</v>
      </c>
      <c r="B1186" t="s">
        <v>183</v>
      </c>
      <c r="C1186" s="32">
        <v>377.62</v>
      </c>
      <c r="D1186" s="33">
        <v>51</v>
      </c>
      <c r="E1186" t="s">
        <v>127</v>
      </c>
      <c r="F1186" t="s">
        <v>90</v>
      </c>
      <c r="G1186" s="33">
        <v>32</v>
      </c>
    </row>
    <row r="1187" spans="1:7">
      <c r="A1187" t="s">
        <v>22</v>
      </c>
      <c r="B1187" t="s">
        <v>183</v>
      </c>
      <c r="C1187" s="32">
        <v>377.75</v>
      </c>
      <c r="D1187" s="33">
        <v>52</v>
      </c>
      <c r="E1187" t="s">
        <v>128</v>
      </c>
      <c r="F1187" t="s">
        <v>96</v>
      </c>
      <c r="G1187" s="33">
        <v>32</v>
      </c>
    </row>
    <row r="1188" spans="1:7">
      <c r="A1188" t="s">
        <v>22</v>
      </c>
      <c r="B1188" t="s">
        <v>183</v>
      </c>
      <c r="C1188" s="32">
        <v>377.88</v>
      </c>
      <c r="D1188" s="33">
        <v>53</v>
      </c>
      <c r="E1188" t="s">
        <v>129</v>
      </c>
      <c r="F1188" t="s">
        <v>90</v>
      </c>
      <c r="G1188" s="33">
        <v>33</v>
      </c>
    </row>
    <row r="1189" spans="1:7">
      <c r="A1189" t="s">
        <v>22</v>
      </c>
      <c r="B1189" t="s">
        <v>183</v>
      </c>
      <c r="C1189" s="32">
        <v>378.01</v>
      </c>
      <c r="D1189" s="33">
        <v>54</v>
      </c>
      <c r="E1189" t="s">
        <v>130</v>
      </c>
      <c r="F1189" t="s">
        <v>93</v>
      </c>
      <c r="G1189" s="33">
        <v>32</v>
      </c>
    </row>
    <row r="1190" spans="1:7">
      <c r="A1190" t="s">
        <v>22</v>
      </c>
      <c r="B1190" t="s">
        <v>183</v>
      </c>
      <c r="C1190" s="32">
        <v>378.14</v>
      </c>
      <c r="D1190" s="33">
        <v>55</v>
      </c>
      <c r="E1190" t="s">
        <v>131</v>
      </c>
      <c r="F1190" t="s">
        <v>90</v>
      </c>
      <c r="G1190" s="33">
        <v>32</v>
      </c>
    </row>
    <row r="1191" spans="1:7">
      <c r="A1191" t="s">
        <v>22</v>
      </c>
      <c r="B1191" t="s">
        <v>183</v>
      </c>
      <c r="C1191" s="32">
        <v>378.28</v>
      </c>
      <c r="D1191" s="33">
        <v>56</v>
      </c>
      <c r="E1191" t="s">
        <v>133</v>
      </c>
      <c r="F1191" t="s">
        <v>90</v>
      </c>
      <c r="G1191" s="33">
        <v>32</v>
      </c>
    </row>
    <row r="1192" spans="1:7">
      <c r="A1192" t="s">
        <v>22</v>
      </c>
      <c r="B1192" t="s">
        <v>183</v>
      </c>
      <c r="C1192" s="32">
        <v>378.41</v>
      </c>
      <c r="D1192" s="33">
        <v>57</v>
      </c>
      <c r="E1192" t="s">
        <v>134</v>
      </c>
      <c r="F1192" t="s">
        <v>93</v>
      </c>
      <c r="G1192" s="33">
        <v>33</v>
      </c>
    </row>
    <row r="1193" spans="1:7">
      <c r="A1193" t="s">
        <v>22</v>
      </c>
      <c r="B1193" t="s">
        <v>183</v>
      </c>
      <c r="C1193" s="32">
        <v>378.54</v>
      </c>
      <c r="D1193" s="33">
        <v>58</v>
      </c>
      <c r="E1193" t="s">
        <v>135</v>
      </c>
      <c r="F1193" t="s">
        <v>90</v>
      </c>
      <c r="G1193" s="33">
        <v>32</v>
      </c>
    </row>
    <row r="1194" spans="1:7">
      <c r="A1194" t="s">
        <v>22</v>
      </c>
      <c r="B1194" t="s">
        <v>183</v>
      </c>
      <c r="C1194" s="32">
        <v>378.67</v>
      </c>
      <c r="D1194" s="33">
        <v>59</v>
      </c>
      <c r="E1194" t="s">
        <v>136</v>
      </c>
      <c r="F1194" t="s">
        <v>90</v>
      </c>
      <c r="G1194" s="33">
        <v>32</v>
      </c>
    </row>
    <row r="1195" spans="1:7">
      <c r="A1195" t="s">
        <v>22</v>
      </c>
      <c r="B1195" t="s">
        <v>183</v>
      </c>
      <c r="C1195" s="32">
        <v>378.81</v>
      </c>
      <c r="D1195" s="33">
        <v>60</v>
      </c>
      <c r="E1195" t="s">
        <v>137</v>
      </c>
      <c r="F1195" t="s">
        <v>93</v>
      </c>
      <c r="G1195" s="33">
        <v>32</v>
      </c>
    </row>
    <row r="1196" spans="1:7">
      <c r="A1196" t="s">
        <v>22</v>
      </c>
      <c r="B1196" t="s">
        <v>183</v>
      </c>
      <c r="C1196" s="32">
        <v>378.94</v>
      </c>
      <c r="D1196" s="33">
        <v>61</v>
      </c>
      <c r="E1196" t="s">
        <v>138</v>
      </c>
      <c r="F1196" t="s">
        <v>90</v>
      </c>
      <c r="G1196" s="33">
        <v>33</v>
      </c>
    </row>
    <row r="1197" spans="1:7">
      <c r="A1197" t="s">
        <v>22</v>
      </c>
      <c r="B1197" t="s">
        <v>183</v>
      </c>
      <c r="C1197" s="32">
        <v>379.07</v>
      </c>
      <c r="D1197" s="33">
        <v>62</v>
      </c>
      <c r="E1197" t="s">
        <v>140</v>
      </c>
      <c r="F1197" t="s">
        <v>96</v>
      </c>
      <c r="G1197" s="33">
        <v>32</v>
      </c>
    </row>
    <row r="1198" spans="1:7">
      <c r="A1198" t="s">
        <v>22</v>
      </c>
      <c r="B1198" t="s">
        <v>183</v>
      </c>
      <c r="C1198" s="32">
        <v>379.2</v>
      </c>
      <c r="D1198" s="33">
        <v>63</v>
      </c>
      <c r="E1198" t="s">
        <v>141</v>
      </c>
      <c r="F1198" t="s">
        <v>102</v>
      </c>
      <c r="G1198" s="33">
        <v>32</v>
      </c>
    </row>
    <row r="1199" spans="1:7">
      <c r="A1199" t="s">
        <v>22</v>
      </c>
      <c r="B1199" t="s">
        <v>183</v>
      </c>
      <c r="C1199" s="32">
        <v>379.34</v>
      </c>
      <c r="D1199" s="33">
        <v>64</v>
      </c>
      <c r="E1199" t="s">
        <v>142</v>
      </c>
      <c r="F1199" t="s">
        <v>90</v>
      </c>
      <c r="G1199" s="33">
        <v>32</v>
      </c>
    </row>
    <row r="1200" spans="1:7">
      <c r="A1200" t="s">
        <v>22</v>
      </c>
      <c r="B1200" t="s">
        <v>183</v>
      </c>
      <c r="C1200" s="32">
        <v>379.47</v>
      </c>
      <c r="D1200" s="33">
        <v>65</v>
      </c>
      <c r="E1200" t="s">
        <v>143</v>
      </c>
      <c r="F1200" t="s">
        <v>93</v>
      </c>
      <c r="G1200" s="33">
        <v>33</v>
      </c>
    </row>
    <row r="1201" spans="1:7">
      <c r="A1201" t="s">
        <v>22</v>
      </c>
      <c r="B1201" t="s">
        <v>183</v>
      </c>
      <c r="C1201" s="32">
        <v>379.6</v>
      </c>
      <c r="D1201" s="33">
        <v>66</v>
      </c>
      <c r="E1201" t="s">
        <v>144</v>
      </c>
      <c r="F1201" t="s">
        <v>90</v>
      </c>
      <c r="G1201" s="33">
        <v>32</v>
      </c>
    </row>
    <row r="1202" spans="1:7">
      <c r="A1202" t="s">
        <v>22</v>
      </c>
      <c r="B1202" t="s">
        <v>184</v>
      </c>
      <c r="C1202" s="32">
        <v>381</v>
      </c>
      <c r="D1202" s="33">
        <v>1</v>
      </c>
      <c r="E1202" t="s">
        <v>140</v>
      </c>
      <c r="F1202" t="s">
        <v>90</v>
      </c>
      <c r="G1202" s="33">
        <v>33</v>
      </c>
    </row>
    <row r="1203" spans="1:7">
      <c r="A1203" t="s">
        <v>22</v>
      </c>
      <c r="B1203" t="s">
        <v>184</v>
      </c>
      <c r="C1203" s="32">
        <v>381.13</v>
      </c>
      <c r="D1203" s="33">
        <v>2</v>
      </c>
      <c r="E1203" t="s">
        <v>141</v>
      </c>
      <c r="F1203" t="s">
        <v>93</v>
      </c>
      <c r="G1203" s="33">
        <v>34</v>
      </c>
    </row>
    <row r="1204" spans="1:7">
      <c r="A1204" t="s">
        <v>22</v>
      </c>
      <c r="B1204" t="s">
        <v>184</v>
      </c>
      <c r="C1204" s="32">
        <v>381.26</v>
      </c>
      <c r="D1204" s="33">
        <v>3</v>
      </c>
      <c r="E1204" t="s">
        <v>142</v>
      </c>
      <c r="F1204" t="s">
        <v>90</v>
      </c>
      <c r="G1204" s="33">
        <v>33</v>
      </c>
    </row>
    <row r="1205" spans="1:7">
      <c r="A1205" t="s">
        <v>22</v>
      </c>
      <c r="B1205" t="s">
        <v>184</v>
      </c>
      <c r="C1205" s="32">
        <v>381.39</v>
      </c>
      <c r="D1205" s="33">
        <v>4</v>
      </c>
      <c r="E1205" t="s">
        <v>143</v>
      </c>
      <c r="F1205" t="s">
        <v>90</v>
      </c>
      <c r="G1205" s="33">
        <v>33</v>
      </c>
    </row>
    <row r="1206" spans="1:7">
      <c r="A1206" t="s">
        <v>22</v>
      </c>
      <c r="B1206" t="s">
        <v>184</v>
      </c>
      <c r="C1206" s="32">
        <v>381.51</v>
      </c>
      <c r="D1206" s="33">
        <v>5</v>
      </c>
      <c r="E1206" t="s">
        <v>144</v>
      </c>
      <c r="F1206" t="s">
        <v>96</v>
      </c>
      <c r="G1206" s="33">
        <v>33</v>
      </c>
    </row>
    <row r="1207" spans="1:7">
      <c r="A1207" t="s">
        <v>22</v>
      </c>
      <c r="B1207" t="s">
        <v>184</v>
      </c>
      <c r="C1207" s="32">
        <v>381.64</v>
      </c>
      <c r="D1207" s="33">
        <v>6</v>
      </c>
      <c r="E1207" t="s">
        <v>145</v>
      </c>
      <c r="F1207" t="s">
        <v>90</v>
      </c>
      <c r="G1207" s="33">
        <v>34</v>
      </c>
    </row>
    <row r="1208" spans="1:7">
      <c r="A1208" t="s">
        <v>22</v>
      </c>
      <c r="B1208" t="s">
        <v>184</v>
      </c>
      <c r="C1208" s="32">
        <v>381.77</v>
      </c>
      <c r="D1208" s="33">
        <v>7</v>
      </c>
      <c r="E1208" t="s">
        <v>146</v>
      </c>
      <c r="F1208" t="s">
        <v>93</v>
      </c>
      <c r="G1208" s="33">
        <v>33</v>
      </c>
    </row>
    <row r="1209" spans="1:7">
      <c r="A1209" t="s">
        <v>22</v>
      </c>
      <c r="B1209" t="s">
        <v>184</v>
      </c>
      <c r="C1209" s="32">
        <v>381.9</v>
      </c>
      <c r="D1209" s="33">
        <v>8</v>
      </c>
      <c r="E1209" t="s">
        <v>148</v>
      </c>
      <c r="F1209" t="s">
        <v>90</v>
      </c>
      <c r="G1209" s="33">
        <v>33</v>
      </c>
    </row>
    <row r="1210" spans="1:7">
      <c r="A1210" t="s">
        <v>22</v>
      </c>
      <c r="B1210" t="s">
        <v>184</v>
      </c>
      <c r="C1210" s="32">
        <v>382.03</v>
      </c>
      <c r="D1210" s="33">
        <v>9</v>
      </c>
      <c r="E1210" t="s">
        <v>149</v>
      </c>
      <c r="F1210" t="s">
        <v>90</v>
      </c>
      <c r="G1210" s="33">
        <v>34</v>
      </c>
    </row>
    <row r="1211" spans="1:7">
      <c r="A1211" t="s">
        <v>22</v>
      </c>
      <c r="B1211" t="s">
        <v>184</v>
      </c>
      <c r="C1211" s="32">
        <v>382.16</v>
      </c>
      <c r="D1211" s="33">
        <v>10</v>
      </c>
      <c r="E1211" t="s">
        <v>150</v>
      </c>
      <c r="F1211" t="s">
        <v>93</v>
      </c>
      <c r="G1211" s="33">
        <v>33</v>
      </c>
    </row>
    <row r="1212" spans="1:7">
      <c r="A1212" t="s">
        <v>22</v>
      </c>
      <c r="B1212" t="s">
        <v>184</v>
      </c>
      <c r="C1212" s="32">
        <v>382.28</v>
      </c>
      <c r="D1212" s="33">
        <v>11</v>
      </c>
      <c r="E1212" t="s">
        <v>151</v>
      </c>
      <c r="F1212" t="s">
        <v>90</v>
      </c>
      <c r="G1212" s="33">
        <v>33</v>
      </c>
    </row>
    <row r="1213" spans="1:7">
      <c r="A1213" t="s">
        <v>22</v>
      </c>
      <c r="B1213" t="s">
        <v>184</v>
      </c>
      <c r="C1213" s="32">
        <v>382.41</v>
      </c>
      <c r="D1213" s="33">
        <v>12</v>
      </c>
      <c r="E1213" t="s">
        <v>152</v>
      </c>
      <c r="F1213" t="s">
        <v>102</v>
      </c>
      <c r="G1213" s="33">
        <v>34</v>
      </c>
    </row>
    <row r="1214" spans="1:7">
      <c r="A1214" t="s">
        <v>22</v>
      </c>
      <c r="B1214" t="s">
        <v>184</v>
      </c>
      <c r="C1214" s="32">
        <v>382.54</v>
      </c>
      <c r="D1214" s="33">
        <v>13</v>
      </c>
      <c r="E1214" t="s">
        <v>153</v>
      </c>
      <c r="F1214" t="s">
        <v>96</v>
      </c>
      <c r="G1214" s="33">
        <v>33</v>
      </c>
    </row>
    <row r="1215" spans="1:7">
      <c r="A1215" t="s">
        <v>22</v>
      </c>
      <c r="B1215" t="s">
        <v>184</v>
      </c>
      <c r="C1215" s="32">
        <v>382.67</v>
      </c>
      <c r="D1215" s="33">
        <v>14</v>
      </c>
      <c r="E1215" t="s">
        <v>120</v>
      </c>
      <c r="F1215" t="s">
        <v>90</v>
      </c>
      <c r="G1215" s="33">
        <v>33</v>
      </c>
    </row>
    <row r="1216" spans="1:7">
      <c r="A1216" t="s">
        <v>22</v>
      </c>
      <c r="B1216" t="s">
        <v>184</v>
      </c>
      <c r="C1216" s="32">
        <v>382.8</v>
      </c>
      <c r="D1216" s="33">
        <v>15</v>
      </c>
      <c r="E1216" t="s">
        <v>115</v>
      </c>
      <c r="F1216" t="s">
        <v>93</v>
      </c>
      <c r="G1216" s="33">
        <v>33</v>
      </c>
    </row>
    <row r="1217" spans="1:7">
      <c r="A1217" t="s">
        <v>22</v>
      </c>
      <c r="B1217" t="s">
        <v>184</v>
      </c>
      <c r="C1217" s="32">
        <v>382.93</v>
      </c>
      <c r="D1217" s="33">
        <v>16</v>
      </c>
      <c r="E1217" t="s">
        <v>116</v>
      </c>
      <c r="F1217" t="s">
        <v>90</v>
      </c>
      <c r="G1217" s="33">
        <v>34</v>
      </c>
    </row>
    <row r="1218" spans="1:7">
      <c r="A1218" t="s">
        <v>22</v>
      </c>
      <c r="B1218" t="s">
        <v>184</v>
      </c>
      <c r="C1218" s="32">
        <v>383.05</v>
      </c>
      <c r="D1218" s="33">
        <v>17</v>
      </c>
      <c r="E1218" t="s">
        <v>117</v>
      </c>
      <c r="F1218" t="s">
        <v>90</v>
      </c>
      <c r="G1218" s="33">
        <v>33</v>
      </c>
    </row>
    <row r="1219" spans="1:7">
      <c r="A1219" t="s">
        <v>22</v>
      </c>
      <c r="B1219" t="s">
        <v>184</v>
      </c>
      <c r="C1219" s="32">
        <v>383.18</v>
      </c>
      <c r="D1219" s="33">
        <v>18</v>
      </c>
      <c r="E1219" t="s">
        <v>118</v>
      </c>
      <c r="F1219" t="s">
        <v>93</v>
      </c>
      <c r="G1219" s="33">
        <v>33</v>
      </c>
    </row>
    <row r="1220" spans="1:7">
      <c r="A1220" t="s">
        <v>22</v>
      </c>
      <c r="B1220" t="s">
        <v>184</v>
      </c>
      <c r="C1220" s="32">
        <v>383.31</v>
      </c>
      <c r="D1220" s="33">
        <v>19</v>
      </c>
      <c r="E1220" t="s">
        <v>122</v>
      </c>
      <c r="F1220" t="s">
        <v>90</v>
      </c>
      <c r="G1220" s="33">
        <v>34</v>
      </c>
    </row>
    <row r="1221" spans="1:7">
      <c r="A1221" t="s">
        <v>22</v>
      </c>
      <c r="B1221" t="s">
        <v>184</v>
      </c>
      <c r="C1221" s="32">
        <v>383.44</v>
      </c>
      <c r="D1221" s="33">
        <v>20</v>
      </c>
      <c r="E1221" t="s">
        <v>124</v>
      </c>
      <c r="F1221" t="s">
        <v>90</v>
      </c>
      <c r="G1221" s="33">
        <v>33</v>
      </c>
    </row>
    <row r="1222" spans="1:7">
      <c r="A1222" t="s">
        <v>22</v>
      </c>
      <c r="B1222" t="s">
        <v>184</v>
      </c>
      <c r="C1222" s="32">
        <v>383.57</v>
      </c>
      <c r="D1222" s="33">
        <v>21</v>
      </c>
      <c r="E1222" t="s">
        <v>125</v>
      </c>
      <c r="F1222" t="s">
        <v>96</v>
      </c>
      <c r="G1222" s="33">
        <v>33</v>
      </c>
    </row>
    <row r="1223" spans="1:7">
      <c r="A1223" t="s">
        <v>22</v>
      </c>
      <c r="B1223" t="s">
        <v>184</v>
      </c>
      <c r="C1223" s="32">
        <v>383.7</v>
      </c>
      <c r="D1223" s="33">
        <v>22</v>
      </c>
      <c r="E1223" t="s">
        <v>127</v>
      </c>
      <c r="F1223" t="s">
        <v>90</v>
      </c>
      <c r="G1223" s="33">
        <v>33</v>
      </c>
    </row>
    <row r="1224" spans="1:7">
      <c r="A1224" t="s">
        <v>22</v>
      </c>
      <c r="B1224" t="s">
        <v>184</v>
      </c>
      <c r="C1224" s="32">
        <v>383.82</v>
      </c>
      <c r="D1224" s="33">
        <v>23</v>
      </c>
      <c r="E1224" t="s">
        <v>128</v>
      </c>
      <c r="F1224" t="s">
        <v>93</v>
      </c>
      <c r="G1224" s="33">
        <v>34</v>
      </c>
    </row>
    <row r="1225" spans="1:7">
      <c r="A1225" t="s">
        <v>22</v>
      </c>
      <c r="B1225" t="s">
        <v>184</v>
      </c>
      <c r="C1225" s="32">
        <v>383.95</v>
      </c>
      <c r="D1225" s="33">
        <v>24</v>
      </c>
      <c r="E1225" t="s">
        <v>129</v>
      </c>
      <c r="F1225" t="s">
        <v>90</v>
      </c>
      <c r="G1225" s="33">
        <v>33</v>
      </c>
    </row>
    <row r="1226" spans="1:7">
      <c r="A1226" t="s">
        <v>22</v>
      </c>
      <c r="B1226" t="s">
        <v>184</v>
      </c>
      <c r="C1226" s="32">
        <v>384.08</v>
      </c>
      <c r="D1226" s="33">
        <v>25</v>
      </c>
      <c r="E1226" t="s">
        <v>130</v>
      </c>
      <c r="F1226" t="s">
        <v>102</v>
      </c>
      <c r="G1226" s="33">
        <v>33</v>
      </c>
    </row>
    <row r="1227" spans="1:7">
      <c r="A1227" t="s">
        <v>22</v>
      </c>
      <c r="B1227" t="s">
        <v>184</v>
      </c>
      <c r="C1227" s="32">
        <v>384.21</v>
      </c>
      <c r="D1227" s="33">
        <v>26</v>
      </c>
      <c r="E1227" t="s">
        <v>131</v>
      </c>
      <c r="F1227" t="s">
        <v>93</v>
      </c>
      <c r="G1227" s="33">
        <v>34</v>
      </c>
    </row>
    <row r="1228" spans="1:7">
      <c r="A1228" t="s">
        <v>22</v>
      </c>
      <c r="B1228" t="s">
        <v>184</v>
      </c>
      <c r="C1228" s="32">
        <v>384.34</v>
      </c>
      <c r="D1228" s="33">
        <v>27</v>
      </c>
      <c r="E1228" t="s">
        <v>133</v>
      </c>
      <c r="F1228" t="s">
        <v>90</v>
      </c>
      <c r="G1228" s="33">
        <v>33</v>
      </c>
    </row>
    <row r="1229" spans="1:7">
      <c r="A1229" t="s">
        <v>22</v>
      </c>
      <c r="B1229" t="s">
        <v>184</v>
      </c>
      <c r="C1229" s="32">
        <v>384.47</v>
      </c>
      <c r="D1229" s="33">
        <v>28</v>
      </c>
      <c r="E1229" t="s">
        <v>134</v>
      </c>
      <c r="F1229" t="s">
        <v>90</v>
      </c>
      <c r="G1229" s="33">
        <v>33</v>
      </c>
    </row>
    <row r="1230" spans="1:7">
      <c r="A1230" t="s">
        <v>22</v>
      </c>
      <c r="B1230" t="s">
        <v>184</v>
      </c>
      <c r="C1230" s="32">
        <v>384.59</v>
      </c>
      <c r="D1230" s="33">
        <v>29</v>
      </c>
      <c r="E1230" t="s">
        <v>135</v>
      </c>
      <c r="F1230" t="s">
        <v>96</v>
      </c>
      <c r="G1230" s="33">
        <v>34</v>
      </c>
    </row>
    <row r="1231" spans="1:7">
      <c r="A1231" t="s">
        <v>22</v>
      </c>
      <c r="B1231" t="s">
        <v>184</v>
      </c>
      <c r="C1231" s="32">
        <v>384.72</v>
      </c>
      <c r="D1231" s="33">
        <v>30</v>
      </c>
      <c r="E1231" t="s">
        <v>136</v>
      </c>
      <c r="F1231" t="s">
        <v>90</v>
      </c>
      <c r="G1231" s="33">
        <v>33</v>
      </c>
    </row>
    <row r="1232" spans="1:7">
      <c r="A1232" t="s">
        <v>22</v>
      </c>
      <c r="B1232" t="s">
        <v>184</v>
      </c>
      <c r="C1232" s="32">
        <v>384.85</v>
      </c>
      <c r="D1232" s="33">
        <v>31</v>
      </c>
      <c r="E1232" t="s">
        <v>137</v>
      </c>
      <c r="F1232" t="s">
        <v>93</v>
      </c>
      <c r="G1232" s="33">
        <v>33</v>
      </c>
    </row>
    <row r="1233" spans="1:7">
      <c r="A1233" t="s">
        <v>22</v>
      </c>
      <c r="B1233" t="s">
        <v>184</v>
      </c>
      <c r="C1233" s="32">
        <v>384.98</v>
      </c>
      <c r="D1233" s="33">
        <v>32</v>
      </c>
      <c r="E1233" t="s">
        <v>138</v>
      </c>
      <c r="F1233" t="s">
        <v>90</v>
      </c>
      <c r="G1233" s="33">
        <v>33</v>
      </c>
    </row>
    <row r="1234" spans="1:7">
      <c r="A1234" t="s">
        <v>22</v>
      </c>
      <c r="B1234" t="s">
        <v>184</v>
      </c>
      <c r="C1234" s="32">
        <v>385.11</v>
      </c>
      <c r="D1234" s="33">
        <v>33</v>
      </c>
      <c r="E1234" t="s">
        <v>140</v>
      </c>
      <c r="F1234" t="s">
        <v>90</v>
      </c>
      <c r="G1234" s="33">
        <v>34</v>
      </c>
    </row>
    <row r="1235" spans="1:7">
      <c r="A1235" t="s">
        <v>22</v>
      </c>
      <c r="B1235" t="s">
        <v>184</v>
      </c>
      <c r="C1235" s="32">
        <v>385.24</v>
      </c>
      <c r="D1235" s="33">
        <v>34</v>
      </c>
      <c r="E1235" t="s">
        <v>141</v>
      </c>
      <c r="F1235" t="s">
        <v>90</v>
      </c>
      <c r="G1235" s="33">
        <v>33</v>
      </c>
    </row>
    <row r="1236" spans="1:7">
      <c r="A1236" t="s">
        <v>22</v>
      </c>
      <c r="B1236" t="s">
        <v>184</v>
      </c>
      <c r="C1236" s="32">
        <v>385.36</v>
      </c>
      <c r="D1236" s="33">
        <v>35</v>
      </c>
      <c r="E1236" t="s">
        <v>142</v>
      </c>
      <c r="F1236" t="s">
        <v>93</v>
      </c>
      <c r="G1236" s="33">
        <v>33</v>
      </c>
    </row>
    <row r="1237" spans="1:7">
      <c r="A1237" t="s">
        <v>22</v>
      </c>
      <c r="B1237" t="s">
        <v>184</v>
      </c>
      <c r="C1237" s="32">
        <v>385.49</v>
      </c>
      <c r="D1237" s="33">
        <v>36</v>
      </c>
      <c r="E1237" t="s">
        <v>143</v>
      </c>
      <c r="F1237" t="s">
        <v>90</v>
      </c>
      <c r="G1237" s="33">
        <v>34</v>
      </c>
    </row>
    <row r="1238" spans="1:7">
      <c r="A1238" t="s">
        <v>22</v>
      </c>
      <c r="B1238" t="s">
        <v>184</v>
      </c>
      <c r="C1238" s="32">
        <v>385.62</v>
      </c>
      <c r="D1238" s="33">
        <v>37</v>
      </c>
      <c r="E1238" t="s">
        <v>144</v>
      </c>
      <c r="F1238" t="s">
        <v>102</v>
      </c>
      <c r="G1238" s="33">
        <v>33</v>
      </c>
    </row>
    <row r="1239" spans="1:7">
      <c r="A1239" t="s">
        <v>22</v>
      </c>
      <c r="B1239" t="s">
        <v>184</v>
      </c>
      <c r="C1239" s="32">
        <v>385.75</v>
      </c>
      <c r="D1239" s="33">
        <v>38</v>
      </c>
      <c r="E1239" t="s">
        <v>145</v>
      </c>
      <c r="F1239" t="s">
        <v>93</v>
      </c>
      <c r="G1239" s="33">
        <v>33</v>
      </c>
    </row>
    <row r="1240" spans="1:7">
      <c r="A1240" t="s">
        <v>22</v>
      </c>
      <c r="B1240" t="s">
        <v>184</v>
      </c>
      <c r="C1240" s="32">
        <v>385.88</v>
      </c>
      <c r="D1240" s="33">
        <v>39</v>
      </c>
      <c r="E1240" t="s">
        <v>146</v>
      </c>
      <c r="F1240" t="s">
        <v>90</v>
      </c>
      <c r="G1240" s="33">
        <v>33</v>
      </c>
    </row>
    <row r="1241" spans="1:7">
      <c r="A1241" t="s">
        <v>22</v>
      </c>
      <c r="B1241" t="s">
        <v>184</v>
      </c>
      <c r="C1241" s="32">
        <v>386.01</v>
      </c>
      <c r="D1241" s="33">
        <v>40</v>
      </c>
      <c r="E1241" t="s">
        <v>148</v>
      </c>
      <c r="F1241" t="s">
        <v>96</v>
      </c>
      <c r="G1241" s="33">
        <v>34</v>
      </c>
    </row>
    <row r="1242" spans="1:7">
      <c r="A1242" t="s">
        <v>22</v>
      </c>
      <c r="B1242" t="s">
        <v>184</v>
      </c>
      <c r="C1242" s="32">
        <v>386.13</v>
      </c>
      <c r="D1242" s="33">
        <v>41</v>
      </c>
      <c r="E1242" t="s">
        <v>149</v>
      </c>
      <c r="F1242" t="s">
        <v>90</v>
      </c>
      <c r="G1242" s="33">
        <v>33</v>
      </c>
    </row>
    <row r="1243" spans="1:7">
      <c r="A1243" t="s">
        <v>22</v>
      </c>
      <c r="B1243" t="s">
        <v>184</v>
      </c>
      <c r="C1243" s="32">
        <v>386.26</v>
      </c>
      <c r="D1243" s="33">
        <v>42</v>
      </c>
      <c r="E1243" t="s">
        <v>150</v>
      </c>
      <c r="F1243" t="s">
        <v>90</v>
      </c>
      <c r="G1243" s="33">
        <v>33</v>
      </c>
    </row>
    <row r="1244" spans="1:7">
      <c r="A1244" t="s">
        <v>22</v>
      </c>
      <c r="B1244" t="s">
        <v>184</v>
      </c>
      <c r="C1244" s="32">
        <v>386.39</v>
      </c>
      <c r="D1244" s="33">
        <v>43</v>
      </c>
      <c r="E1244" t="s">
        <v>151</v>
      </c>
      <c r="F1244" t="s">
        <v>93</v>
      </c>
      <c r="G1244" s="33">
        <v>34</v>
      </c>
    </row>
    <row r="1245" spans="1:7">
      <c r="A1245" t="s">
        <v>22</v>
      </c>
      <c r="B1245" t="s">
        <v>184</v>
      </c>
      <c r="C1245" s="32">
        <v>386.52</v>
      </c>
      <c r="D1245" s="33">
        <v>44</v>
      </c>
      <c r="E1245" t="s">
        <v>152</v>
      </c>
      <c r="F1245" t="s">
        <v>90</v>
      </c>
      <c r="G1245" s="33">
        <v>33</v>
      </c>
    </row>
    <row r="1246" spans="1:7">
      <c r="A1246" t="s">
        <v>22</v>
      </c>
      <c r="B1246" t="s">
        <v>184</v>
      </c>
      <c r="C1246" s="32">
        <v>386.65</v>
      </c>
      <c r="D1246" s="33">
        <v>45</v>
      </c>
      <c r="E1246" t="s">
        <v>153</v>
      </c>
      <c r="F1246" t="s">
        <v>90</v>
      </c>
      <c r="G1246" s="33">
        <v>33</v>
      </c>
    </row>
    <row r="1247" spans="1:7">
      <c r="A1247" t="s">
        <v>22</v>
      </c>
      <c r="B1247" t="s">
        <v>184</v>
      </c>
      <c r="C1247" s="32">
        <v>386.78</v>
      </c>
      <c r="D1247" s="33">
        <v>46</v>
      </c>
      <c r="E1247" t="s">
        <v>120</v>
      </c>
      <c r="F1247" t="s">
        <v>93</v>
      </c>
      <c r="G1247" s="33">
        <v>34</v>
      </c>
    </row>
    <row r="1248" spans="1:7">
      <c r="A1248" t="s">
        <v>22</v>
      </c>
      <c r="B1248" t="s">
        <v>184</v>
      </c>
      <c r="C1248" s="32">
        <v>386.9</v>
      </c>
      <c r="D1248" s="33">
        <v>47</v>
      </c>
      <c r="E1248" t="s">
        <v>115</v>
      </c>
      <c r="F1248" t="s">
        <v>90</v>
      </c>
      <c r="G1248" s="33">
        <v>33</v>
      </c>
    </row>
    <row r="1249" spans="1:7">
      <c r="A1249" t="s">
        <v>22</v>
      </c>
      <c r="B1249" t="s">
        <v>184</v>
      </c>
      <c r="C1249" s="32">
        <v>387.03</v>
      </c>
      <c r="D1249" s="33">
        <v>48</v>
      </c>
      <c r="E1249" t="s">
        <v>116</v>
      </c>
      <c r="F1249" t="s">
        <v>96</v>
      </c>
      <c r="G1249" s="33">
        <v>33</v>
      </c>
    </row>
    <row r="1250" spans="1:7">
      <c r="A1250" t="s">
        <v>22</v>
      </c>
      <c r="B1250" t="s">
        <v>184</v>
      </c>
      <c r="C1250" s="32">
        <v>387.16</v>
      </c>
      <c r="D1250" s="33">
        <v>49</v>
      </c>
      <c r="E1250" t="s">
        <v>117</v>
      </c>
      <c r="F1250" t="s">
        <v>90</v>
      </c>
      <c r="G1250" s="33">
        <v>33</v>
      </c>
    </row>
    <row r="1251" spans="1:7">
      <c r="A1251" t="s">
        <v>22</v>
      </c>
      <c r="B1251" t="s">
        <v>184</v>
      </c>
      <c r="C1251" s="32">
        <v>387.29</v>
      </c>
      <c r="D1251" s="33">
        <v>50</v>
      </c>
      <c r="E1251" t="s">
        <v>118</v>
      </c>
      <c r="F1251" t="s">
        <v>102</v>
      </c>
      <c r="G1251" s="33">
        <v>34</v>
      </c>
    </row>
    <row r="1252" spans="1:7">
      <c r="A1252" t="s">
        <v>22</v>
      </c>
      <c r="B1252" t="s">
        <v>184</v>
      </c>
      <c r="C1252" s="32">
        <v>387.42</v>
      </c>
      <c r="D1252" s="33">
        <v>51</v>
      </c>
      <c r="E1252" t="s">
        <v>122</v>
      </c>
      <c r="F1252" t="s">
        <v>93</v>
      </c>
      <c r="G1252" s="33">
        <v>33</v>
      </c>
    </row>
    <row r="1253" spans="1:7">
      <c r="A1253" t="s">
        <v>22</v>
      </c>
      <c r="B1253" t="s">
        <v>184</v>
      </c>
      <c r="C1253" s="32">
        <v>387.55</v>
      </c>
      <c r="D1253" s="33">
        <v>52</v>
      </c>
      <c r="E1253" t="s">
        <v>124</v>
      </c>
      <c r="F1253" t="s">
        <v>90</v>
      </c>
      <c r="G1253" s="33">
        <v>33</v>
      </c>
    </row>
    <row r="1254" spans="1:7">
      <c r="A1254" t="s">
        <v>22</v>
      </c>
      <c r="B1254" t="s">
        <v>184</v>
      </c>
      <c r="C1254" s="32">
        <v>387.67</v>
      </c>
      <c r="D1254" s="33">
        <v>53</v>
      </c>
      <c r="E1254" t="s">
        <v>125</v>
      </c>
      <c r="F1254" t="s">
        <v>90</v>
      </c>
      <c r="G1254" s="33">
        <v>34</v>
      </c>
    </row>
    <row r="1255" spans="1:7">
      <c r="A1255" t="s">
        <v>22</v>
      </c>
      <c r="B1255" t="s">
        <v>184</v>
      </c>
      <c r="C1255" s="32">
        <v>387.8</v>
      </c>
      <c r="D1255" s="33">
        <v>54</v>
      </c>
      <c r="E1255" t="s">
        <v>127</v>
      </c>
      <c r="F1255" t="s">
        <v>93</v>
      </c>
      <c r="G1255" s="33">
        <v>33</v>
      </c>
    </row>
    <row r="1256" spans="1:7">
      <c r="A1256" t="s">
        <v>22</v>
      </c>
      <c r="B1256" t="s">
        <v>184</v>
      </c>
      <c r="C1256" s="32">
        <v>387.93</v>
      </c>
      <c r="D1256" s="33">
        <v>55</v>
      </c>
      <c r="E1256" t="s">
        <v>128</v>
      </c>
      <c r="F1256" t="s">
        <v>90</v>
      </c>
      <c r="G1256" s="33">
        <v>33</v>
      </c>
    </row>
    <row r="1257" spans="1:7">
      <c r="A1257" t="s">
        <v>22</v>
      </c>
      <c r="B1257" t="s">
        <v>184</v>
      </c>
      <c r="C1257" s="32">
        <v>388.06</v>
      </c>
      <c r="D1257" s="33">
        <v>56</v>
      </c>
      <c r="E1257" t="s">
        <v>129</v>
      </c>
      <c r="F1257" t="s">
        <v>96</v>
      </c>
      <c r="G1257" s="33">
        <v>33</v>
      </c>
    </row>
    <row r="1258" spans="1:7">
      <c r="A1258" t="s">
        <v>22</v>
      </c>
      <c r="B1258" t="s">
        <v>184</v>
      </c>
      <c r="C1258" s="32">
        <v>388.19</v>
      </c>
      <c r="D1258" s="33">
        <v>57</v>
      </c>
      <c r="E1258" t="s">
        <v>130</v>
      </c>
      <c r="F1258" t="s">
        <v>90</v>
      </c>
      <c r="G1258" s="33">
        <v>34</v>
      </c>
    </row>
    <row r="1259" spans="1:7">
      <c r="A1259" t="s">
        <v>22</v>
      </c>
      <c r="B1259" t="s">
        <v>184</v>
      </c>
      <c r="C1259" s="32">
        <v>388.32</v>
      </c>
      <c r="D1259" s="33">
        <v>58</v>
      </c>
      <c r="E1259" t="s">
        <v>131</v>
      </c>
      <c r="F1259" t="s">
        <v>90</v>
      </c>
      <c r="G1259" s="33">
        <v>33</v>
      </c>
    </row>
    <row r="1260" spans="1:7">
      <c r="A1260" t="s">
        <v>22</v>
      </c>
      <c r="B1260" t="s">
        <v>184</v>
      </c>
      <c r="C1260" s="32">
        <v>388.44</v>
      </c>
      <c r="D1260" s="33">
        <v>59</v>
      </c>
      <c r="E1260" t="s">
        <v>133</v>
      </c>
      <c r="F1260" t="s">
        <v>93</v>
      </c>
      <c r="G1260" s="33">
        <v>33</v>
      </c>
    </row>
    <row r="1261" spans="1:7">
      <c r="A1261" t="s">
        <v>22</v>
      </c>
      <c r="B1261" t="s">
        <v>184</v>
      </c>
      <c r="C1261" s="32">
        <v>388.57</v>
      </c>
      <c r="D1261" s="33">
        <v>60</v>
      </c>
      <c r="E1261" t="s">
        <v>134</v>
      </c>
      <c r="F1261" t="s">
        <v>90</v>
      </c>
      <c r="G1261" s="33">
        <v>34</v>
      </c>
    </row>
    <row r="1262" spans="1:7">
      <c r="A1262" t="s">
        <v>22</v>
      </c>
      <c r="B1262" t="s">
        <v>184</v>
      </c>
      <c r="C1262" s="32">
        <v>388.7</v>
      </c>
      <c r="D1262" s="33">
        <v>61</v>
      </c>
      <c r="E1262" t="s">
        <v>135</v>
      </c>
      <c r="F1262" t="s">
        <v>90</v>
      </c>
      <c r="G1262" s="33">
        <v>33</v>
      </c>
    </row>
    <row r="1263" spans="1:7">
      <c r="A1263" t="s">
        <v>22</v>
      </c>
      <c r="B1263" t="s">
        <v>184</v>
      </c>
      <c r="C1263" s="32">
        <v>388.83</v>
      </c>
      <c r="D1263" s="33">
        <v>62</v>
      </c>
      <c r="E1263" t="s">
        <v>136</v>
      </c>
      <c r="F1263" t="s">
        <v>93</v>
      </c>
      <c r="G1263" s="33">
        <v>33</v>
      </c>
    </row>
    <row r="1264" spans="1:7">
      <c r="A1264" t="s">
        <v>22</v>
      </c>
      <c r="B1264" t="s">
        <v>184</v>
      </c>
      <c r="C1264" s="32">
        <v>388.96</v>
      </c>
      <c r="D1264" s="33">
        <v>63</v>
      </c>
      <c r="E1264" t="s">
        <v>137</v>
      </c>
      <c r="F1264" t="s">
        <v>102</v>
      </c>
      <c r="G1264" s="33">
        <v>34</v>
      </c>
    </row>
    <row r="1265" spans="1:7">
      <c r="A1265" t="s">
        <v>22</v>
      </c>
      <c r="B1265" t="s">
        <v>184</v>
      </c>
      <c r="C1265" s="32">
        <v>389.09</v>
      </c>
      <c r="D1265" s="33">
        <v>64</v>
      </c>
      <c r="E1265" t="s">
        <v>138</v>
      </c>
      <c r="F1265" t="s">
        <v>96</v>
      </c>
      <c r="G1265" s="33">
        <v>33</v>
      </c>
    </row>
    <row r="1266" spans="1:7">
      <c r="A1266" t="s">
        <v>22</v>
      </c>
      <c r="B1266" t="s">
        <v>184</v>
      </c>
      <c r="C1266" s="32">
        <v>389.21</v>
      </c>
      <c r="D1266" s="33">
        <v>65</v>
      </c>
      <c r="E1266" t="s">
        <v>140</v>
      </c>
      <c r="F1266" t="s">
        <v>90</v>
      </c>
      <c r="G1266" s="33">
        <v>33</v>
      </c>
    </row>
    <row r="1267" spans="1:7">
      <c r="A1267" t="s">
        <v>22</v>
      </c>
      <c r="B1267" t="s">
        <v>184</v>
      </c>
      <c r="C1267" s="32">
        <v>389.34</v>
      </c>
      <c r="D1267" s="33">
        <v>66</v>
      </c>
      <c r="E1267" t="s">
        <v>141</v>
      </c>
      <c r="F1267" t="s">
        <v>90</v>
      </c>
      <c r="G1267" s="33">
        <v>33</v>
      </c>
    </row>
    <row r="1268" spans="1:7">
      <c r="A1268" t="s">
        <v>22</v>
      </c>
      <c r="B1268" t="s">
        <v>184</v>
      </c>
      <c r="C1268" s="32">
        <v>389.47</v>
      </c>
      <c r="D1268" s="33">
        <v>67</v>
      </c>
      <c r="E1268" t="s">
        <v>142</v>
      </c>
      <c r="F1268" t="s">
        <v>93</v>
      </c>
      <c r="G1268" s="33">
        <v>34</v>
      </c>
    </row>
    <row r="1269" spans="1:7">
      <c r="A1269" t="s">
        <v>22</v>
      </c>
      <c r="B1269" t="s">
        <v>184</v>
      </c>
      <c r="C1269" s="32">
        <v>389.6</v>
      </c>
      <c r="D1269" s="33">
        <v>68</v>
      </c>
      <c r="E1269" t="s">
        <v>143</v>
      </c>
      <c r="F1269" t="s">
        <v>90</v>
      </c>
      <c r="G1269" s="33">
        <v>33</v>
      </c>
    </row>
    <row r="1270" spans="1:7">
      <c r="A1270" t="s">
        <v>22</v>
      </c>
      <c r="B1270" t="s">
        <v>185</v>
      </c>
      <c r="C1270" s="32">
        <v>391</v>
      </c>
      <c r="D1270" s="33">
        <v>1</v>
      </c>
      <c r="E1270" t="s">
        <v>138</v>
      </c>
      <c r="F1270" t="s">
        <v>90</v>
      </c>
      <c r="G1270" s="33">
        <v>33</v>
      </c>
    </row>
    <row r="1271" spans="1:7">
      <c r="A1271" t="s">
        <v>22</v>
      </c>
      <c r="B1271" t="s">
        <v>185</v>
      </c>
      <c r="C1271" s="32">
        <v>391.12</v>
      </c>
      <c r="D1271" s="33">
        <v>2</v>
      </c>
      <c r="E1271" t="s">
        <v>140</v>
      </c>
      <c r="F1271" t="s">
        <v>93</v>
      </c>
      <c r="G1271" s="33">
        <v>34</v>
      </c>
    </row>
    <row r="1272" spans="1:7">
      <c r="A1272" t="s">
        <v>22</v>
      </c>
      <c r="B1272" t="s">
        <v>185</v>
      </c>
      <c r="C1272" s="32">
        <v>391.25</v>
      </c>
      <c r="D1272" s="33">
        <v>3</v>
      </c>
      <c r="E1272" t="s">
        <v>141</v>
      </c>
      <c r="F1272" t="s">
        <v>90</v>
      </c>
      <c r="G1272" s="33">
        <v>33</v>
      </c>
    </row>
    <row r="1273" spans="1:7">
      <c r="A1273" t="s">
        <v>22</v>
      </c>
      <c r="B1273" t="s">
        <v>185</v>
      </c>
      <c r="C1273" s="32">
        <v>391.37</v>
      </c>
      <c r="D1273" s="33">
        <v>4</v>
      </c>
      <c r="E1273" t="s">
        <v>142</v>
      </c>
      <c r="F1273" t="s">
        <v>90</v>
      </c>
      <c r="G1273" s="33">
        <v>33</v>
      </c>
    </row>
    <row r="1274" spans="1:7">
      <c r="A1274" t="s">
        <v>22</v>
      </c>
      <c r="B1274" t="s">
        <v>185</v>
      </c>
      <c r="C1274" s="32">
        <v>391.5</v>
      </c>
      <c r="D1274" s="33">
        <v>5</v>
      </c>
      <c r="E1274" t="s">
        <v>143</v>
      </c>
      <c r="F1274" t="s">
        <v>96</v>
      </c>
      <c r="G1274" s="33">
        <v>34</v>
      </c>
    </row>
    <row r="1275" spans="1:7">
      <c r="A1275" t="s">
        <v>22</v>
      </c>
      <c r="B1275" t="s">
        <v>185</v>
      </c>
      <c r="C1275" s="32">
        <v>391.62</v>
      </c>
      <c r="D1275" s="33">
        <v>6</v>
      </c>
      <c r="E1275" t="s">
        <v>144</v>
      </c>
      <c r="F1275" t="s">
        <v>90</v>
      </c>
      <c r="G1275" s="33">
        <v>33</v>
      </c>
    </row>
    <row r="1276" spans="1:7">
      <c r="A1276" t="s">
        <v>22</v>
      </c>
      <c r="B1276" t="s">
        <v>185</v>
      </c>
      <c r="C1276" s="32">
        <v>391.75</v>
      </c>
      <c r="D1276" s="33">
        <v>7</v>
      </c>
      <c r="E1276" t="s">
        <v>145</v>
      </c>
      <c r="F1276" t="s">
        <v>93</v>
      </c>
      <c r="G1276" s="33">
        <v>33</v>
      </c>
    </row>
    <row r="1277" spans="1:7">
      <c r="A1277" t="s">
        <v>22</v>
      </c>
      <c r="B1277" t="s">
        <v>185</v>
      </c>
      <c r="C1277" s="32">
        <v>391.87</v>
      </c>
      <c r="D1277" s="33">
        <v>8</v>
      </c>
      <c r="E1277" t="s">
        <v>146</v>
      </c>
      <c r="F1277" t="s">
        <v>90</v>
      </c>
      <c r="G1277" s="33">
        <v>34</v>
      </c>
    </row>
    <row r="1278" spans="1:7">
      <c r="A1278" t="s">
        <v>22</v>
      </c>
      <c r="B1278" t="s">
        <v>185</v>
      </c>
      <c r="C1278" s="32">
        <v>392</v>
      </c>
      <c r="D1278" s="33">
        <v>9</v>
      </c>
      <c r="E1278" t="s">
        <v>148</v>
      </c>
      <c r="F1278" t="s">
        <v>90</v>
      </c>
      <c r="G1278" s="33">
        <v>33</v>
      </c>
    </row>
    <row r="1279" spans="1:7">
      <c r="A1279" t="s">
        <v>22</v>
      </c>
      <c r="B1279" t="s">
        <v>185</v>
      </c>
      <c r="C1279" s="32">
        <v>392.12</v>
      </c>
      <c r="D1279" s="33">
        <v>10</v>
      </c>
      <c r="E1279" t="s">
        <v>149</v>
      </c>
      <c r="F1279" t="s">
        <v>93</v>
      </c>
      <c r="G1279" s="33">
        <v>33</v>
      </c>
    </row>
    <row r="1280" spans="1:7">
      <c r="A1280" t="s">
        <v>22</v>
      </c>
      <c r="B1280" t="s">
        <v>185</v>
      </c>
      <c r="C1280" s="32">
        <v>392.25</v>
      </c>
      <c r="D1280" s="33">
        <v>11</v>
      </c>
      <c r="E1280" t="s">
        <v>150</v>
      </c>
      <c r="F1280" t="s">
        <v>90</v>
      </c>
      <c r="G1280" s="33">
        <v>34</v>
      </c>
    </row>
    <row r="1281" spans="1:7">
      <c r="A1281" t="s">
        <v>22</v>
      </c>
      <c r="B1281" t="s">
        <v>185</v>
      </c>
      <c r="C1281" s="32">
        <v>392.37</v>
      </c>
      <c r="D1281" s="33">
        <v>12</v>
      </c>
      <c r="E1281" t="s">
        <v>151</v>
      </c>
      <c r="F1281" t="s">
        <v>102</v>
      </c>
      <c r="G1281" s="33">
        <v>33</v>
      </c>
    </row>
    <row r="1282" spans="1:7">
      <c r="A1282" t="s">
        <v>22</v>
      </c>
      <c r="B1282" t="s">
        <v>185</v>
      </c>
      <c r="C1282" s="32">
        <v>392.5</v>
      </c>
      <c r="D1282" s="33">
        <v>13</v>
      </c>
      <c r="E1282" t="s">
        <v>152</v>
      </c>
      <c r="F1282" t="s">
        <v>96</v>
      </c>
      <c r="G1282" s="33">
        <v>33</v>
      </c>
    </row>
    <row r="1283" spans="1:7">
      <c r="A1283" t="s">
        <v>22</v>
      </c>
      <c r="B1283" t="s">
        <v>185</v>
      </c>
      <c r="C1283" s="32">
        <v>392.62</v>
      </c>
      <c r="D1283" s="33">
        <v>14</v>
      </c>
      <c r="E1283" t="s">
        <v>153</v>
      </c>
      <c r="F1283" t="s">
        <v>90</v>
      </c>
      <c r="G1283" s="33">
        <v>34</v>
      </c>
    </row>
    <row r="1284" spans="1:7">
      <c r="A1284" t="s">
        <v>22</v>
      </c>
      <c r="B1284" t="s">
        <v>185</v>
      </c>
      <c r="C1284" s="32">
        <v>392.74</v>
      </c>
      <c r="D1284" s="33">
        <v>15</v>
      </c>
      <c r="E1284" t="s">
        <v>120</v>
      </c>
      <c r="F1284" t="s">
        <v>93</v>
      </c>
      <c r="G1284" s="33">
        <v>33</v>
      </c>
    </row>
    <row r="1285" spans="1:7">
      <c r="A1285" t="s">
        <v>22</v>
      </c>
      <c r="B1285" t="s">
        <v>185</v>
      </c>
      <c r="C1285" s="32">
        <v>392.87</v>
      </c>
      <c r="D1285" s="33">
        <v>16</v>
      </c>
      <c r="E1285" t="s">
        <v>115</v>
      </c>
      <c r="F1285" t="s">
        <v>90</v>
      </c>
      <c r="G1285" s="33">
        <v>33</v>
      </c>
    </row>
    <row r="1286" spans="1:7">
      <c r="A1286" t="s">
        <v>22</v>
      </c>
      <c r="B1286" t="s">
        <v>185</v>
      </c>
      <c r="C1286" s="32">
        <v>392.99</v>
      </c>
      <c r="D1286" s="33">
        <v>17</v>
      </c>
      <c r="E1286" t="s">
        <v>116</v>
      </c>
      <c r="F1286" t="s">
        <v>90</v>
      </c>
      <c r="G1286" s="33">
        <v>34</v>
      </c>
    </row>
    <row r="1287" spans="1:7">
      <c r="A1287" t="s">
        <v>22</v>
      </c>
      <c r="B1287" t="s">
        <v>185</v>
      </c>
      <c r="C1287" s="32">
        <v>393.12</v>
      </c>
      <c r="D1287" s="33">
        <v>18</v>
      </c>
      <c r="E1287" t="s">
        <v>117</v>
      </c>
      <c r="F1287" t="s">
        <v>93</v>
      </c>
      <c r="G1287" s="33">
        <v>33</v>
      </c>
    </row>
    <row r="1288" spans="1:7">
      <c r="A1288" t="s">
        <v>22</v>
      </c>
      <c r="B1288" t="s">
        <v>185</v>
      </c>
      <c r="C1288" s="32">
        <v>393.24</v>
      </c>
      <c r="D1288" s="33">
        <v>19</v>
      </c>
      <c r="E1288" t="s">
        <v>118</v>
      </c>
      <c r="F1288" t="s">
        <v>90</v>
      </c>
      <c r="G1288" s="33">
        <v>33</v>
      </c>
    </row>
    <row r="1289" spans="1:7">
      <c r="A1289" t="s">
        <v>22</v>
      </c>
      <c r="B1289" t="s">
        <v>185</v>
      </c>
      <c r="C1289" s="32">
        <v>393.37</v>
      </c>
      <c r="D1289" s="33">
        <v>20</v>
      </c>
      <c r="E1289" t="s">
        <v>122</v>
      </c>
      <c r="F1289" t="s">
        <v>90</v>
      </c>
      <c r="G1289" s="33">
        <v>34</v>
      </c>
    </row>
    <row r="1290" spans="1:7">
      <c r="A1290" t="s">
        <v>22</v>
      </c>
      <c r="B1290" t="s">
        <v>185</v>
      </c>
      <c r="C1290" s="32">
        <v>393.49</v>
      </c>
      <c r="D1290" s="33">
        <v>21</v>
      </c>
      <c r="E1290" t="s">
        <v>124</v>
      </c>
      <c r="F1290" t="s">
        <v>93</v>
      </c>
      <c r="G1290" s="33">
        <v>33</v>
      </c>
    </row>
    <row r="1291" spans="1:7">
      <c r="A1291" t="s">
        <v>22</v>
      </c>
      <c r="B1291" t="s">
        <v>185</v>
      </c>
      <c r="C1291" s="32">
        <v>393.62</v>
      </c>
      <c r="D1291" s="33">
        <v>22</v>
      </c>
      <c r="E1291" t="s">
        <v>125</v>
      </c>
      <c r="F1291" t="s">
        <v>90</v>
      </c>
      <c r="G1291" s="33">
        <v>33</v>
      </c>
    </row>
    <row r="1292" spans="1:7">
      <c r="A1292" t="s">
        <v>22</v>
      </c>
      <c r="B1292" t="s">
        <v>185</v>
      </c>
      <c r="C1292" s="32">
        <v>393.74</v>
      </c>
      <c r="D1292" s="33">
        <v>23</v>
      </c>
      <c r="E1292" t="s">
        <v>127</v>
      </c>
      <c r="F1292" t="s">
        <v>96</v>
      </c>
      <c r="G1292" s="33">
        <v>34</v>
      </c>
    </row>
    <row r="1293" spans="1:7">
      <c r="A1293" t="s">
        <v>22</v>
      </c>
      <c r="B1293" t="s">
        <v>185</v>
      </c>
      <c r="C1293" s="32">
        <v>393.87</v>
      </c>
      <c r="D1293" s="33">
        <v>24</v>
      </c>
      <c r="E1293" t="s">
        <v>128</v>
      </c>
      <c r="F1293" t="s">
        <v>90</v>
      </c>
      <c r="G1293" s="33">
        <v>33</v>
      </c>
    </row>
    <row r="1294" spans="1:7">
      <c r="A1294" t="s">
        <v>22</v>
      </c>
      <c r="B1294" t="s">
        <v>185</v>
      </c>
      <c r="C1294" s="32">
        <v>393.99</v>
      </c>
      <c r="D1294" s="33">
        <v>25</v>
      </c>
      <c r="E1294" t="s">
        <v>129</v>
      </c>
      <c r="F1294" t="s">
        <v>102</v>
      </c>
      <c r="G1294" s="33">
        <v>33</v>
      </c>
    </row>
    <row r="1295" spans="1:7">
      <c r="A1295" t="s">
        <v>22</v>
      </c>
      <c r="B1295" t="s">
        <v>185</v>
      </c>
      <c r="C1295" s="32">
        <v>394.12</v>
      </c>
      <c r="D1295" s="33">
        <v>26</v>
      </c>
      <c r="E1295" t="s">
        <v>130</v>
      </c>
      <c r="F1295" t="s">
        <v>93</v>
      </c>
      <c r="G1295" s="33">
        <v>34</v>
      </c>
    </row>
    <row r="1296" spans="1:7">
      <c r="A1296" t="s">
        <v>22</v>
      </c>
      <c r="B1296" t="s">
        <v>185</v>
      </c>
      <c r="C1296" s="32">
        <v>394.24</v>
      </c>
      <c r="D1296" s="33">
        <v>27</v>
      </c>
      <c r="E1296" t="s">
        <v>131</v>
      </c>
      <c r="F1296" t="s">
        <v>90</v>
      </c>
      <c r="G1296" s="33">
        <v>33</v>
      </c>
    </row>
    <row r="1297" spans="1:7">
      <c r="A1297" t="s">
        <v>22</v>
      </c>
      <c r="B1297" t="s">
        <v>185</v>
      </c>
      <c r="C1297" s="32">
        <v>394.37</v>
      </c>
      <c r="D1297" s="33">
        <v>28</v>
      </c>
      <c r="E1297" t="s">
        <v>133</v>
      </c>
      <c r="F1297" t="s">
        <v>90</v>
      </c>
      <c r="G1297" s="33">
        <v>33</v>
      </c>
    </row>
    <row r="1298" spans="1:7">
      <c r="A1298" t="s">
        <v>22</v>
      </c>
      <c r="B1298" t="s">
        <v>185</v>
      </c>
      <c r="C1298" s="32">
        <v>394.49</v>
      </c>
      <c r="D1298" s="33">
        <v>29</v>
      </c>
      <c r="E1298" t="s">
        <v>134</v>
      </c>
      <c r="F1298" t="s">
        <v>93</v>
      </c>
      <c r="G1298" s="33">
        <v>34</v>
      </c>
    </row>
    <row r="1299" spans="1:7">
      <c r="A1299" t="s">
        <v>22</v>
      </c>
      <c r="B1299" t="s">
        <v>185</v>
      </c>
      <c r="C1299" s="32">
        <v>394.61</v>
      </c>
      <c r="D1299" s="33">
        <v>30</v>
      </c>
      <c r="E1299" t="s">
        <v>135</v>
      </c>
      <c r="F1299" t="s">
        <v>90</v>
      </c>
      <c r="G1299" s="33">
        <v>33</v>
      </c>
    </row>
    <row r="1300" spans="1:7">
      <c r="A1300" t="s">
        <v>22</v>
      </c>
      <c r="B1300" t="s">
        <v>185</v>
      </c>
      <c r="C1300" s="32">
        <v>394.74</v>
      </c>
      <c r="D1300" s="33">
        <v>31</v>
      </c>
      <c r="E1300" t="s">
        <v>136</v>
      </c>
      <c r="F1300" t="s">
        <v>96</v>
      </c>
      <c r="G1300" s="33">
        <v>33</v>
      </c>
    </row>
    <row r="1301" spans="1:7">
      <c r="A1301" t="s">
        <v>22</v>
      </c>
      <c r="B1301" t="s">
        <v>185</v>
      </c>
      <c r="C1301" s="32">
        <v>394.86</v>
      </c>
      <c r="D1301" s="33">
        <v>32</v>
      </c>
      <c r="E1301" t="s">
        <v>137</v>
      </c>
      <c r="F1301" t="s">
        <v>90</v>
      </c>
      <c r="G1301" s="33">
        <v>34</v>
      </c>
    </row>
    <row r="1302" spans="1:7">
      <c r="A1302" t="s">
        <v>22</v>
      </c>
      <c r="B1302" t="s">
        <v>185</v>
      </c>
      <c r="C1302" s="32">
        <v>394.99</v>
      </c>
      <c r="D1302" s="33">
        <v>33</v>
      </c>
      <c r="E1302" t="s">
        <v>138</v>
      </c>
      <c r="F1302" t="s">
        <v>90</v>
      </c>
      <c r="G1302" s="33">
        <v>33</v>
      </c>
    </row>
    <row r="1303" spans="1:7">
      <c r="A1303" t="s">
        <v>22</v>
      </c>
      <c r="B1303" t="s">
        <v>185</v>
      </c>
      <c r="C1303" s="32">
        <v>395.11</v>
      </c>
      <c r="D1303" s="33">
        <v>34</v>
      </c>
      <c r="E1303" t="s">
        <v>140</v>
      </c>
      <c r="F1303" t="s">
        <v>93</v>
      </c>
      <c r="G1303" s="33">
        <v>33</v>
      </c>
    </row>
    <row r="1304" spans="1:7">
      <c r="A1304" t="s">
        <v>22</v>
      </c>
      <c r="B1304" t="s">
        <v>185</v>
      </c>
      <c r="C1304" s="32">
        <v>395.24</v>
      </c>
      <c r="D1304" s="33">
        <v>35</v>
      </c>
      <c r="E1304" t="s">
        <v>141</v>
      </c>
      <c r="F1304" t="s">
        <v>90</v>
      </c>
      <c r="G1304" s="33">
        <v>33</v>
      </c>
    </row>
    <row r="1305" spans="1:7">
      <c r="A1305" t="s">
        <v>22</v>
      </c>
      <c r="B1305" t="s">
        <v>185</v>
      </c>
      <c r="C1305" s="32">
        <v>395.36</v>
      </c>
      <c r="D1305" s="33">
        <v>36</v>
      </c>
      <c r="E1305" t="s">
        <v>142</v>
      </c>
      <c r="F1305" t="s">
        <v>90</v>
      </c>
      <c r="G1305" s="33">
        <v>34</v>
      </c>
    </row>
    <row r="1306" spans="1:7">
      <c r="A1306" t="s">
        <v>22</v>
      </c>
      <c r="B1306" t="s">
        <v>185</v>
      </c>
      <c r="C1306" s="32">
        <v>395.49</v>
      </c>
      <c r="D1306" s="33">
        <v>37</v>
      </c>
      <c r="E1306" t="s">
        <v>143</v>
      </c>
      <c r="F1306" t="s">
        <v>93</v>
      </c>
      <c r="G1306" s="33">
        <v>33</v>
      </c>
    </row>
    <row r="1307" spans="1:7">
      <c r="A1307" t="s">
        <v>22</v>
      </c>
      <c r="B1307" t="s">
        <v>185</v>
      </c>
      <c r="C1307" s="32">
        <v>395.61</v>
      </c>
      <c r="D1307" s="33">
        <v>38</v>
      </c>
      <c r="E1307" t="s">
        <v>144</v>
      </c>
      <c r="F1307" t="s">
        <v>102</v>
      </c>
      <c r="G1307" s="33">
        <v>33</v>
      </c>
    </row>
    <row r="1308" spans="1:7">
      <c r="A1308" t="s">
        <v>22</v>
      </c>
      <c r="B1308" t="s">
        <v>185</v>
      </c>
      <c r="C1308" s="32">
        <v>395.74</v>
      </c>
      <c r="D1308" s="33">
        <v>39</v>
      </c>
      <c r="E1308" t="s">
        <v>145</v>
      </c>
      <c r="F1308" t="s">
        <v>90</v>
      </c>
      <c r="G1308" s="33">
        <v>34</v>
      </c>
    </row>
    <row r="1309" spans="1:7">
      <c r="A1309" t="s">
        <v>22</v>
      </c>
      <c r="B1309" t="s">
        <v>185</v>
      </c>
      <c r="C1309" s="32">
        <v>395.86</v>
      </c>
      <c r="D1309" s="33">
        <v>40</v>
      </c>
      <c r="E1309" t="s">
        <v>146</v>
      </c>
      <c r="F1309" t="s">
        <v>96</v>
      </c>
      <c r="G1309" s="33">
        <v>33</v>
      </c>
    </row>
    <row r="1310" spans="1:7">
      <c r="A1310" t="s">
        <v>22</v>
      </c>
      <c r="B1310" t="s">
        <v>185</v>
      </c>
      <c r="C1310" s="32">
        <v>395.99</v>
      </c>
      <c r="D1310" s="33">
        <v>41</v>
      </c>
      <c r="E1310" t="s">
        <v>148</v>
      </c>
      <c r="F1310" t="s">
        <v>90</v>
      </c>
      <c r="G1310" s="33">
        <v>33</v>
      </c>
    </row>
    <row r="1311" spans="1:7">
      <c r="A1311" t="s">
        <v>22</v>
      </c>
      <c r="B1311" t="s">
        <v>185</v>
      </c>
      <c r="C1311" s="32">
        <v>396.11</v>
      </c>
      <c r="D1311" s="33">
        <v>42</v>
      </c>
      <c r="E1311" t="s">
        <v>149</v>
      </c>
      <c r="F1311" t="s">
        <v>93</v>
      </c>
      <c r="G1311" s="33">
        <v>34</v>
      </c>
    </row>
    <row r="1312" spans="1:7">
      <c r="A1312" t="s">
        <v>22</v>
      </c>
      <c r="B1312" t="s">
        <v>185</v>
      </c>
      <c r="C1312" s="32">
        <v>396.23</v>
      </c>
      <c r="D1312" s="33">
        <v>43</v>
      </c>
      <c r="E1312" t="s">
        <v>150</v>
      </c>
      <c r="F1312" t="s">
        <v>90</v>
      </c>
      <c r="G1312" s="33">
        <v>33</v>
      </c>
    </row>
    <row r="1313" spans="1:7">
      <c r="A1313" t="s">
        <v>22</v>
      </c>
      <c r="B1313" t="s">
        <v>185</v>
      </c>
      <c r="C1313" s="32">
        <v>396.36</v>
      </c>
      <c r="D1313" s="33">
        <v>44</v>
      </c>
      <c r="E1313" t="s">
        <v>151</v>
      </c>
      <c r="F1313" t="s">
        <v>90</v>
      </c>
      <c r="G1313" s="33">
        <v>33</v>
      </c>
    </row>
    <row r="1314" spans="1:7">
      <c r="A1314" t="s">
        <v>22</v>
      </c>
      <c r="B1314" t="s">
        <v>185</v>
      </c>
      <c r="C1314" s="32">
        <v>396.48</v>
      </c>
      <c r="D1314" s="33">
        <v>45</v>
      </c>
      <c r="E1314" t="s">
        <v>152</v>
      </c>
      <c r="F1314" t="s">
        <v>93</v>
      </c>
      <c r="G1314" s="33">
        <v>34</v>
      </c>
    </row>
    <row r="1315" spans="1:7">
      <c r="A1315" t="s">
        <v>22</v>
      </c>
      <c r="B1315" t="s">
        <v>185</v>
      </c>
      <c r="C1315" s="32">
        <v>396.61</v>
      </c>
      <c r="D1315" s="33">
        <v>46</v>
      </c>
      <c r="E1315" t="s">
        <v>153</v>
      </c>
      <c r="F1315" t="s">
        <v>90</v>
      </c>
      <c r="G1315" s="33">
        <v>33</v>
      </c>
    </row>
    <row r="1316" spans="1:7">
      <c r="A1316" t="s">
        <v>22</v>
      </c>
      <c r="B1316" t="s">
        <v>185</v>
      </c>
      <c r="C1316" s="32">
        <v>396.73</v>
      </c>
      <c r="D1316" s="33">
        <v>47</v>
      </c>
      <c r="E1316" t="s">
        <v>120</v>
      </c>
      <c r="F1316" t="s">
        <v>90</v>
      </c>
      <c r="G1316" s="33">
        <v>33</v>
      </c>
    </row>
    <row r="1317" spans="1:7">
      <c r="A1317" t="s">
        <v>22</v>
      </c>
      <c r="B1317" t="s">
        <v>185</v>
      </c>
      <c r="C1317" s="32">
        <v>396.86</v>
      </c>
      <c r="D1317" s="33">
        <v>48</v>
      </c>
      <c r="E1317" t="s">
        <v>115</v>
      </c>
      <c r="F1317" t="s">
        <v>96</v>
      </c>
      <c r="G1317" s="33">
        <v>34</v>
      </c>
    </row>
    <row r="1318" spans="1:7">
      <c r="A1318" t="s">
        <v>22</v>
      </c>
      <c r="B1318" t="s">
        <v>185</v>
      </c>
      <c r="C1318" s="32">
        <v>396.98</v>
      </c>
      <c r="D1318" s="33">
        <v>49</v>
      </c>
      <c r="E1318" t="s">
        <v>116</v>
      </c>
      <c r="F1318" t="s">
        <v>90</v>
      </c>
      <c r="G1318" s="33">
        <v>33</v>
      </c>
    </row>
    <row r="1319" spans="1:7">
      <c r="A1319" t="s">
        <v>22</v>
      </c>
      <c r="B1319" t="s">
        <v>185</v>
      </c>
      <c r="C1319" s="32">
        <v>397.11</v>
      </c>
      <c r="D1319" s="33">
        <v>50</v>
      </c>
      <c r="E1319" t="s">
        <v>117</v>
      </c>
      <c r="F1319" t="s">
        <v>93</v>
      </c>
      <c r="G1319" s="33">
        <v>33</v>
      </c>
    </row>
    <row r="1320" spans="1:7">
      <c r="A1320" t="s">
        <v>22</v>
      </c>
      <c r="B1320" t="s">
        <v>185</v>
      </c>
      <c r="C1320" s="32">
        <v>397.23</v>
      </c>
      <c r="D1320" s="33">
        <v>51</v>
      </c>
      <c r="E1320" t="s">
        <v>118</v>
      </c>
      <c r="F1320" t="s">
        <v>102</v>
      </c>
      <c r="G1320" s="33">
        <v>34</v>
      </c>
    </row>
    <row r="1321" spans="1:7">
      <c r="A1321" t="s">
        <v>22</v>
      </c>
      <c r="B1321" t="s">
        <v>185</v>
      </c>
      <c r="C1321" s="32">
        <v>397.36</v>
      </c>
      <c r="D1321" s="33">
        <v>52</v>
      </c>
      <c r="E1321" t="s">
        <v>122</v>
      </c>
      <c r="F1321" t="s">
        <v>90</v>
      </c>
      <c r="G1321" s="33">
        <v>33</v>
      </c>
    </row>
    <row r="1322" spans="1:7">
      <c r="A1322" t="s">
        <v>22</v>
      </c>
      <c r="B1322" t="s">
        <v>185</v>
      </c>
      <c r="C1322" s="32">
        <v>397.48</v>
      </c>
      <c r="D1322" s="33">
        <v>53</v>
      </c>
      <c r="E1322" t="s">
        <v>124</v>
      </c>
      <c r="F1322" t="s">
        <v>93</v>
      </c>
      <c r="G1322" s="33">
        <v>33</v>
      </c>
    </row>
    <row r="1323" spans="1:7">
      <c r="A1323" t="s">
        <v>22</v>
      </c>
      <c r="B1323" t="s">
        <v>185</v>
      </c>
      <c r="C1323" s="32">
        <v>397.61</v>
      </c>
      <c r="D1323" s="33">
        <v>54</v>
      </c>
      <c r="E1323" t="s">
        <v>125</v>
      </c>
      <c r="F1323" t="s">
        <v>90</v>
      </c>
      <c r="G1323" s="33">
        <v>34</v>
      </c>
    </row>
    <row r="1324" spans="1:7">
      <c r="A1324" t="s">
        <v>22</v>
      </c>
      <c r="B1324" t="s">
        <v>185</v>
      </c>
      <c r="C1324" s="32">
        <v>397.73</v>
      </c>
      <c r="D1324" s="33">
        <v>55</v>
      </c>
      <c r="E1324" t="s">
        <v>127</v>
      </c>
      <c r="F1324" t="s">
        <v>90</v>
      </c>
      <c r="G1324" s="33">
        <v>33</v>
      </c>
    </row>
    <row r="1325" spans="1:7">
      <c r="A1325" t="s">
        <v>22</v>
      </c>
      <c r="B1325" t="s">
        <v>185</v>
      </c>
      <c r="C1325" s="32">
        <v>397.86</v>
      </c>
      <c r="D1325" s="33">
        <v>56</v>
      </c>
      <c r="E1325" t="s">
        <v>128</v>
      </c>
      <c r="F1325" t="s">
        <v>93</v>
      </c>
      <c r="G1325" s="33">
        <v>33</v>
      </c>
    </row>
    <row r="1326" spans="1:7">
      <c r="A1326" t="s">
        <v>22</v>
      </c>
      <c r="B1326" t="s">
        <v>185</v>
      </c>
      <c r="C1326" s="32">
        <v>397.98</v>
      </c>
      <c r="D1326" s="33">
        <v>57</v>
      </c>
      <c r="E1326" t="s">
        <v>129</v>
      </c>
      <c r="F1326" t="s">
        <v>90</v>
      </c>
      <c r="G1326" s="33">
        <v>34</v>
      </c>
    </row>
    <row r="1327" spans="1:7">
      <c r="A1327" t="s">
        <v>22</v>
      </c>
      <c r="B1327" t="s">
        <v>185</v>
      </c>
      <c r="C1327" s="32">
        <v>398.1</v>
      </c>
      <c r="D1327" s="33">
        <v>58</v>
      </c>
      <c r="E1327" t="s">
        <v>130</v>
      </c>
      <c r="F1327" t="s">
        <v>96</v>
      </c>
      <c r="G1327" s="33">
        <v>33</v>
      </c>
    </row>
    <row r="1328" spans="1:7">
      <c r="A1328" t="s">
        <v>22</v>
      </c>
      <c r="B1328" t="s">
        <v>185</v>
      </c>
      <c r="C1328" s="32">
        <v>398.23</v>
      </c>
      <c r="D1328" s="33">
        <v>59</v>
      </c>
      <c r="E1328" t="s">
        <v>131</v>
      </c>
      <c r="F1328" t="s">
        <v>90</v>
      </c>
      <c r="G1328" s="33">
        <v>33</v>
      </c>
    </row>
    <row r="1329" spans="1:7">
      <c r="A1329" t="s">
        <v>22</v>
      </c>
      <c r="B1329" t="s">
        <v>185</v>
      </c>
      <c r="C1329" s="32">
        <v>398.35</v>
      </c>
      <c r="D1329" s="33">
        <v>60</v>
      </c>
      <c r="E1329" t="s">
        <v>133</v>
      </c>
      <c r="F1329" t="s">
        <v>90</v>
      </c>
      <c r="G1329" s="33">
        <v>34</v>
      </c>
    </row>
    <row r="1330" spans="1:7">
      <c r="A1330" t="s">
        <v>22</v>
      </c>
      <c r="B1330" t="s">
        <v>185</v>
      </c>
      <c r="C1330" s="32">
        <v>398.48</v>
      </c>
      <c r="D1330" s="33">
        <v>61</v>
      </c>
      <c r="E1330" t="s">
        <v>134</v>
      </c>
      <c r="F1330" t="s">
        <v>93</v>
      </c>
      <c r="G1330" s="33">
        <v>33</v>
      </c>
    </row>
    <row r="1331" spans="1:7">
      <c r="A1331" t="s">
        <v>22</v>
      </c>
      <c r="B1331" t="s">
        <v>185</v>
      </c>
      <c r="C1331" s="32">
        <v>398.6</v>
      </c>
      <c r="D1331" s="33">
        <v>62</v>
      </c>
      <c r="E1331" t="s">
        <v>135</v>
      </c>
      <c r="F1331" t="s">
        <v>90</v>
      </c>
      <c r="G1331" s="33">
        <v>33</v>
      </c>
    </row>
    <row r="1332" spans="1:7">
      <c r="A1332" t="s">
        <v>22</v>
      </c>
      <c r="B1332" t="s">
        <v>185</v>
      </c>
      <c r="C1332" s="32">
        <v>398.73</v>
      </c>
      <c r="D1332" s="33">
        <v>63</v>
      </c>
      <c r="E1332" t="s">
        <v>136</v>
      </c>
      <c r="F1332" t="s">
        <v>102</v>
      </c>
      <c r="G1332" s="33">
        <v>34</v>
      </c>
    </row>
    <row r="1333" spans="1:7">
      <c r="A1333" t="s">
        <v>22</v>
      </c>
      <c r="B1333" t="s">
        <v>185</v>
      </c>
      <c r="C1333" s="32">
        <v>398.85</v>
      </c>
      <c r="D1333" s="33">
        <v>64</v>
      </c>
      <c r="E1333" t="s">
        <v>137</v>
      </c>
      <c r="F1333" t="s">
        <v>93</v>
      </c>
      <c r="G1333" s="33">
        <v>33</v>
      </c>
    </row>
    <row r="1334" spans="1:7">
      <c r="A1334" t="s">
        <v>22</v>
      </c>
      <c r="B1334" t="s">
        <v>185</v>
      </c>
      <c r="C1334" s="32">
        <v>398.98</v>
      </c>
      <c r="D1334" s="33">
        <v>65</v>
      </c>
      <c r="E1334" t="s">
        <v>138</v>
      </c>
      <c r="F1334" t="s">
        <v>90</v>
      </c>
      <c r="G1334" s="33">
        <v>33</v>
      </c>
    </row>
    <row r="1335" spans="1:7">
      <c r="A1335" t="s">
        <v>22</v>
      </c>
      <c r="B1335" t="s">
        <v>185</v>
      </c>
      <c r="C1335" s="32">
        <v>399.1</v>
      </c>
      <c r="D1335" s="33">
        <v>66</v>
      </c>
      <c r="E1335" t="s">
        <v>140</v>
      </c>
      <c r="F1335" t="s">
        <v>96</v>
      </c>
      <c r="G1335" s="33">
        <v>34</v>
      </c>
    </row>
    <row r="1336" spans="1:7">
      <c r="A1336" t="s">
        <v>22</v>
      </c>
      <c r="B1336" t="s">
        <v>185</v>
      </c>
      <c r="C1336" s="32">
        <v>399.23</v>
      </c>
      <c r="D1336" s="33">
        <v>67</v>
      </c>
      <c r="E1336" t="s">
        <v>141</v>
      </c>
      <c r="F1336" t="s">
        <v>90</v>
      </c>
      <c r="G1336" s="33">
        <v>33</v>
      </c>
    </row>
    <row r="1337" spans="1:7">
      <c r="A1337" t="s">
        <v>22</v>
      </c>
      <c r="B1337" t="s">
        <v>185</v>
      </c>
      <c r="C1337" s="32">
        <v>399.35</v>
      </c>
      <c r="D1337" s="33">
        <v>68</v>
      </c>
      <c r="E1337" t="s">
        <v>142</v>
      </c>
      <c r="F1337" t="s">
        <v>90</v>
      </c>
      <c r="G1337" s="33">
        <v>33</v>
      </c>
    </row>
    <row r="1338" spans="1:7">
      <c r="A1338" t="s">
        <v>22</v>
      </c>
      <c r="B1338" t="s">
        <v>185</v>
      </c>
      <c r="C1338" s="32">
        <v>399.48</v>
      </c>
      <c r="D1338" s="33">
        <v>69</v>
      </c>
      <c r="E1338" t="s">
        <v>143</v>
      </c>
      <c r="F1338" t="s">
        <v>93</v>
      </c>
      <c r="G1338" s="33">
        <v>34</v>
      </c>
    </row>
    <row r="1339" spans="1:7">
      <c r="A1339" t="s">
        <v>22</v>
      </c>
      <c r="B1339" t="s">
        <v>185</v>
      </c>
      <c r="C1339" s="32">
        <v>399.6</v>
      </c>
      <c r="D1339" s="33">
        <v>70</v>
      </c>
      <c r="E1339" t="s">
        <v>144</v>
      </c>
      <c r="F1339" t="s">
        <v>90</v>
      </c>
      <c r="G1339" s="33">
        <v>33</v>
      </c>
    </row>
    <row r="1340" spans="1:7">
      <c r="A1340" t="s">
        <v>22</v>
      </c>
      <c r="B1340" t="s">
        <v>186</v>
      </c>
      <c r="C1340" s="32">
        <v>401</v>
      </c>
      <c r="D1340" s="33">
        <v>1</v>
      </c>
      <c r="E1340" t="s">
        <v>140</v>
      </c>
      <c r="F1340" t="s">
        <v>90</v>
      </c>
      <c r="G1340" s="33">
        <v>34</v>
      </c>
    </row>
    <row r="1341" spans="1:7">
      <c r="A1341" t="s">
        <v>22</v>
      </c>
      <c r="B1341" t="s">
        <v>186</v>
      </c>
      <c r="C1341" s="32">
        <v>401.12</v>
      </c>
      <c r="D1341" s="33">
        <v>2</v>
      </c>
      <c r="E1341" t="s">
        <v>141</v>
      </c>
      <c r="F1341" t="s">
        <v>93</v>
      </c>
      <c r="G1341" s="33">
        <v>35</v>
      </c>
    </row>
    <row r="1342" spans="1:7">
      <c r="A1342" t="s">
        <v>22</v>
      </c>
      <c r="B1342" t="s">
        <v>186</v>
      </c>
      <c r="C1342" s="32">
        <v>401.24</v>
      </c>
      <c r="D1342" s="33">
        <v>3</v>
      </c>
      <c r="E1342" t="s">
        <v>142</v>
      </c>
      <c r="F1342" t="s">
        <v>90</v>
      </c>
      <c r="G1342" s="33">
        <v>34</v>
      </c>
    </row>
    <row r="1343" spans="1:7">
      <c r="A1343" t="s">
        <v>22</v>
      </c>
      <c r="B1343" t="s">
        <v>186</v>
      </c>
      <c r="C1343" s="32">
        <v>401.36</v>
      </c>
      <c r="D1343" s="33">
        <v>4</v>
      </c>
      <c r="E1343" t="s">
        <v>143</v>
      </c>
      <c r="F1343" t="s">
        <v>90</v>
      </c>
      <c r="G1343" s="33">
        <v>34</v>
      </c>
    </row>
    <row r="1344" spans="1:7">
      <c r="A1344" t="s">
        <v>22</v>
      </c>
      <c r="B1344" t="s">
        <v>186</v>
      </c>
      <c r="C1344" s="32">
        <v>401.48</v>
      </c>
      <c r="D1344" s="33">
        <v>5</v>
      </c>
      <c r="E1344" t="s">
        <v>144</v>
      </c>
      <c r="F1344" t="s">
        <v>96</v>
      </c>
      <c r="G1344" s="33">
        <v>35</v>
      </c>
    </row>
    <row r="1345" spans="1:7">
      <c r="A1345" t="s">
        <v>22</v>
      </c>
      <c r="B1345" t="s">
        <v>186</v>
      </c>
      <c r="C1345" s="32">
        <v>401.61</v>
      </c>
      <c r="D1345" s="33">
        <v>6</v>
      </c>
      <c r="E1345" t="s">
        <v>145</v>
      </c>
      <c r="F1345" t="s">
        <v>90</v>
      </c>
      <c r="G1345" s="33">
        <v>34</v>
      </c>
    </row>
    <row r="1346" spans="1:7">
      <c r="A1346" t="s">
        <v>22</v>
      </c>
      <c r="B1346" t="s">
        <v>186</v>
      </c>
      <c r="C1346" s="32">
        <v>401.73</v>
      </c>
      <c r="D1346" s="33">
        <v>7</v>
      </c>
      <c r="E1346" t="s">
        <v>146</v>
      </c>
      <c r="F1346" t="s">
        <v>93</v>
      </c>
      <c r="G1346" s="33">
        <v>35</v>
      </c>
    </row>
    <row r="1347" spans="1:7">
      <c r="A1347" t="s">
        <v>22</v>
      </c>
      <c r="B1347" t="s">
        <v>186</v>
      </c>
      <c r="C1347" s="32">
        <v>401.85</v>
      </c>
      <c r="D1347" s="33">
        <v>8</v>
      </c>
      <c r="E1347" t="s">
        <v>148</v>
      </c>
      <c r="F1347" t="s">
        <v>90</v>
      </c>
      <c r="G1347" s="33">
        <v>34</v>
      </c>
    </row>
    <row r="1348" spans="1:7">
      <c r="A1348" t="s">
        <v>22</v>
      </c>
      <c r="B1348" t="s">
        <v>186</v>
      </c>
      <c r="C1348" s="32">
        <v>401.97</v>
      </c>
      <c r="D1348" s="33">
        <v>9</v>
      </c>
      <c r="E1348" t="s">
        <v>149</v>
      </c>
      <c r="F1348" t="s">
        <v>90</v>
      </c>
      <c r="G1348" s="33">
        <v>34</v>
      </c>
    </row>
    <row r="1349" spans="1:7">
      <c r="A1349" t="s">
        <v>22</v>
      </c>
      <c r="B1349" t="s">
        <v>186</v>
      </c>
      <c r="C1349" s="32">
        <v>402.09</v>
      </c>
      <c r="D1349" s="33">
        <v>10</v>
      </c>
      <c r="E1349" t="s">
        <v>150</v>
      </c>
      <c r="F1349" t="s">
        <v>93</v>
      </c>
      <c r="G1349" s="33">
        <v>35</v>
      </c>
    </row>
    <row r="1350" spans="1:7">
      <c r="A1350" t="s">
        <v>22</v>
      </c>
      <c r="B1350" t="s">
        <v>186</v>
      </c>
      <c r="C1350" s="32">
        <v>402.21</v>
      </c>
      <c r="D1350" s="33">
        <v>11</v>
      </c>
      <c r="E1350" t="s">
        <v>151</v>
      </c>
      <c r="F1350" t="s">
        <v>90</v>
      </c>
      <c r="G1350" s="33">
        <v>34</v>
      </c>
    </row>
    <row r="1351" spans="1:7">
      <c r="A1351" t="s">
        <v>22</v>
      </c>
      <c r="B1351" t="s">
        <v>186</v>
      </c>
      <c r="C1351" s="32">
        <v>402.33</v>
      </c>
      <c r="D1351" s="33">
        <v>12</v>
      </c>
      <c r="E1351" t="s">
        <v>152</v>
      </c>
      <c r="F1351" t="s">
        <v>102</v>
      </c>
      <c r="G1351" s="33">
        <v>34</v>
      </c>
    </row>
    <row r="1352" spans="1:7">
      <c r="A1352" t="s">
        <v>22</v>
      </c>
      <c r="B1352" t="s">
        <v>186</v>
      </c>
      <c r="C1352" s="32">
        <v>402.45</v>
      </c>
      <c r="D1352" s="33">
        <v>13</v>
      </c>
      <c r="E1352" t="s">
        <v>153</v>
      </c>
      <c r="F1352" t="s">
        <v>96</v>
      </c>
      <c r="G1352" s="33">
        <v>35</v>
      </c>
    </row>
    <row r="1353" spans="1:7">
      <c r="A1353" t="s">
        <v>22</v>
      </c>
      <c r="B1353" t="s">
        <v>186</v>
      </c>
      <c r="C1353" s="32">
        <v>402.57</v>
      </c>
      <c r="D1353" s="33">
        <v>14</v>
      </c>
      <c r="E1353" t="s">
        <v>120</v>
      </c>
      <c r="F1353" t="s">
        <v>90</v>
      </c>
      <c r="G1353" s="33">
        <v>34</v>
      </c>
    </row>
    <row r="1354" spans="1:7">
      <c r="A1354" t="s">
        <v>22</v>
      </c>
      <c r="B1354" t="s">
        <v>186</v>
      </c>
      <c r="C1354" s="32">
        <v>402.7</v>
      </c>
      <c r="D1354" s="33">
        <v>15</v>
      </c>
      <c r="E1354" t="s">
        <v>115</v>
      </c>
      <c r="F1354" t="s">
        <v>93</v>
      </c>
      <c r="G1354" s="33">
        <v>34</v>
      </c>
    </row>
    <row r="1355" spans="1:7">
      <c r="A1355" t="s">
        <v>22</v>
      </c>
      <c r="B1355" t="s">
        <v>186</v>
      </c>
      <c r="C1355" s="32">
        <v>402.82</v>
      </c>
      <c r="D1355" s="33">
        <v>16</v>
      </c>
      <c r="E1355" t="s">
        <v>116</v>
      </c>
      <c r="F1355" t="s">
        <v>90</v>
      </c>
      <c r="G1355" s="33">
        <v>35</v>
      </c>
    </row>
    <row r="1356" spans="1:7">
      <c r="A1356" t="s">
        <v>22</v>
      </c>
      <c r="B1356" t="s">
        <v>186</v>
      </c>
      <c r="C1356" s="32">
        <v>402.94</v>
      </c>
      <c r="D1356" s="33">
        <v>17</v>
      </c>
      <c r="E1356" t="s">
        <v>117</v>
      </c>
      <c r="F1356" t="s">
        <v>90</v>
      </c>
      <c r="G1356" s="33">
        <v>34</v>
      </c>
    </row>
    <row r="1357" spans="1:7">
      <c r="A1357" t="s">
        <v>22</v>
      </c>
      <c r="B1357" t="s">
        <v>186</v>
      </c>
      <c r="C1357" s="32">
        <v>403.06</v>
      </c>
      <c r="D1357" s="33">
        <v>18</v>
      </c>
      <c r="E1357" t="s">
        <v>118</v>
      </c>
      <c r="F1357" t="s">
        <v>93</v>
      </c>
      <c r="G1357" s="33">
        <v>34</v>
      </c>
    </row>
    <row r="1358" spans="1:7">
      <c r="A1358" t="s">
        <v>22</v>
      </c>
      <c r="B1358" t="s">
        <v>186</v>
      </c>
      <c r="C1358" s="32">
        <v>403.18</v>
      </c>
      <c r="D1358" s="33">
        <v>19</v>
      </c>
      <c r="E1358" t="s">
        <v>122</v>
      </c>
      <c r="F1358" t="s">
        <v>90</v>
      </c>
      <c r="G1358" s="33">
        <v>35</v>
      </c>
    </row>
    <row r="1359" spans="1:7">
      <c r="A1359" t="s">
        <v>22</v>
      </c>
      <c r="B1359" t="s">
        <v>186</v>
      </c>
      <c r="C1359" s="32">
        <v>403.3</v>
      </c>
      <c r="D1359" s="33">
        <v>20</v>
      </c>
      <c r="E1359" t="s">
        <v>124</v>
      </c>
      <c r="F1359" t="s">
        <v>90</v>
      </c>
      <c r="G1359" s="33">
        <v>34</v>
      </c>
    </row>
    <row r="1360" spans="1:7">
      <c r="A1360" t="s">
        <v>22</v>
      </c>
      <c r="B1360" t="s">
        <v>186</v>
      </c>
      <c r="C1360" s="32">
        <v>403.42</v>
      </c>
      <c r="D1360" s="33">
        <v>21</v>
      </c>
      <c r="E1360" t="s">
        <v>125</v>
      </c>
      <c r="F1360" t="s">
        <v>93</v>
      </c>
      <c r="G1360" s="33">
        <v>35</v>
      </c>
    </row>
    <row r="1361" spans="1:7">
      <c r="A1361" t="s">
        <v>22</v>
      </c>
      <c r="B1361" t="s">
        <v>186</v>
      </c>
      <c r="C1361" s="32">
        <v>403.54</v>
      </c>
      <c r="D1361" s="33">
        <v>22</v>
      </c>
      <c r="E1361" t="s">
        <v>127</v>
      </c>
      <c r="F1361" t="s">
        <v>90</v>
      </c>
      <c r="G1361" s="33">
        <v>34</v>
      </c>
    </row>
    <row r="1362" spans="1:7">
      <c r="A1362" t="s">
        <v>22</v>
      </c>
      <c r="B1362" t="s">
        <v>186</v>
      </c>
      <c r="C1362" s="32">
        <v>403.66</v>
      </c>
      <c r="D1362" s="33">
        <v>23</v>
      </c>
      <c r="E1362" t="s">
        <v>128</v>
      </c>
      <c r="F1362" t="s">
        <v>96</v>
      </c>
      <c r="G1362" s="33">
        <v>34</v>
      </c>
    </row>
    <row r="1363" spans="1:7">
      <c r="A1363" t="s">
        <v>22</v>
      </c>
      <c r="B1363" t="s">
        <v>186</v>
      </c>
      <c r="C1363" s="32">
        <v>403.79</v>
      </c>
      <c r="D1363" s="33">
        <v>24</v>
      </c>
      <c r="E1363" t="s">
        <v>129</v>
      </c>
      <c r="F1363" t="s">
        <v>90</v>
      </c>
      <c r="G1363" s="33">
        <v>35</v>
      </c>
    </row>
    <row r="1364" spans="1:7">
      <c r="A1364" t="s">
        <v>22</v>
      </c>
      <c r="B1364" t="s">
        <v>186</v>
      </c>
      <c r="C1364" s="32">
        <v>403.91</v>
      </c>
      <c r="D1364" s="33">
        <v>25</v>
      </c>
      <c r="E1364" t="s">
        <v>130</v>
      </c>
      <c r="F1364" t="s">
        <v>102</v>
      </c>
      <c r="G1364" s="33">
        <v>34</v>
      </c>
    </row>
    <row r="1365" spans="1:7">
      <c r="A1365" t="s">
        <v>22</v>
      </c>
      <c r="B1365" t="s">
        <v>186</v>
      </c>
      <c r="C1365" s="32">
        <v>404.03</v>
      </c>
      <c r="D1365" s="33">
        <v>26</v>
      </c>
      <c r="E1365" t="s">
        <v>131</v>
      </c>
      <c r="F1365" t="s">
        <v>93</v>
      </c>
      <c r="G1365" s="33">
        <v>34</v>
      </c>
    </row>
    <row r="1366" spans="1:7">
      <c r="A1366" t="s">
        <v>22</v>
      </c>
      <c r="B1366" t="s">
        <v>186</v>
      </c>
      <c r="C1366" s="32">
        <v>404.15</v>
      </c>
      <c r="D1366" s="33">
        <v>27</v>
      </c>
      <c r="E1366" t="s">
        <v>133</v>
      </c>
      <c r="F1366" t="s">
        <v>90</v>
      </c>
      <c r="G1366" s="33">
        <v>35</v>
      </c>
    </row>
    <row r="1367" spans="1:7">
      <c r="A1367" t="s">
        <v>22</v>
      </c>
      <c r="B1367" t="s">
        <v>186</v>
      </c>
      <c r="C1367" s="32">
        <v>404.27</v>
      </c>
      <c r="D1367" s="33">
        <v>28</v>
      </c>
      <c r="E1367" t="s">
        <v>134</v>
      </c>
      <c r="F1367" t="s">
        <v>90</v>
      </c>
      <c r="G1367" s="33">
        <v>34</v>
      </c>
    </row>
    <row r="1368" spans="1:7">
      <c r="A1368" t="s">
        <v>22</v>
      </c>
      <c r="B1368" t="s">
        <v>186</v>
      </c>
      <c r="C1368" s="32">
        <v>404.39</v>
      </c>
      <c r="D1368" s="33">
        <v>29</v>
      </c>
      <c r="E1368" t="s">
        <v>135</v>
      </c>
      <c r="F1368" t="s">
        <v>93</v>
      </c>
      <c r="G1368" s="33">
        <v>34</v>
      </c>
    </row>
    <row r="1369" spans="1:7">
      <c r="A1369" t="s">
        <v>22</v>
      </c>
      <c r="B1369" t="s">
        <v>186</v>
      </c>
      <c r="C1369" s="32">
        <v>404.51</v>
      </c>
      <c r="D1369" s="33">
        <v>30</v>
      </c>
      <c r="E1369" t="s">
        <v>136</v>
      </c>
      <c r="F1369" t="s">
        <v>90</v>
      </c>
      <c r="G1369" s="33">
        <v>35</v>
      </c>
    </row>
    <row r="1370" spans="1:7">
      <c r="A1370" t="s">
        <v>22</v>
      </c>
      <c r="B1370" t="s">
        <v>186</v>
      </c>
      <c r="C1370" s="32">
        <v>404.63</v>
      </c>
      <c r="D1370" s="33">
        <v>31</v>
      </c>
      <c r="E1370" t="s">
        <v>137</v>
      </c>
      <c r="F1370" t="s">
        <v>96</v>
      </c>
      <c r="G1370" s="33">
        <v>34</v>
      </c>
    </row>
    <row r="1371" spans="1:7">
      <c r="A1371" t="s">
        <v>22</v>
      </c>
      <c r="B1371" t="s">
        <v>186</v>
      </c>
      <c r="C1371" s="32">
        <v>404.75</v>
      </c>
      <c r="D1371" s="33">
        <v>32</v>
      </c>
      <c r="E1371" t="s">
        <v>138</v>
      </c>
      <c r="F1371" t="s">
        <v>90</v>
      </c>
      <c r="G1371" s="33">
        <v>35</v>
      </c>
    </row>
    <row r="1372" spans="1:7">
      <c r="A1372" t="s">
        <v>22</v>
      </c>
      <c r="B1372" t="s">
        <v>186</v>
      </c>
      <c r="C1372" s="32">
        <v>404.88</v>
      </c>
      <c r="D1372" s="33">
        <v>33</v>
      </c>
      <c r="E1372" t="s">
        <v>140</v>
      </c>
      <c r="F1372" t="s">
        <v>93</v>
      </c>
      <c r="G1372" s="33">
        <v>34</v>
      </c>
    </row>
    <row r="1373" spans="1:7">
      <c r="A1373" t="s">
        <v>22</v>
      </c>
      <c r="B1373" t="s">
        <v>186</v>
      </c>
      <c r="C1373" s="32">
        <v>405</v>
      </c>
      <c r="D1373" s="33">
        <v>34</v>
      </c>
      <c r="E1373" t="s">
        <v>141</v>
      </c>
      <c r="F1373" t="s">
        <v>90</v>
      </c>
      <c r="G1373" s="33">
        <v>34</v>
      </c>
    </row>
    <row r="1374" spans="1:7">
      <c r="A1374" t="s">
        <v>22</v>
      </c>
      <c r="B1374" t="s">
        <v>186</v>
      </c>
      <c r="C1374" s="32">
        <v>405.12</v>
      </c>
      <c r="D1374" s="33">
        <v>35</v>
      </c>
      <c r="E1374" t="s">
        <v>142</v>
      </c>
      <c r="F1374" t="s">
        <v>90</v>
      </c>
      <c r="G1374" s="33">
        <v>35</v>
      </c>
    </row>
    <row r="1375" spans="1:7">
      <c r="A1375" t="s">
        <v>22</v>
      </c>
      <c r="B1375" t="s">
        <v>186</v>
      </c>
      <c r="C1375" s="32">
        <v>405.24</v>
      </c>
      <c r="D1375" s="33">
        <v>36</v>
      </c>
      <c r="E1375" t="s">
        <v>143</v>
      </c>
      <c r="F1375" t="s">
        <v>90</v>
      </c>
      <c r="G1375" s="33">
        <v>34</v>
      </c>
    </row>
    <row r="1376" spans="1:7">
      <c r="A1376" t="s">
        <v>22</v>
      </c>
      <c r="B1376" t="s">
        <v>186</v>
      </c>
      <c r="C1376" s="32">
        <v>405.36</v>
      </c>
      <c r="D1376" s="33">
        <v>37</v>
      </c>
      <c r="E1376" t="s">
        <v>144</v>
      </c>
      <c r="F1376" t="s">
        <v>93</v>
      </c>
      <c r="G1376" s="33">
        <v>34</v>
      </c>
    </row>
    <row r="1377" spans="1:7">
      <c r="A1377" t="s">
        <v>22</v>
      </c>
      <c r="B1377" t="s">
        <v>186</v>
      </c>
      <c r="C1377" s="32">
        <v>405.48</v>
      </c>
      <c r="D1377" s="33">
        <v>38</v>
      </c>
      <c r="E1377" t="s">
        <v>145</v>
      </c>
      <c r="F1377" t="s">
        <v>102</v>
      </c>
      <c r="G1377" s="33">
        <v>35</v>
      </c>
    </row>
    <row r="1378" spans="1:7">
      <c r="A1378" t="s">
        <v>22</v>
      </c>
      <c r="B1378" t="s">
        <v>186</v>
      </c>
      <c r="C1378" s="32">
        <v>405.6</v>
      </c>
      <c r="D1378" s="33">
        <v>39</v>
      </c>
      <c r="E1378" t="s">
        <v>146</v>
      </c>
      <c r="F1378" t="s">
        <v>90</v>
      </c>
      <c r="G1378" s="33">
        <v>34</v>
      </c>
    </row>
    <row r="1379" spans="1:7">
      <c r="A1379" t="s">
        <v>22</v>
      </c>
      <c r="B1379" t="s">
        <v>186</v>
      </c>
      <c r="C1379" s="32">
        <v>405.72</v>
      </c>
      <c r="D1379" s="33">
        <v>40</v>
      </c>
      <c r="E1379" t="s">
        <v>148</v>
      </c>
      <c r="F1379" t="s">
        <v>93</v>
      </c>
      <c r="G1379" s="33">
        <v>34</v>
      </c>
    </row>
    <row r="1380" spans="1:7">
      <c r="A1380" t="s">
        <v>22</v>
      </c>
      <c r="B1380" t="s">
        <v>186</v>
      </c>
      <c r="C1380" s="32">
        <v>405.85</v>
      </c>
      <c r="D1380" s="33">
        <v>41</v>
      </c>
      <c r="E1380" t="s">
        <v>149</v>
      </c>
      <c r="F1380" t="s">
        <v>90</v>
      </c>
      <c r="G1380" s="33">
        <v>35</v>
      </c>
    </row>
    <row r="1381" spans="1:7">
      <c r="A1381" t="s">
        <v>22</v>
      </c>
      <c r="B1381" t="s">
        <v>186</v>
      </c>
      <c r="C1381" s="32">
        <v>405.97</v>
      </c>
      <c r="D1381" s="33">
        <v>42</v>
      </c>
      <c r="E1381" t="s">
        <v>150</v>
      </c>
      <c r="F1381" t="s">
        <v>96</v>
      </c>
      <c r="G1381" s="33">
        <v>34</v>
      </c>
    </row>
    <row r="1382" spans="1:7">
      <c r="A1382" t="s">
        <v>22</v>
      </c>
      <c r="B1382" t="s">
        <v>186</v>
      </c>
      <c r="C1382" s="32">
        <v>406.09</v>
      </c>
      <c r="D1382" s="33">
        <v>43</v>
      </c>
      <c r="E1382" t="s">
        <v>151</v>
      </c>
      <c r="F1382" t="s">
        <v>90</v>
      </c>
      <c r="G1382" s="33">
        <v>35</v>
      </c>
    </row>
    <row r="1383" spans="1:7">
      <c r="A1383" t="s">
        <v>22</v>
      </c>
      <c r="B1383" t="s">
        <v>186</v>
      </c>
      <c r="C1383" s="32">
        <v>406.21</v>
      </c>
      <c r="D1383" s="33">
        <v>44</v>
      </c>
      <c r="E1383" t="s">
        <v>152</v>
      </c>
      <c r="F1383" t="s">
        <v>93</v>
      </c>
      <c r="G1383" s="33">
        <v>34</v>
      </c>
    </row>
    <row r="1384" spans="1:7">
      <c r="A1384" t="s">
        <v>22</v>
      </c>
      <c r="B1384" t="s">
        <v>186</v>
      </c>
      <c r="C1384" s="32">
        <v>406.33</v>
      </c>
      <c r="D1384" s="33">
        <v>45</v>
      </c>
      <c r="E1384" t="s">
        <v>153</v>
      </c>
      <c r="F1384" t="s">
        <v>90</v>
      </c>
      <c r="G1384" s="33">
        <v>34</v>
      </c>
    </row>
    <row r="1385" spans="1:7">
      <c r="A1385" t="s">
        <v>22</v>
      </c>
      <c r="B1385" t="s">
        <v>186</v>
      </c>
      <c r="C1385" s="32">
        <v>406.45</v>
      </c>
      <c r="D1385" s="33">
        <v>46</v>
      </c>
      <c r="E1385" t="s">
        <v>120</v>
      </c>
      <c r="F1385" t="s">
        <v>90</v>
      </c>
      <c r="G1385" s="33">
        <v>35</v>
      </c>
    </row>
    <row r="1386" spans="1:7">
      <c r="A1386" t="s">
        <v>22</v>
      </c>
      <c r="B1386" t="s">
        <v>186</v>
      </c>
      <c r="C1386" s="32">
        <v>406.57</v>
      </c>
      <c r="D1386" s="33">
        <v>47</v>
      </c>
      <c r="E1386" t="s">
        <v>115</v>
      </c>
      <c r="F1386" t="s">
        <v>93</v>
      </c>
      <c r="G1386" s="33">
        <v>34</v>
      </c>
    </row>
    <row r="1387" spans="1:7">
      <c r="A1387" t="s">
        <v>22</v>
      </c>
      <c r="B1387" t="s">
        <v>186</v>
      </c>
      <c r="C1387" s="32">
        <v>406.69</v>
      </c>
      <c r="D1387" s="33">
        <v>48</v>
      </c>
      <c r="E1387" t="s">
        <v>116</v>
      </c>
      <c r="F1387" t="s">
        <v>90</v>
      </c>
      <c r="G1387" s="33">
        <v>34</v>
      </c>
    </row>
    <row r="1388" spans="1:7">
      <c r="A1388" t="s">
        <v>22</v>
      </c>
      <c r="B1388" t="s">
        <v>186</v>
      </c>
      <c r="C1388" s="32">
        <v>406.81</v>
      </c>
      <c r="D1388" s="33">
        <v>49</v>
      </c>
      <c r="E1388" t="s">
        <v>117</v>
      </c>
      <c r="F1388" t="s">
        <v>90</v>
      </c>
      <c r="G1388" s="33">
        <v>35</v>
      </c>
    </row>
    <row r="1389" spans="1:7">
      <c r="A1389" t="s">
        <v>22</v>
      </c>
      <c r="B1389" t="s">
        <v>186</v>
      </c>
      <c r="C1389" s="32">
        <v>406.94</v>
      </c>
      <c r="D1389" s="33">
        <v>50</v>
      </c>
      <c r="E1389" t="s">
        <v>118</v>
      </c>
      <c r="F1389" t="s">
        <v>96</v>
      </c>
      <c r="G1389" s="33">
        <v>34</v>
      </c>
    </row>
    <row r="1390" spans="1:7">
      <c r="A1390" t="s">
        <v>22</v>
      </c>
      <c r="B1390" t="s">
        <v>186</v>
      </c>
      <c r="C1390" s="32">
        <v>407.06</v>
      </c>
      <c r="D1390" s="33">
        <v>51</v>
      </c>
      <c r="E1390" t="s">
        <v>122</v>
      </c>
      <c r="F1390" t="s">
        <v>102</v>
      </c>
      <c r="G1390" s="33">
        <v>34</v>
      </c>
    </row>
    <row r="1391" spans="1:7">
      <c r="A1391" t="s">
        <v>22</v>
      </c>
      <c r="B1391" t="s">
        <v>186</v>
      </c>
      <c r="C1391" s="32">
        <v>407.18</v>
      </c>
      <c r="D1391" s="33">
        <v>52</v>
      </c>
      <c r="E1391" t="s">
        <v>124</v>
      </c>
      <c r="F1391" t="s">
        <v>93</v>
      </c>
      <c r="G1391" s="33">
        <v>35</v>
      </c>
    </row>
    <row r="1392" spans="1:7">
      <c r="A1392" t="s">
        <v>22</v>
      </c>
      <c r="B1392" t="s">
        <v>186</v>
      </c>
      <c r="C1392" s="32">
        <v>407.3</v>
      </c>
      <c r="D1392" s="33">
        <v>53</v>
      </c>
      <c r="E1392" t="s">
        <v>125</v>
      </c>
      <c r="F1392" t="s">
        <v>90</v>
      </c>
      <c r="G1392" s="33">
        <v>34</v>
      </c>
    </row>
    <row r="1393" spans="1:7">
      <c r="A1393" t="s">
        <v>22</v>
      </c>
      <c r="B1393" t="s">
        <v>186</v>
      </c>
      <c r="C1393" s="32">
        <v>407.42</v>
      </c>
      <c r="D1393" s="33">
        <v>54</v>
      </c>
      <c r="E1393" t="s">
        <v>127</v>
      </c>
      <c r="F1393" t="s">
        <v>90</v>
      </c>
      <c r="G1393" s="33">
        <v>34</v>
      </c>
    </row>
    <row r="1394" spans="1:7">
      <c r="A1394" t="s">
        <v>22</v>
      </c>
      <c r="B1394" t="s">
        <v>186</v>
      </c>
      <c r="C1394" s="32">
        <v>407.54</v>
      </c>
      <c r="D1394" s="33">
        <v>55</v>
      </c>
      <c r="E1394" t="s">
        <v>128</v>
      </c>
      <c r="F1394" t="s">
        <v>93</v>
      </c>
      <c r="G1394" s="33">
        <v>35</v>
      </c>
    </row>
    <row r="1395" spans="1:7">
      <c r="A1395" t="s">
        <v>22</v>
      </c>
      <c r="B1395" t="s">
        <v>186</v>
      </c>
      <c r="C1395" s="32">
        <v>407.66</v>
      </c>
      <c r="D1395" s="33">
        <v>56</v>
      </c>
      <c r="E1395" t="s">
        <v>129</v>
      </c>
      <c r="F1395" t="s">
        <v>90</v>
      </c>
      <c r="G1395" s="33">
        <v>34</v>
      </c>
    </row>
    <row r="1396" spans="1:7">
      <c r="A1396" t="s">
        <v>22</v>
      </c>
      <c r="B1396" t="s">
        <v>186</v>
      </c>
      <c r="C1396" s="32">
        <v>407.78</v>
      </c>
      <c r="D1396" s="33">
        <v>57</v>
      </c>
      <c r="E1396" t="s">
        <v>130</v>
      </c>
      <c r="F1396" t="s">
        <v>90</v>
      </c>
      <c r="G1396" s="33">
        <v>35</v>
      </c>
    </row>
    <row r="1397" spans="1:7">
      <c r="A1397" t="s">
        <v>22</v>
      </c>
      <c r="B1397" t="s">
        <v>186</v>
      </c>
      <c r="C1397" s="32">
        <v>407.9</v>
      </c>
      <c r="D1397" s="33">
        <v>58</v>
      </c>
      <c r="E1397" t="s">
        <v>131</v>
      </c>
      <c r="F1397" t="s">
        <v>96</v>
      </c>
      <c r="G1397" s="33">
        <v>34</v>
      </c>
    </row>
    <row r="1398" spans="1:7">
      <c r="A1398" t="s">
        <v>22</v>
      </c>
      <c r="B1398" t="s">
        <v>186</v>
      </c>
      <c r="C1398" s="32">
        <v>408.03</v>
      </c>
      <c r="D1398" s="33">
        <v>59</v>
      </c>
      <c r="E1398" t="s">
        <v>133</v>
      </c>
      <c r="F1398" t="s">
        <v>90</v>
      </c>
      <c r="G1398" s="33">
        <v>34</v>
      </c>
    </row>
    <row r="1399" spans="1:7">
      <c r="A1399" t="s">
        <v>22</v>
      </c>
      <c r="B1399" t="s">
        <v>186</v>
      </c>
      <c r="C1399" s="32">
        <v>408.15</v>
      </c>
      <c r="D1399" s="33">
        <v>60</v>
      </c>
      <c r="E1399" t="s">
        <v>134</v>
      </c>
      <c r="F1399" t="s">
        <v>93</v>
      </c>
      <c r="G1399" s="33">
        <v>35</v>
      </c>
    </row>
    <row r="1400" spans="1:7">
      <c r="A1400" t="s">
        <v>22</v>
      </c>
      <c r="B1400" t="s">
        <v>186</v>
      </c>
      <c r="C1400" s="32">
        <v>408.27</v>
      </c>
      <c r="D1400" s="33">
        <v>61</v>
      </c>
      <c r="E1400" t="s">
        <v>135</v>
      </c>
      <c r="F1400" t="s">
        <v>90</v>
      </c>
      <c r="G1400" s="33">
        <v>34</v>
      </c>
    </row>
    <row r="1401" spans="1:7">
      <c r="A1401" t="s">
        <v>22</v>
      </c>
      <c r="B1401" t="s">
        <v>186</v>
      </c>
      <c r="C1401" s="32">
        <v>408.39</v>
      </c>
      <c r="D1401" s="33">
        <v>62</v>
      </c>
      <c r="E1401" t="s">
        <v>136</v>
      </c>
      <c r="F1401" t="s">
        <v>90</v>
      </c>
      <c r="G1401" s="33">
        <v>34</v>
      </c>
    </row>
    <row r="1402" spans="1:7">
      <c r="A1402" t="s">
        <v>22</v>
      </c>
      <c r="B1402" t="s">
        <v>186</v>
      </c>
      <c r="C1402" s="32">
        <v>408.51</v>
      </c>
      <c r="D1402" s="33">
        <v>63</v>
      </c>
      <c r="E1402" t="s">
        <v>137</v>
      </c>
      <c r="F1402" t="s">
        <v>93</v>
      </c>
      <c r="G1402" s="33">
        <v>35</v>
      </c>
    </row>
    <row r="1403" spans="1:7">
      <c r="A1403" t="s">
        <v>22</v>
      </c>
      <c r="B1403" t="s">
        <v>186</v>
      </c>
      <c r="C1403" s="32">
        <v>408.63</v>
      </c>
      <c r="D1403" s="33">
        <v>64</v>
      </c>
      <c r="E1403" t="s">
        <v>138</v>
      </c>
      <c r="F1403" t="s">
        <v>102</v>
      </c>
      <c r="G1403" s="33">
        <v>34</v>
      </c>
    </row>
    <row r="1404" spans="1:7">
      <c r="A1404" t="s">
        <v>22</v>
      </c>
      <c r="B1404" t="s">
        <v>186</v>
      </c>
      <c r="C1404" s="32">
        <v>408.75</v>
      </c>
      <c r="D1404" s="33">
        <v>65</v>
      </c>
      <c r="E1404" t="s">
        <v>140</v>
      </c>
      <c r="F1404" t="s">
        <v>90</v>
      </c>
      <c r="G1404" s="33">
        <v>34</v>
      </c>
    </row>
    <row r="1405" spans="1:7">
      <c r="A1405" t="s">
        <v>22</v>
      </c>
      <c r="B1405" t="s">
        <v>186</v>
      </c>
      <c r="C1405" s="32">
        <v>408.87</v>
      </c>
      <c r="D1405" s="33">
        <v>66</v>
      </c>
      <c r="E1405" t="s">
        <v>141</v>
      </c>
      <c r="F1405" t="s">
        <v>93</v>
      </c>
      <c r="G1405" s="33">
        <v>35</v>
      </c>
    </row>
    <row r="1406" spans="1:7">
      <c r="A1406" t="s">
        <v>22</v>
      </c>
      <c r="B1406" t="s">
        <v>186</v>
      </c>
      <c r="C1406" s="32">
        <v>408.99</v>
      </c>
      <c r="D1406" s="33">
        <v>67</v>
      </c>
      <c r="E1406" t="s">
        <v>142</v>
      </c>
      <c r="F1406" t="s">
        <v>90</v>
      </c>
      <c r="G1406" s="33">
        <v>34</v>
      </c>
    </row>
    <row r="1407" spans="1:7">
      <c r="A1407" t="s">
        <v>22</v>
      </c>
      <c r="B1407" t="s">
        <v>186</v>
      </c>
      <c r="C1407" s="32">
        <v>409.12</v>
      </c>
      <c r="D1407" s="33">
        <v>68</v>
      </c>
      <c r="E1407" t="s">
        <v>143</v>
      </c>
      <c r="F1407" t="s">
        <v>96</v>
      </c>
      <c r="G1407" s="33">
        <v>35</v>
      </c>
    </row>
    <row r="1408" spans="1:7">
      <c r="A1408" t="s">
        <v>22</v>
      </c>
      <c r="B1408" t="s">
        <v>186</v>
      </c>
      <c r="C1408" s="32">
        <v>409.24</v>
      </c>
      <c r="D1408" s="33">
        <v>69</v>
      </c>
      <c r="E1408" t="s">
        <v>144</v>
      </c>
      <c r="F1408" t="s">
        <v>90</v>
      </c>
      <c r="G1408" s="33">
        <v>34</v>
      </c>
    </row>
    <row r="1409" spans="1:7">
      <c r="A1409" t="s">
        <v>22</v>
      </c>
      <c r="B1409" t="s">
        <v>186</v>
      </c>
      <c r="C1409" s="32">
        <v>409.36</v>
      </c>
      <c r="D1409" s="33">
        <v>70</v>
      </c>
      <c r="E1409" t="s">
        <v>145</v>
      </c>
      <c r="F1409" t="s">
        <v>90</v>
      </c>
      <c r="G1409" s="33">
        <v>34</v>
      </c>
    </row>
    <row r="1410" spans="1:7">
      <c r="A1410" t="s">
        <v>22</v>
      </c>
      <c r="B1410" t="s">
        <v>186</v>
      </c>
      <c r="C1410" s="32">
        <v>409.48</v>
      </c>
      <c r="D1410" s="33">
        <v>71</v>
      </c>
      <c r="E1410" t="s">
        <v>146</v>
      </c>
      <c r="F1410" t="s">
        <v>93</v>
      </c>
      <c r="G1410" s="33">
        <v>35</v>
      </c>
    </row>
    <row r="1411" spans="1:7">
      <c r="A1411" t="s">
        <v>22</v>
      </c>
      <c r="B1411" t="s">
        <v>186</v>
      </c>
      <c r="C1411" s="32">
        <v>409.6</v>
      </c>
      <c r="D1411" s="33">
        <v>72</v>
      </c>
      <c r="E1411" t="s">
        <v>148</v>
      </c>
      <c r="F1411" t="s">
        <v>90</v>
      </c>
      <c r="G1411" s="33">
        <v>34</v>
      </c>
    </row>
    <row r="1412" spans="1:7">
      <c r="A1412" t="s">
        <v>22</v>
      </c>
      <c r="B1412" t="s">
        <v>187</v>
      </c>
      <c r="C1412" s="32">
        <v>411</v>
      </c>
      <c r="D1412" s="33">
        <v>1</v>
      </c>
      <c r="E1412" t="s">
        <v>143</v>
      </c>
      <c r="F1412" t="s">
        <v>90</v>
      </c>
      <c r="G1412" s="33">
        <v>35</v>
      </c>
    </row>
    <row r="1413" spans="1:7">
      <c r="A1413" t="s">
        <v>22</v>
      </c>
      <c r="B1413" t="s">
        <v>187</v>
      </c>
      <c r="C1413" s="32">
        <v>411.12</v>
      </c>
      <c r="D1413" s="33">
        <v>2</v>
      </c>
      <c r="E1413" t="s">
        <v>144</v>
      </c>
      <c r="F1413" t="s">
        <v>93</v>
      </c>
      <c r="G1413" s="33">
        <v>36</v>
      </c>
    </row>
    <row r="1414" spans="1:7">
      <c r="A1414" t="s">
        <v>22</v>
      </c>
      <c r="B1414" t="s">
        <v>187</v>
      </c>
      <c r="C1414" s="32">
        <v>411.23</v>
      </c>
      <c r="D1414" s="33">
        <v>3</v>
      </c>
      <c r="E1414" t="s">
        <v>145</v>
      </c>
      <c r="F1414" t="s">
        <v>90</v>
      </c>
      <c r="G1414" s="33">
        <v>35</v>
      </c>
    </row>
    <row r="1415" spans="1:7">
      <c r="A1415" t="s">
        <v>22</v>
      </c>
      <c r="B1415" t="s">
        <v>187</v>
      </c>
      <c r="C1415" s="32">
        <v>411.35</v>
      </c>
      <c r="D1415" s="33">
        <v>4</v>
      </c>
      <c r="E1415" t="s">
        <v>146</v>
      </c>
      <c r="F1415" t="s">
        <v>96</v>
      </c>
      <c r="G1415" s="33">
        <v>36</v>
      </c>
    </row>
    <row r="1416" spans="1:7">
      <c r="A1416" t="s">
        <v>22</v>
      </c>
      <c r="B1416" t="s">
        <v>187</v>
      </c>
      <c r="C1416" s="32">
        <v>411.46</v>
      </c>
      <c r="D1416" s="33">
        <v>5</v>
      </c>
      <c r="E1416" t="s">
        <v>148</v>
      </c>
      <c r="F1416" t="s">
        <v>90</v>
      </c>
      <c r="G1416" s="33">
        <v>35</v>
      </c>
    </row>
    <row r="1417" spans="1:7">
      <c r="A1417" t="s">
        <v>22</v>
      </c>
      <c r="B1417" t="s">
        <v>187</v>
      </c>
      <c r="C1417" s="32">
        <v>411.58</v>
      </c>
      <c r="D1417" s="33">
        <v>6</v>
      </c>
      <c r="E1417" t="s">
        <v>149</v>
      </c>
      <c r="F1417" t="s">
        <v>90</v>
      </c>
      <c r="G1417" s="33">
        <v>35</v>
      </c>
    </row>
    <row r="1418" spans="1:7">
      <c r="A1418" t="s">
        <v>22</v>
      </c>
      <c r="B1418" t="s">
        <v>187</v>
      </c>
      <c r="C1418" s="32">
        <v>411.7</v>
      </c>
      <c r="D1418" s="33">
        <v>7</v>
      </c>
      <c r="E1418" t="s">
        <v>150</v>
      </c>
      <c r="F1418" t="s">
        <v>93</v>
      </c>
      <c r="G1418" s="33">
        <v>36</v>
      </c>
    </row>
    <row r="1419" spans="1:7">
      <c r="A1419" t="s">
        <v>22</v>
      </c>
      <c r="B1419" t="s">
        <v>187</v>
      </c>
      <c r="C1419" s="32">
        <v>411.81</v>
      </c>
      <c r="D1419" s="33">
        <v>8</v>
      </c>
      <c r="E1419" t="s">
        <v>151</v>
      </c>
      <c r="F1419" t="s">
        <v>90</v>
      </c>
      <c r="G1419" s="33">
        <v>35</v>
      </c>
    </row>
    <row r="1420" spans="1:7">
      <c r="A1420" t="s">
        <v>22</v>
      </c>
      <c r="B1420" t="s">
        <v>187</v>
      </c>
      <c r="C1420" s="32">
        <v>411.93</v>
      </c>
      <c r="D1420" s="33">
        <v>9</v>
      </c>
      <c r="E1420" t="s">
        <v>152</v>
      </c>
      <c r="F1420" t="s">
        <v>90</v>
      </c>
      <c r="G1420" s="33">
        <v>35</v>
      </c>
    </row>
    <row r="1421" spans="1:7">
      <c r="A1421" t="s">
        <v>22</v>
      </c>
      <c r="B1421" t="s">
        <v>187</v>
      </c>
      <c r="C1421" s="32">
        <v>412.05</v>
      </c>
      <c r="D1421" s="33">
        <v>10</v>
      </c>
      <c r="E1421" t="s">
        <v>153</v>
      </c>
      <c r="F1421" t="s">
        <v>93</v>
      </c>
      <c r="G1421" s="33">
        <v>36</v>
      </c>
    </row>
    <row r="1422" spans="1:7">
      <c r="A1422" t="s">
        <v>22</v>
      </c>
      <c r="B1422" t="s">
        <v>187</v>
      </c>
      <c r="C1422" s="32">
        <v>412.16</v>
      </c>
      <c r="D1422" s="33">
        <v>11</v>
      </c>
      <c r="E1422" t="s">
        <v>120</v>
      </c>
      <c r="F1422" t="s">
        <v>90</v>
      </c>
      <c r="G1422" s="33">
        <v>35</v>
      </c>
    </row>
    <row r="1423" spans="1:7">
      <c r="A1423" t="s">
        <v>22</v>
      </c>
      <c r="B1423" t="s">
        <v>187</v>
      </c>
      <c r="C1423" s="32">
        <v>412.28</v>
      </c>
      <c r="D1423" s="33">
        <v>12</v>
      </c>
      <c r="E1423" t="s">
        <v>115</v>
      </c>
      <c r="F1423" t="s">
        <v>96</v>
      </c>
      <c r="G1423" s="33">
        <v>36</v>
      </c>
    </row>
    <row r="1424" spans="1:7">
      <c r="A1424" t="s">
        <v>22</v>
      </c>
      <c r="B1424" t="s">
        <v>187</v>
      </c>
      <c r="C1424" s="32">
        <v>412.39</v>
      </c>
      <c r="D1424" s="33">
        <v>13</v>
      </c>
      <c r="E1424" t="s">
        <v>116</v>
      </c>
      <c r="F1424" t="s">
        <v>102</v>
      </c>
      <c r="G1424" s="33">
        <v>35</v>
      </c>
    </row>
    <row r="1425" spans="1:7">
      <c r="A1425" t="s">
        <v>22</v>
      </c>
      <c r="B1425" t="s">
        <v>187</v>
      </c>
      <c r="C1425" s="32">
        <v>412.51</v>
      </c>
      <c r="D1425" s="33">
        <v>14</v>
      </c>
      <c r="E1425" t="s">
        <v>117</v>
      </c>
      <c r="F1425" t="s">
        <v>93</v>
      </c>
      <c r="G1425" s="33">
        <v>35</v>
      </c>
    </row>
    <row r="1426" spans="1:7">
      <c r="A1426" t="s">
        <v>22</v>
      </c>
      <c r="B1426" t="s">
        <v>187</v>
      </c>
      <c r="C1426" s="32">
        <v>412.63</v>
      </c>
      <c r="D1426" s="33">
        <v>15</v>
      </c>
      <c r="E1426" t="s">
        <v>118</v>
      </c>
      <c r="F1426" t="s">
        <v>90</v>
      </c>
      <c r="G1426" s="33">
        <v>36</v>
      </c>
    </row>
    <row r="1427" spans="1:7">
      <c r="A1427" t="s">
        <v>22</v>
      </c>
      <c r="B1427" t="s">
        <v>187</v>
      </c>
      <c r="C1427" s="32">
        <v>412.74</v>
      </c>
      <c r="D1427" s="33">
        <v>16</v>
      </c>
      <c r="E1427" t="s">
        <v>122</v>
      </c>
      <c r="F1427" t="s">
        <v>90</v>
      </c>
      <c r="G1427" s="33">
        <v>35</v>
      </c>
    </row>
    <row r="1428" spans="1:7">
      <c r="A1428" t="s">
        <v>22</v>
      </c>
      <c r="B1428" t="s">
        <v>187</v>
      </c>
      <c r="C1428" s="32">
        <v>412.86</v>
      </c>
      <c r="D1428" s="33">
        <v>17</v>
      </c>
      <c r="E1428" t="s">
        <v>124</v>
      </c>
      <c r="F1428" t="s">
        <v>93</v>
      </c>
      <c r="G1428" s="33">
        <v>36</v>
      </c>
    </row>
    <row r="1429" spans="1:7">
      <c r="A1429" t="s">
        <v>22</v>
      </c>
      <c r="B1429" t="s">
        <v>187</v>
      </c>
      <c r="C1429" s="32">
        <v>412.98</v>
      </c>
      <c r="D1429" s="33">
        <v>18</v>
      </c>
      <c r="E1429" t="s">
        <v>125</v>
      </c>
      <c r="F1429" t="s">
        <v>90</v>
      </c>
      <c r="G1429" s="33">
        <v>35</v>
      </c>
    </row>
    <row r="1430" spans="1:7">
      <c r="A1430" t="s">
        <v>22</v>
      </c>
      <c r="B1430" t="s">
        <v>187</v>
      </c>
      <c r="C1430" s="32">
        <v>413.09</v>
      </c>
      <c r="D1430" s="33">
        <v>19</v>
      </c>
      <c r="E1430" t="s">
        <v>127</v>
      </c>
      <c r="F1430" t="s">
        <v>90</v>
      </c>
      <c r="G1430" s="33">
        <v>35</v>
      </c>
    </row>
    <row r="1431" spans="1:7">
      <c r="A1431" t="s">
        <v>22</v>
      </c>
      <c r="B1431" t="s">
        <v>187</v>
      </c>
      <c r="C1431" s="32">
        <v>413.21</v>
      </c>
      <c r="D1431" s="33">
        <v>20</v>
      </c>
      <c r="E1431" t="s">
        <v>128</v>
      </c>
      <c r="F1431" t="s">
        <v>96</v>
      </c>
      <c r="G1431" s="33">
        <v>36</v>
      </c>
    </row>
    <row r="1432" spans="1:7">
      <c r="A1432" t="s">
        <v>22</v>
      </c>
      <c r="B1432" t="s">
        <v>187</v>
      </c>
      <c r="C1432" s="32">
        <v>413.32</v>
      </c>
      <c r="D1432" s="33">
        <v>21</v>
      </c>
      <c r="E1432" t="s">
        <v>129</v>
      </c>
      <c r="F1432" t="s">
        <v>90</v>
      </c>
      <c r="G1432" s="33">
        <v>35</v>
      </c>
    </row>
    <row r="1433" spans="1:7">
      <c r="A1433" t="s">
        <v>22</v>
      </c>
      <c r="B1433" t="s">
        <v>187</v>
      </c>
      <c r="C1433" s="32">
        <v>413.44</v>
      </c>
      <c r="D1433" s="33">
        <v>22</v>
      </c>
      <c r="E1433" t="s">
        <v>130</v>
      </c>
      <c r="F1433" t="s">
        <v>93</v>
      </c>
      <c r="G1433" s="33">
        <v>36</v>
      </c>
    </row>
    <row r="1434" spans="1:7">
      <c r="A1434" t="s">
        <v>22</v>
      </c>
      <c r="B1434" t="s">
        <v>187</v>
      </c>
      <c r="C1434" s="32">
        <v>413.56</v>
      </c>
      <c r="D1434" s="33">
        <v>23</v>
      </c>
      <c r="E1434" t="s">
        <v>131</v>
      </c>
      <c r="F1434" t="s">
        <v>90</v>
      </c>
      <c r="G1434" s="33">
        <v>35</v>
      </c>
    </row>
    <row r="1435" spans="1:7">
      <c r="A1435" t="s">
        <v>22</v>
      </c>
      <c r="B1435" t="s">
        <v>187</v>
      </c>
      <c r="C1435" s="32">
        <v>413.67</v>
      </c>
      <c r="D1435" s="33">
        <v>24</v>
      </c>
      <c r="E1435" t="s">
        <v>133</v>
      </c>
      <c r="F1435" t="s">
        <v>90</v>
      </c>
      <c r="G1435" s="33">
        <v>35</v>
      </c>
    </row>
    <row r="1436" spans="1:7">
      <c r="A1436" t="s">
        <v>22</v>
      </c>
      <c r="B1436" t="s">
        <v>187</v>
      </c>
      <c r="C1436" s="32">
        <v>413.79</v>
      </c>
      <c r="D1436" s="33">
        <v>25</v>
      </c>
      <c r="E1436" t="s">
        <v>134</v>
      </c>
      <c r="F1436" t="s">
        <v>93</v>
      </c>
      <c r="G1436" s="33">
        <v>36</v>
      </c>
    </row>
    <row r="1437" spans="1:7">
      <c r="A1437" t="s">
        <v>22</v>
      </c>
      <c r="B1437" t="s">
        <v>187</v>
      </c>
      <c r="C1437" s="32">
        <v>413.91</v>
      </c>
      <c r="D1437" s="33">
        <v>26</v>
      </c>
      <c r="E1437" t="s">
        <v>135</v>
      </c>
      <c r="F1437" t="s">
        <v>102</v>
      </c>
      <c r="G1437" s="33">
        <v>35</v>
      </c>
    </row>
    <row r="1438" spans="1:7">
      <c r="A1438" t="s">
        <v>22</v>
      </c>
      <c r="B1438" t="s">
        <v>187</v>
      </c>
      <c r="C1438" s="32">
        <v>414.02</v>
      </c>
      <c r="D1438" s="33">
        <v>27</v>
      </c>
      <c r="E1438" t="s">
        <v>136</v>
      </c>
      <c r="F1438" t="s">
        <v>90</v>
      </c>
      <c r="G1438" s="33">
        <v>35</v>
      </c>
    </row>
    <row r="1439" spans="1:7">
      <c r="A1439" t="s">
        <v>22</v>
      </c>
      <c r="B1439" t="s">
        <v>187</v>
      </c>
      <c r="C1439" s="32">
        <v>414.14</v>
      </c>
      <c r="D1439" s="33">
        <v>28</v>
      </c>
      <c r="E1439" t="s">
        <v>137</v>
      </c>
      <c r="F1439" t="s">
        <v>93</v>
      </c>
      <c r="G1439" s="33">
        <v>36</v>
      </c>
    </row>
    <row r="1440" spans="1:7">
      <c r="A1440" t="s">
        <v>22</v>
      </c>
      <c r="B1440" t="s">
        <v>187</v>
      </c>
      <c r="C1440" s="32">
        <v>414.25</v>
      </c>
      <c r="D1440" s="33">
        <v>29</v>
      </c>
      <c r="E1440" t="s">
        <v>138</v>
      </c>
      <c r="F1440" t="s">
        <v>90</v>
      </c>
      <c r="G1440" s="33">
        <v>35</v>
      </c>
    </row>
    <row r="1441" spans="1:7">
      <c r="A1441" t="s">
        <v>22</v>
      </c>
      <c r="B1441" t="s">
        <v>187</v>
      </c>
      <c r="C1441" s="32">
        <v>414.37</v>
      </c>
      <c r="D1441" s="33">
        <v>30</v>
      </c>
      <c r="E1441" t="s">
        <v>140</v>
      </c>
      <c r="F1441" t="s">
        <v>96</v>
      </c>
      <c r="G1441" s="33">
        <v>36</v>
      </c>
    </row>
    <row r="1442" spans="1:7">
      <c r="A1442" t="s">
        <v>22</v>
      </c>
      <c r="B1442" t="s">
        <v>187</v>
      </c>
      <c r="C1442" s="32">
        <v>414.49</v>
      </c>
      <c r="D1442" s="33">
        <v>31</v>
      </c>
      <c r="E1442" t="s">
        <v>141</v>
      </c>
      <c r="F1442" t="s">
        <v>90</v>
      </c>
      <c r="G1442" s="33">
        <v>35</v>
      </c>
    </row>
    <row r="1443" spans="1:7">
      <c r="A1443" t="s">
        <v>22</v>
      </c>
      <c r="B1443" t="s">
        <v>187</v>
      </c>
      <c r="C1443" s="32">
        <v>414.6</v>
      </c>
      <c r="D1443" s="33">
        <v>32</v>
      </c>
      <c r="E1443" t="s">
        <v>142</v>
      </c>
      <c r="F1443" t="s">
        <v>90</v>
      </c>
      <c r="G1443" s="33">
        <v>35</v>
      </c>
    </row>
    <row r="1444" spans="1:7">
      <c r="A1444" t="s">
        <v>22</v>
      </c>
      <c r="B1444" t="s">
        <v>187</v>
      </c>
      <c r="C1444" s="32">
        <v>414.72</v>
      </c>
      <c r="D1444" s="33">
        <v>33</v>
      </c>
      <c r="E1444" t="s">
        <v>143</v>
      </c>
      <c r="F1444" t="s">
        <v>93</v>
      </c>
      <c r="G1444" s="33">
        <v>36</v>
      </c>
    </row>
    <row r="1445" spans="1:7">
      <c r="A1445" t="s">
        <v>22</v>
      </c>
      <c r="B1445" t="s">
        <v>187</v>
      </c>
      <c r="C1445" s="32">
        <v>414.84</v>
      </c>
      <c r="D1445" s="33">
        <v>34</v>
      </c>
      <c r="E1445" t="s">
        <v>144</v>
      </c>
      <c r="F1445" t="s">
        <v>90</v>
      </c>
      <c r="G1445" s="33">
        <v>35</v>
      </c>
    </row>
    <row r="1446" spans="1:7">
      <c r="A1446" t="s">
        <v>22</v>
      </c>
      <c r="B1446" t="s">
        <v>187</v>
      </c>
      <c r="C1446" s="32">
        <v>414.95</v>
      </c>
      <c r="D1446" s="33">
        <v>35</v>
      </c>
      <c r="E1446" t="s">
        <v>145</v>
      </c>
      <c r="F1446" t="s">
        <v>90</v>
      </c>
      <c r="G1446" s="33">
        <v>36</v>
      </c>
    </row>
    <row r="1447" spans="1:7">
      <c r="A1447" t="s">
        <v>22</v>
      </c>
      <c r="B1447" t="s">
        <v>187</v>
      </c>
      <c r="C1447" s="32">
        <v>415.07</v>
      </c>
      <c r="D1447" s="33">
        <v>36</v>
      </c>
      <c r="E1447" t="s">
        <v>146</v>
      </c>
      <c r="F1447" t="s">
        <v>93</v>
      </c>
      <c r="G1447" s="33">
        <v>35</v>
      </c>
    </row>
    <row r="1448" spans="1:7">
      <c r="A1448" t="s">
        <v>22</v>
      </c>
      <c r="B1448" t="s">
        <v>187</v>
      </c>
      <c r="C1448" s="32">
        <v>415.18</v>
      </c>
      <c r="D1448" s="33">
        <v>37</v>
      </c>
      <c r="E1448" t="s">
        <v>148</v>
      </c>
      <c r="F1448" t="s">
        <v>90</v>
      </c>
      <c r="G1448" s="33">
        <v>35</v>
      </c>
    </row>
    <row r="1449" spans="1:7">
      <c r="A1449" t="s">
        <v>22</v>
      </c>
      <c r="B1449" t="s">
        <v>187</v>
      </c>
      <c r="C1449" s="32">
        <v>415.3</v>
      </c>
      <c r="D1449" s="33">
        <v>38</v>
      </c>
      <c r="E1449" t="s">
        <v>149</v>
      </c>
      <c r="F1449" t="s">
        <v>96</v>
      </c>
      <c r="G1449" s="33">
        <v>36</v>
      </c>
    </row>
    <row r="1450" spans="1:7">
      <c r="A1450" t="s">
        <v>22</v>
      </c>
      <c r="B1450" t="s">
        <v>187</v>
      </c>
      <c r="C1450" s="32">
        <v>415.42</v>
      </c>
      <c r="D1450" s="33">
        <v>39</v>
      </c>
      <c r="E1450" t="s">
        <v>150</v>
      </c>
      <c r="F1450" t="s">
        <v>102</v>
      </c>
      <c r="G1450" s="33">
        <v>35</v>
      </c>
    </row>
    <row r="1451" spans="1:7">
      <c r="A1451" t="s">
        <v>22</v>
      </c>
      <c r="B1451" t="s">
        <v>187</v>
      </c>
      <c r="C1451" s="32">
        <v>415.53</v>
      </c>
      <c r="D1451" s="33">
        <v>40</v>
      </c>
      <c r="E1451" t="s">
        <v>151</v>
      </c>
      <c r="F1451" t="s">
        <v>93</v>
      </c>
      <c r="G1451" s="33">
        <v>35</v>
      </c>
    </row>
    <row r="1452" spans="1:7">
      <c r="A1452" t="s">
        <v>22</v>
      </c>
      <c r="B1452" t="s">
        <v>187</v>
      </c>
      <c r="C1452" s="32">
        <v>415.65</v>
      </c>
      <c r="D1452" s="33">
        <v>41</v>
      </c>
      <c r="E1452" t="s">
        <v>152</v>
      </c>
      <c r="F1452" t="s">
        <v>90</v>
      </c>
      <c r="G1452" s="33">
        <v>36</v>
      </c>
    </row>
    <row r="1453" spans="1:7">
      <c r="A1453" t="s">
        <v>22</v>
      </c>
      <c r="B1453" t="s">
        <v>187</v>
      </c>
      <c r="C1453" s="32">
        <v>415.76</v>
      </c>
      <c r="D1453" s="33">
        <v>42</v>
      </c>
      <c r="E1453" t="s">
        <v>153</v>
      </c>
      <c r="F1453" t="s">
        <v>90</v>
      </c>
      <c r="G1453" s="33">
        <v>35</v>
      </c>
    </row>
    <row r="1454" spans="1:7">
      <c r="A1454" t="s">
        <v>22</v>
      </c>
      <c r="B1454" t="s">
        <v>187</v>
      </c>
      <c r="C1454" s="32">
        <v>415.88</v>
      </c>
      <c r="D1454" s="33">
        <v>43</v>
      </c>
      <c r="E1454" t="s">
        <v>120</v>
      </c>
      <c r="F1454" t="s">
        <v>93</v>
      </c>
      <c r="G1454" s="33">
        <v>36</v>
      </c>
    </row>
    <row r="1455" spans="1:7">
      <c r="A1455" t="s">
        <v>22</v>
      </c>
      <c r="B1455" t="s">
        <v>187</v>
      </c>
      <c r="C1455" s="32">
        <v>416</v>
      </c>
      <c r="D1455" s="33">
        <v>44</v>
      </c>
      <c r="E1455" t="s">
        <v>115</v>
      </c>
      <c r="F1455" t="s">
        <v>90</v>
      </c>
      <c r="G1455" s="33">
        <v>35</v>
      </c>
    </row>
    <row r="1456" spans="1:7">
      <c r="A1456" t="s">
        <v>22</v>
      </c>
      <c r="B1456" t="s">
        <v>187</v>
      </c>
      <c r="C1456" s="32">
        <v>416.11</v>
      </c>
      <c r="D1456" s="33">
        <v>45</v>
      </c>
      <c r="E1456" t="s">
        <v>116</v>
      </c>
      <c r="F1456" t="s">
        <v>90</v>
      </c>
      <c r="G1456" s="33">
        <v>35</v>
      </c>
    </row>
    <row r="1457" spans="1:7">
      <c r="A1457" t="s">
        <v>22</v>
      </c>
      <c r="B1457" t="s">
        <v>187</v>
      </c>
      <c r="C1457" s="32">
        <v>416.23</v>
      </c>
      <c r="D1457" s="33">
        <v>46</v>
      </c>
      <c r="E1457" t="s">
        <v>117</v>
      </c>
      <c r="F1457" t="s">
        <v>96</v>
      </c>
      <c r="G1457" s="33">
        <v>36</v>
      </c>
    </row>
    <row r="1458" spans="1:7">
      <c r="A1458" t="s">
        <v>22</v>
      </c>
      <c r="B1458" t="s">
        <v>187</v>
      </c>
      <c r="C1458" s="32">
        <v>416.35</v>
      </c>
      <c r="D1458" s="33">
        <v>47</v>
      </c>
      <c r="E1458" t="s">
        <v>118</v>
      </c>
      <c r="F1458" t="s">
        <v>90</v>
      </c>
      <c r="G1458" s="33">
        <v>35</v>
      </c>
    </row>
    <row r="1459" spans="1:7">
      <c r="A1459" t="s">
        <v>22</v>
      </c>
      <c r="B1459" t="s">
        <v>187</v>
      </c>
      <c r="C1459" s="32">
        <v>416.46</v>
      </c>
      <c r="D1459" s="33">
        <v>48</v>
      </c>
      <c r="E1459" t="s">
        <v>122</v>
      </c>
      <c r="F1459" t="s">
        <v>93</v>
      </c>
      <c r="G1459" s="33">
        <v>36</v>
      </c>
    </row>
    <row r="1460" spans="1:7">
      <c r="A1460" t="s">
        <v>22</v>
      </c>
      <c r="B1460" t="s">
        <v>187</v>
      </c>
      <c r="C1460" s="32">
        <v>416.58</v>
      </c>
      <c r="D1460" s="33">
        <v>49</v>
      </c>
      <c r="E1460" t="s">
        <v>124</v>
      </c>
      <c r="F1460" t="s">
        <v>90</v>
      </c>
      <c r="G1460" s="33">
        <v>35</v>
      </c>
    </row>
    <row r="1461" spans="1:7">
      <c r="A1461" t="s">
        <v>22</v>
      </c>
      <c r="B1461" t="s">
        <v>187</v>
      </c>
      <c r="C1461" s="32">
        <v>416.69</v>
      </c>
      <c r="D1461" s="33">
        <v>50</v>
      </c>
      <c r="E1461" t="s">
        <v>125</v>
      </c>
      <c r="F1461" t="s">
        <v>90</v>
      </c>
      <c r="G1461" s="33">
        <v>35</v>
      </c>
    </row>
    <row r="1462" spans="1:7">
      <c r="A1462" t="s">
        <v>22</v>
      </c>
      <c r="B1462" t="s">
        <v>187</v>
      </c>
      <c r="C1462" s="32">
        <v>416.81</v>
      </c>
      <c r="D1462" s="33">
        <v>51</v>
      </c>
      <c r="E1462" t="s">
        <v>127</v>
      </c>
      <c r="F1462" t="s">
        <v>93</v>
      </c>
      <c r="G1462" s="33">
        <v>36</v>
      </c>
    </row>
    <row r="1463" spans="1:7">
      <c r="A1463" t="s">
        <v>22</v>
      </c>
      <c r="B1463" t="s">
        <v>187</v>
      </c>
      <c r="C1463" s="32">
        <v>416.93</v>
      </c>
      <c r="D1463" s="33">
        <v>52</v>
      </c>
      <c r="E1463" t="s">
        <v>128</v>
      </c>
      <c r="F1463" t="s">
        <v>102</v>
      </c>
      <c r="G1463" s="33">
        <v>35</v>
      </c>
    </row>
    <row r="1464" spans="1:7">
      <c r="A1464" t="s">
        <v>22</v>
      </c>
      <c r="B1464" t="s">
        <v>187</v>
      </c>
      <c r="C1464" s="32">
        <v>417.04</v>
      </c>
      <c r="D1464" s="33">
        <v>53</v>
      </c>
      <c r="E1464" t="s">
        <v>129</v>
      </c>
      <c r="F1464" t="s">
        <v>90</v>
      </c>
      <c r="G1464" s="33">
        <v>35</v>
      </c>
    </row>
    <row r="1465" spans="1:7">
      <c r="A1465" t="s">
        <v>22</v>
      </c>
      <c r="B1465" t="s">
        <v>187</v>
      </c>
      <c r="C1465" s="32">
        <v>417.16</v>
      </c>
      <c r="D1465" s="33">
        <v>54</v>
      </c>
      <c r="E1465" t="s">
        <v>130</v>
      </c>
      <c r="F1465" t="s">
        <v>96</v>
      </c>
      <c r="G1465" s="33">
        <v>36</v>
      </c>
    </row>
    <row r="1466" spans="1:7">
      <c r="A1466" t="s">
        <v>22</v>
      </c>
      <c r="B1466" t="s">
        <v>187</v>
      </c>
      <c r="C1466" s="32">
        <v>417.28</v>
      </c>
      <c r="D1466" s="33">
        <v>55</v>
      </c>
      <c r="E1466" t="s">
        <v>131</v>
      </c>
      <c r="F1466" t="s">
        <v>90</v>
      </c>
      <c r="G1466" s="33">
        <v>35</v>
      </c>
    </row>
    <row r="1467" spans="1:7">
      <c r="A1467" t="s">
        <v>22</v>
      </c>
      <c r="B1467" t="s">
        <v>187</v>
      </c>
      <c r="C1467" s="32">
        <v>417.39</v>
      </c>
      <c r="D1467" s="33">
        <v>56</v>
      </c>
      <c r="E1467" t="s">
        <v>133</v>
      </c>
      <c r="F1467" t="s">
        <v>93</v>
      </c>
      <c r="G1467" s="33">
        <v>36</v>
      </c>
    </row>
    <row r="1468" spans="1:7">
      <c r="A1468" t="s">
        <v>22</v>
      </c>
      <c r="B1468" t="s">
        <v>187</v>
      </c>
      <c r="C1468" s="32">
        <v>417.51</v>
      </c>
      <c r="D1468" s="33">
        <v>57</v>
      </c>
      <c r="E1468" t="s">
        <v>134</v>
      </c>
      <c r="F1468" t="s">
        <v>90</v>
      </c>
      <c r="G1468" s="33">
        <v>35</v>
      </c>
    </row>
    <row r="1469" spans="1:7">
      <c r="A1469" t="s">
        <v>22</v>
      </c>
      <c r="B1469" t="s">
        <v>187</v>
      </c>
      <c r="C1469" s="32">
        <v>417.62</v>
      </c>
      <c r="D1469" s="33">
        <v>58</v>
      </c>
      <c r="E1469" t="s">
        <v>135</v>
      </c>
      <c r="F1469" t="s">
        <v>90</v>
      </c>
      <c r="G1469" s="33">
        <v>35</v>
      </c>
    </row>
    <row r="1470" spans="1:7">
      <c r="A1470" t="s">
        <v>22</v>
      </c>
      <c r="B1470" t="s">
        <v>187</v>
      </c>
      <c r="C1470" s="32">
        <v>417.74</v>
      </c>
      <c r="D1470" s="33">
        <v>59</v>
      </c>
      <c r="E1470" t="s">
        <v>136</v>
      </c>
      <c r="F1470" t="s">
        <v>93</v>
      </c>
      <c r="G1470" s="33">
        <v>36</v>
      </c>
    </row>
    <row r="1471" spans="1:7">
      <c r="A1471" t="s">
        <v>22</v>
      </c>
      <c r="B1471" t="s">
        <v>187</v>
      </c>
      <c r="C1471" s="32">
        <v>417.86</v>
      </c>
      <c r="D1471" s="33">
        <v>60</v>
      </c>
      <c r="E1471" t="s">
        <v>137</v>
      </c>
      <c r="F1471" t="s">
        <v>90</v>
      </c>
      <c r="G1471" s="33">
        <v>35</v>
      </c>
    </row>
    <row r="1472" spans="1:7">
      <c r="A1472" t="s">
        <v>22</v>
      </c>
      <c r="B1472" t="s">
        <v>187</v>
      </c>
      <c r="C1472" s="32">
        <v>417.97</v>
      </c>
      <c r="D1472" s="33">
        <v>61</v>
      </c>
      <c r="E1472" t="s">
        <v>138</v>
      </c>
      <c r="F1472" t="s">
        <v>90</v>
      </c>
      <c r="G1472" s="33">
        <v>36</v>
      </c>
    </row>
    <row r="1473" spans="1:7">
      <c r="A1473" t="s">
        <v>22</v>
      </c>
      <c r="B1473" t="s">
        <v>187</v>
      </c>
      <c r="C1473" s="32">
        <v>418.09</v>
      </c>
      <c r="D1473" s="33">
        <v>62</v>
      </c>
      <c r="E1473" t="s">
        <v>140</v>
      </c>
      <c r="F1473" t="s">
        <v>93</v>
      </c>
      <c r="G1473" s="33">
        <v>35</v>
      </c>
    </row>
    <row r="1474" spans="1:7">
      <c r="A1474" t="s">
        <v>22</v>
      </c>
      <c r="B1474" t="s">
        <v>187</v>
      </c>
      <c r="C1474" s="32">
        <v>418.21</v>
      </c>
      <c r="D1474" s="33">
        <v>63</v>
      </c>
      <c r="E1474" t="s">
        <v>141</v>
      </c>
      <c r="F1474" t="s">
        <v>90</v>
      </c>
      <c r="G1474" s="33">
        <v>35</v>
      </c>
    </row>
    <row r="1475" spans="1:7">
      <c r="A1475" t="s">
        <v>22</v>
      </c>
      <c r="B1475" t="s">
        <v>187</v>
      </c>
      <c r="C1475" s="32">
        <v>418.32</v>
      </c>
      <c r="D1475" s="33">
        <v>64</v>
      </c>
      <c r="E1475" t="s">
        <v>142</v>
      </c>
      <c r="F1475" t="s">
        <v>96</v>
      </c>
      <c r="G1475" s="33">
        <v>36</v>
      </c>
    </row>
    <row r="1476" spans="1:7">
      <c r="A1476" t="s">
        <v>22</v>
      </c>
      <c r="B1476" t="s">
        <v>187</v>
      </c>
      <c r="C1476" s="32">
        <v>418.44</v>
      </c>
      <c r="D1476" s="33">
        <v>65</v>
      </c>
      <c r="E1476" t="s">
        <v>143</v>
      </c>
      <c r="F1476" t="s">
        <v>102</v>
      </c>
      <c r="G1476" s="33">
        <v>35</v>
      </c>
    </row>
    <row r="1477" spans="1:7">
      <c r="A1477" t="s">
        <v>22</v>
      </c>
      <c r="B1477" t="s">
        <v>187</v>
      </c>
      <c r="C1477" s="32">
        <v>418.55</v>
      </c>
      <c r="D1477" s="33">
        <v>66</v>
      </c>
      <c r="E1477" t="s">
        <v>144</v>
      </c>
      <c r="F1477" t="s">
        <v>93</v>
      </c>
      <c r="G1477" s="33">
        <v>36</v>
      </c>
    </row>
    <row r="1478" spans="1:7">
      <c r="A1478" t="s">
        <v>22</v>
      </c>
      <c r="B1478" t="s">
        <v>187</v>
      </c>
      <c r="C1478" s="32">
        <v>418.67</v>
      </c>
      <c r="D1478" s="33">
        <v>67</v>
      </c>
      <c r="E1478" t="s">
        <v>145</v>
      </c>
      <c r="F1478" t="s">
        <v>90</v>
      </c>
      <c r="G1478" s="33">
        <v>35</v>
      </c>
    </row>
    <row r="1479" spans="1:7">
      <c r="A1479" t="s">
        <v>22</v>
      </c>
      <c r="B1479" t="s">
        <v>187</v>
      </c>
      <c r="C1479" s="32">
        <v>418.79</v>
      </c>
      <c r="D1479" s="33">
        <v>68</v>
      </c>
      <c r="E1479" t="s">
        <v>146</v>
      </c>
      <c r="F1479" t="s">
        <v>90</v>
      </c>
      <c r="G1479" s="33">
        <v>35</v>
      </c>
    </row>
    <row r="1480" spans="1:7">
      <c r="A1480" t="s">
        <v>22</v>
      </c>
      <c r="B1480" t="s">
        <v>187</v>
      </c>
      <c r="C1480" s="32">
        <v>418.9</v>
      </c>
      <c r="D1480" s="33">
        <v>69</v>
      </c>
      <c r="E1480" t="s">
        <v>148</v>
      </c>
      <c r="F1480" t="s">
        <v>93</v>
      </c>
      <c r="G1480" s="33">
        <v>36</v>
      </c>
    </row>
    <row r="1481" spans="1:7">
      <c r="A1481" t="s">
        <v>22</v>
      </c>
      <c r="B1481" t="s">
        <v>187</v>
      </c>
      <c r="C1481" s="32">
        <v>419.02</v>
      </c>
      <c r="D1481" s="33">
        <v>70</v>
      </c>
      <c r="E1481" t="s">
        <v>149</v>
      </c>
      <c r="F1481" t="s">
        <v>90</v>
      </c>
      <c r="G1481" s="33">
        <v>35</v>
      </c>
    </row>
    <row r="1482" spans="1:7">
      <c r="A1482" t="s">
        <v>22</v>
      </c>
      <c r="B1482" t="s">
        <v>187</v>
      </c>
      <c r="C1482" s="32">
        <v>419.14</v>
      </c>
      <c r="D1482" s="33">
        <v>71</v>
      </c>
      <c r="E1482" t="s">
        <v>150</v>
      </c>
      <c r="F1482" t="s">
        <v>90</v>
      </c>
      <c r="G1482" s="33">
        <v>35</v>
      </c>
    </row>
    <row r="1483" spans="1:7">
      <c r="A1483" t="s">
        <v>22</v>
      </c>
      <c r="B1483" t="s">
        <v>187</v>
      </c>
      <c r="C1483" s="32">
        <v>419.25</v>
      </c>
      <c r="D1483" s="33">
        <v>72</v>
      </c>
      <c r="E1483" t="s">
        <v>151</v>
      </c>
      <c r="F1483" t="s">
        <v>96</v>
      </c>
      <c r="G1483" s="33">
        <v>36</v>
      </c>
    </row>
    <row r="1484" spans="1:7">
      <c r="A1484" t="s">
        <v>22</v>
      </c>
      <c r="B1484" t="s">
        <v>187</v>
      </c>
      <c r="C1484" s="32">
        <v>419.37</v>
      </c>
      <c r="D1484" s="33">
        <v>73</v>
      </c>
      <c r="E1484" t="s">
        <v>152</v>
      </c>
      <c r="F1484" t="s">
        <v>90</v>
      </c>
      <c r="G1484" s="33">
        <v>35</v>
      </c>
    </row>
    <row r="1485" spans="1:7">
      <c r="A1485" t="s">
        <v>22</v>
      </c>
      <c r="B1485" t="s">
        <v>187</v>
      </c>
      <c r="C1485" s="32">
        <v>419.48</v>
      </c>
      <c r="D1485" s="33">
        <v>74</v>
      </c>
      <c r="E1485" t="s">
        <v>153</v>
      </c>
      <c r="F1485" t="s">
        <v>93</v>
      </c>
      <c r="G1485" s="33">
        <v>36</v>
      </c>
    </row>
    <row r="1486" spans="1:7">
      <c r="A1486" t="s">
        <v>22</v>
      </c>
      <c r="B1486" t="s">
        <v>187</v>
      </c>
      <c r="C1486" s="32">
        <v>419.6</v>
      </c>
      <c r="D1486" s="33">
        <v>75</v>
      </c>
      <c r="E1486" t="s">
        <v>120</v>
      </c>
      <c r="F1486" t="s">
        <v>90</v>
      </c>
      <c r="G1486" s="33">
        <v>35</v>
      </c>
    </row>
    <row r="1487" spans="1:7">
      <c r="A1487" t="s">
        <v>22</v>
      </c>
      <c r="B1487" t="s">
        <v>188</v>
      </c>
      <c r="C1487" s="32">
        <v>421</v>
      </c>
      <c r="D1487" s="33">
        <v>1</v>
      </c>
      <c r="E1487" t="s">
        <v>150</v>
      </c>
      <c r="F1487" t="s">
        <v>90</v>
      </c>
      <c r="G1487" s="33">
        <v>36</v>
      </c>
    </row>
    <row r="1488" spans="1:7">
      <c r="A1488" t="s">
        <v>22</v>
      </c>
      <c r="B1488" t="s">
        <v>188</v>
      </c>
      <c r="C1488" s="32">
        <v>421.11</v>
      </c>
      <c r="D1488" s="33">
        <v>2</v>
      </c>
      <c r="E1488" t="s">
        <v>151</v>
      </c>
      <c r="F1488" t="s">
        <v>93</v>
      </c>
      <c r="G1488" s="33">
        <v>37</v>
      </c>
    </row>
    <row r="1489" spans="1:7">
      <c r="A1489" t="s">
        <v>22</v>
      </c>
      <c r="B1489" t="s">
        <v>188</v>
      </c>
      <c r="C1489" s="32">
        <v>421.23</v>
      </c>
      <c r="D1489" s="33">
        <v>3</v>
      </c>
      <c r="E1489" t="s">
        <v>152</v>
      </c>
      <c r="F1489" t="s">
        <v>90</v>
      </c>
      <c r="G1489" s="33">
        <v>36</v>
      </c>
    </row>
    <row r="1490" spans="1:7">
      <c r="A1490" t="s">
        <v>22</v>
      </c>
      <c r="B1490" t="s">
        <v>188</v>
      </c>
      <c r="C1490" s="32">
        <v>421.34</v>
      </c>
      <c r="D1490" s="33">
        <v>4</v>
      </c>
      <c r="E1490" t="s">
        <v>153</v>
      </c>
      <c r="F1490" t="s">
        <v>90</v>
      </c>
      <c r="G1490" s="33">
        <v>37</v>
      </c>
    </row>
    <row r="1491" spans="1:7">
      <c r="A1491" t="s">
        <v>22</v>
      </c>
      <c r="B1491" t="s">
        <v>188</v>
      </c>
      <c r="C1491" s="32">
        <v>421.45</v>
      </c>
      <c r="D1491" s="33">
        <v>5</v>
      </c>
      <c r="E1491" t="s">
        <v>120</v>
      </c>
      <c r="F1491" t="s">
        <v>96</v>
      </c>
      <c r="G1491" s="33">
        <v>36</v>
      </c>
    </row>
    <row r="1492" spans="1:7">
      <c r="A1492" t="s">
        <v>22</v>
      </c>
      <c r="B1492" t="s">
        <v>188</v>
      </c>
      <c r="C1492" s="32">
        <v>421.57</v>
      </c>
      <c r="D1492" s="33">
        <v>6</v>
      </c>
      <c r="E1492" t="s">
        <v>115</v>
      </c>
      <c r="F1492" t="s">
        <v>90</v>
      </c>
      <c r="G1492" s="33">
        <v>37</v>
      </c>
    </row>
    <row r="1493" spans="1:7">
      <c r="A1493" t="s">
        <v>22</v>
      </c>
      <c r="B1493" t="s">
        <v>188</v>
      </c>
      <c r="C1493" s="32">
        <v>421.68</v>
      </c>
      <c r="D1493" s="33">
        <v>7</v>
      </c>
      <c r="E1493" t="s">
        <v>116</v>
      </c>
      <c r="F1493" t="s">
        <v>93</v>
      </c>
      <c r="G1493" s="33">
        <v>36</v>
      </c>
    </row>
    <row r="1494" spans="1:7">
      <c r="A1494" t="s">
        <v>22</v>
      </c>
      <c r="B1494" t="s">
        <v>188</v>
      </c>
      <c r="C1494" s="32">
        <v>421.79</v>
      </c>
      <c r="D1494" s="33">
        <v>8</v>
      </c>
      <c r="E1494" t="s">
        <v>117</v>
      </c>
      <c r="F1494" t="s">
        <v>90</v>
      </c>
      <c r="G1494" s="33">
        <v>36</v>
      </c>
    </row>
    <row r="1495" spans="1:7">
      <c r="A1495" t="s">
        <v>22</v>
      </c>
      <c r="B1495" t="s">
        <v>188</v>
      </c>
      <c r="C1495" s="32">
        <v>421.91</v>
      </c>
      <c r="D1495" s="33">
        <v>9</v>
      </c>
      <c r="E1495" t="s">
        <v>118</v>
      </c>
      <c r="F1495" t="s">
        <v>90</v>
      </c>
      <c r="G1495" s="33">
        <v>37</v>
      </c>
    </row>
    <row r="1496" spans="1:7">
      <c r="A1496" t="s">
        <v>22</v>
      </c>
      <c r="B1496" t="s">
        <v>188</v>
      </c>
      <c r="C1496" s="32">
        <v>422.02</v>
      </c>
      <c r="D1496" s="33">
        <v>10</v>
      </c>
      <c r="E1496" t="s">
        <v>122</v>
      </c>
      <c r="F1496" t="s">
        <v>93</v>
      </c>
      <c r="G1496" s="33">
        <v>36</v>
      </c>
    </row>
    <row r="1497" spans="1:7">
      <c r="A1497" t="s">
        <v>22</v>
      </c>
      <c r="B1497" t="s">
        <v>188</v>
      </c>
      <c r="C1497" s="32">
        <v>422.13</v>
      </c>
      <c r="D1497" s="33">
        <v>11</v>
      </c>
      <c r="E1497" t="s">
        <v>124</v>
      </c>
      <c r="F1497" t="s">
        <v>90</v>
      </c>
      <c r="G1497" s="33">
        <v>37</v>
      </c>
    </row>
    <row r="1498" spans="1:7">
      <c r="A1498" t="s">
        <v>22</v>
      </c>
      <c r="B1498" t="s">
        <v>188</v>
      </c>
      <c r="C1498" s="32">
        <v>422.24</v>
      </c>
      <c r="D1498" s="33">
        <v>12</v>
      </c>
      <c r="E1498" t="s">
        <v>125</v>
      </c>
      <c r="F1498" t="s">
        <v>102</v>
      </c>
      <c r="G1498" s="33">
        <v>36</v>
      </c>
    </row>
    <row r="1499" spans="1:7">
      <c r="A1499" t="s">
        <v>22</v>
      </c>
      <c r="B1499" t="s">
        <v>188</v>
      </c>
      <c r="C1499" s="32">
        <v>422.36</v>
      </c>
      <c r="D1499" s="33">
        <v>13</v>
      </c>
      <c r="E1499" t="s">
        <v>127</v>
      </c>
      <c r="F1499" t="s">
        <v>96</v>
      </c>
      <c r="G1499" s="33">
        <v>37</v>
      </c>
    </row>
    <row r="1500" spans="1:7">
      <c r="A1500" t="s">
        <v>22</v>
      </c>
      <c r="B1500" t="s">
        <v>188</v>
      </c>
      <c r="C1500" s="32">
        <v>422.47</v>
      </c>
      <c r="D1500" s="33">
        <v>14</v>
      </c>
      <c r="E1500" t="s">
        <v>128</v>
      </c>
      <c r="F1500" t="s">
        <v>90</v>
      </c>
      <c r="G1500" s="33">
        <v>36</v>
      </c>
    </row>
    <row r="1501" spans="1:7">
      <c r="A1501" t="s">
        <v>22</v>
      </c>
      <c r="B1501" t="s">
        <v>188</v>
      </c>
      <c r="C1501" s="32">
        <v>422.58</v>
      </c>
      <c r="D1501" s="33">
        <v>15</v>
      </c>
      <c r="E1501" t="s">
        <v>129</v>
      </c>
      <c r="F1501" t="s">
        <v>93</v>
      </c>
      <c r="G1501" s="33">
        <v>36</v>
      </c>
    </row>
    <row r="1502" spans="1:7">
      <c r="A1502" t="s">
        <v>22</v>
      </c>
      <c r="B1502" t="s">
        <v>188</v>
      </c>
      <c r="C1502" s="32">
        <v>422.7</v>
      </c>
      <c r="D1502" s="33">
        <v>16</v>
      </c>
      <c r="E1502" t="s">
        <v>130</v>
      </c>
      <c r="F1502" t="s">
        <v>90</v>
      </c>
      <c r="G1502" s="33">
        <v>37</v>
      </c>
    </row>
    <row r="1503" spans="1:7">
      <c r="A1503" t="s">
        <v>22</v>
      </c>
      <c r="B1503" t="s">
        <v>188</v>
      </c>
      <c r="C1503" s="32">
        <v>422.81</v>
      </c>
      <c r="D1503" s="33">
        <v>17</v>
      </c>
      <c r="E1503" t="s">
        <v>131</v>
      </c>
      <c r="F1503" t="s">
        <v>90</v>
      </c>
      <c r="G1503" s="33">
        <v>36</v>
      </c>
    </row>
    <row r="1504" spans="1:7">
      <c r="A1504" t="s">
        <v>22</v>
      </c>
      <c r="B1504" t="s">
        <v>188</v>
      </c>
      <c r="C1504" s="32">
        <v>422.92</v>
      </c>
      <c r="D1504" s="33">
        <v>18</v>
      </c>
      <c r="E1504" t="s">
        <v>133</v>
      </c>
      <c r="F1504" t="s">
        <v>93</v>
      </c>
      <c r="G1504" s="33">
        <v>37</v>
      </c>
    </row>
    <row r="1505" spans="1:7">
      <c r="A1505" t="s">
        <v>22</v>
      </c>
      <c r="B1505" t="s">
        <v>188</v>
      </c>
      <c r="C1505" s="32">
        <v>423.04</v>
      </c>
      <c r="D1505" s="33">
        <v>19</v>
      </c>
      <c r="E1505" t="s">
        <v>134</v>
      </c>
      <c r="F1505" t="s">
        <v>90</v>
      </c>
      <c r="G1505" s="33">
        <v>36</v>
      </c>
    </row>
    <row r="1506" spans="1:7">
      <c r="A1506" t="s">
        <v>22</v>
      </c>
      <c r="B1506" t="s">
        <v>188</v>
      </c>
      <c r="C1506" s="32">
        <v>423.15</v>
      </c>
      <c r="D1506" s="33">
        <v>20</v>
      </c>
      <c r="E1506" t="s">
        <v>135</v>
      </c>
      <c r="F1506" t="s">
        <v>90</v>
      </c>
      <c r="G1506" s="33">
        <v>37</v>
      </c>
    </row>
    <row r="1507" spans="1:7">
      <c r="A1507" t="s">
        <v>22</v>
      </c>
      <c r="B1507" t="s">
        <v>188</v>
      </c>
      <c r="C1507" s="32">
        <v>423.26</v>
      </c>
      <c r="D1507" s="33">
        <v>21</v>
      </c>
      <c r="E1507" t="s">
        <v>136</v>
      </c>
      <c r="F1507" t="s">
        <v>96</v>
      </c>
      <c r="G1507" s="33">
        <v>36</v>
      </c>
    </row>
    <row r="1508" spans="1:7">
      <c r="A1508" t="s">
        <v>22</v>
      </c>
      <c r="B1508" t="s">
        <v>188</v>
      </c>
      <c r="C1508" s="32">
        <v>423.38</v>
      </c>
      <c r="D1508" s="33">
        <v>22</v>
      </c>
      <c r="E1508" t="s">
        <v>137</v>
      </c>
      <c r="F1508" t="s">
        <v>93</v>
      </c>
      <c r="G1508" s="33">
        <v>36</v>
      </c>
    </row>
    <row r="1509" spans="1:7">
      <c r="A1509" t="s">
        <v>22</v>
      </c>
      <c r="B1509" t="s">
        <v>188</v>
      </c>
      <c r="C1509" s="32">
        <v>423.49</v>
      </c>
      <c r="D1509" s="33">
        <v>23</v>
      </c>
      <c r="E1509" t="s">
        <v>138</v>
      </c>
      <c r="F1509" t="s">
        <v>90</v>
      </c>
      <c r="G1509" s="33">
        <v>37</v>
      </c>
    </row>
    <row r="1510" spans="1:7">
      <c r="A1510" t="s">
        <v>22</v>
      </c>
      <c r="B1510" t="s">
        <v>188</v>
      </c>
      <c r="C1510" s="32">
        <v>423.6</v>
      </c>
      <c r="D1510" s="33">
        <v>24</v>
      </c>
      <c r="E1510" t="s">
        <v>140</v>
      </c>
      <c r="F1510" t="s">
        <v>90</v>
      </c>
      <c r="G1510" s="33">
        <v>36</v>
      </c>
    </row>
    <row r="1511" spans="1:7">
      <c r="A1511" t="s">
        <v>22</v>
      </c>
      <c r="B1511" t="s">
        <v>188</v>
      </c>
      <c r="C1511" s="32">
        <v>423.72</v>
      </c>
      <c r="D1511" s="33">
        <v>25</v>
      </c>
      <c r="E1511" t="s">
        <v>141</v>
      </c>
      <c r="F1511" t="s">
        <v>102</v>
      </c>
      <c r="G1511" s="33">
        <v>37</v>
      </c>
    </row>
    <row r="1512" spans="1:7">
      <c r="A1512" t="s">
        <v>22</v>
      </c>
      <c r="B1512" t="s">
        <v>188</v>
      </c>
      <c r="C1512" s="32">
        <v>423.83</v>
      </c>
      <c r="D1512" s="33">
        <v>26</v>
      </c>
      <c r="E1512" t="s">
        <v>142</v>
      </c>
      <c r="F1512" t="s">
        <v>93</v>
      </c>
      <c r="G1512" s="33">
        <v>36</v>
      </c>
    </row>
    <row r="1513" spans="1:7">
      <c r="A1513" t="s">
        <v>22</v>
      </c>
      <c r="B1513" t="s">
        <v>188</v>
      </c>
      <c r="C1513" s="32">
        <v>423.94</v>
      </c>
      <c r="D1513" s="33">
        <v>27</v>
      </c>
      <c r="E1513" t="s">
        <v>143</v>
      </c>
      <c r="F1513" t="s">
        <v>90</v>
      </c>
      <c r="G1513" s="33">
        <v>37</v>
      </c>
    </row>
    <row r="1514" spans="1:7">
      <c r="A1514" t="s">
        <v>22</v>
      </c>
      <c r="B1514" t="s">
        <v>188</v>
      </c>
      <c r="C1514" s="32">
        <v>424.06</v>
      </c>
      <c r="D1514" s="33">
        <v>28</v>
      </c>
      <c r="E1514" t="s">
        <v>144</v>
      </c>
      <c r="F1514" t="s">
        <v>90</v>
      </c>
      <c r="G1514" s="33">
        <v>36</v>
      </c>
    </row>
    <row r="1515" spans="1:7">
      <c r="A1515" t="s">
        <v>22</v>
      </c>
      <c r="B1515" t="s">
        <v>188</v>
      </c>
      <c r="C1515" s="32">
        <v>424.17</v>
      </c>
      <c r="D1515" s="33">
        <v>29</v>
      </c>
      <c r="E1515" t="s">
        <v>145</v>
      </c>
      <c r="F1515" t="s">
        <v>93</v>
      </c>
      <c r="G1515" s="33">
        <v>36</v>
      </c>
    </row>
    <row r="1516" spans="1:7">
      <c r="A1516" t="s">
        <v>22</v>
      </c>
      <c r="B1516" t="s">
        <v>188</v>
      </c>
      <c r="C1516" s="32">
        <v>424.28</v>
      </c>
      <c r="D1516" s="33">
        <v>30</v>
      </c>
      <c r="E1516" t="s">
        <v>146</v>
      </c>
      <c r="F1516" t="s">
        <v>90</v>
      </c>
      <c r="G1516" s="33">
        <v>37</v>
      </c>
    </row>
    <row r="1517" spans="1:7">
      <c r="A1517" t="s">
        <v>22</v>
      </c>
      <c r="B1517" t="s">
        <v>188</v>
      </c>
      <c r="C1517" s="32">
        <v>424.39</v>
      </c>
      <c r="D1517" s="33">
        <v>31</v>
      </c>
      <c r="E1517" t="s">
        <v>148</v>
      </c>
      <c r="F1517" t="s">
        <v>96</v>
      </c>
      <c r="G1517" s="33">
        <v>36</v>
      </c>
    </row>
    <row r="1518" spans="1:7">
      <c r="A1518" t="s">
        <v>22</v>
      </c>
      <c r="B1518" t="s">
        <v>188</v>
      </c>
      <c r="C1518" s="32">
        <v>424.51</v>
      </c>
      <c r="D1518" s="33">
        <v>32</v>
      </c>
      <c r="E1518" t="s">
        <v>149</v>
      </c>
      <c r="F1518" t="s">
        <v>90</v>
      </c>
      <c r="G1518" s="33">
        <v>37</v>
      </c>
    </row>
    <row r="1519" spans="1:7">
      <c r="A1519" t="s">
        <v>22</v>
      </c>
      <c r="B1519" t="s">
        <v>188</v>
      </c>
      <c r="C1519" s="32">
        <v>424.62</v>
      </c>
      <c r="D1519" s="33">
        <v>33</v>
      </c>
      <c r="E1519" t="s">
        <v>150</v>
      </c>
      <c r="F1519" t="s">
        <v>90</v>
      </c>
      <c r="G1519" s="33">
        <v>36</v>
      </c>
    </row>
    <row r="1520" spans="1:7">
      <c r="A1520" t="s">
        <v>22</v>
      </c>
      <c r="B1520" t="s">
        <v>188</v>
      </c>
      <c r="C1520" s="32">
        <v>424.73</v>
      </c>
      <c r="D1520" s="33">
        <v>34</v>
      </c>
      <c r="E1520" t="s">
        <v>151</v>
      </c>
      <c r="F1520" t="s">
        <v>93</v>
      </c>
      <c r="G1520" s="33">
        <v>37</v>
      </c>
    </row>
    <row r="1521" spans="1:7">
      <c r="A1521" t="s">
        <v>22</v>
      </c>
      <c r="B1521" t="s">
        <v>188</v>
      </c>
      <c r="C1521" s="32">
        <v>424.85</v>
      </c>
      <c r="D1521" s="33">
        <v>35</v>
      </c>
      <c r="E1521" t="s">
        <v>152</v>
      </c>
      <c r="F1521" t="s">
        <v>90</v>
      </c>
      <c r="G1521" s="33">
        <v>36</v>
      </c>
    </row>
    <row r="1522" spans="1:7">
      <c r="A1522" t="s">
        <v>22</v>
      </c>
      <c r="B1522" t="s">
        <v>188</v>
      </c>
      <c r="C1522" s="32">
        <v>424.96</v>
      </c>
      <c r="D1522" s="33">
        <v>36</v>
      </c>
      <c r="E1522" t="s">
        <v>153</v>
      </c>
      <c r="F1522" t="s">
        <v>90</v>
      </c>
      <c r="G1522" s="33">
        <v>36</v>
      </c>
    </row>
    <row r="1523" spans="1:7">
      <c r="A1523" t="s">
        <v>22</v>
      </c>
      <c r="B1523" t="s">
        <v>188</v>
      </c>
      <c r="C1523" s="32">
        <v>425.07</v>
      </c>
      <c r="D1523" s="33">
        <v>37</v>
      </c>
      <c r="E1523" t="s">
        <v>120</v>
      </c>
      <c r="F1523" t="s">
        <v>93</v>
      </c>
      <c r="G1523" s="33">
        <v>37</v>
      </c>
    </row>
    <row r="1524" spans="1:7">
      <c r="A1524" t="s">
        <v>22</v>
      </c>
      <c r="B1524" t="s">
        <v>188</v>
      </c>
      <c r="C1524" s="32">
        <v>425.19</v>
      </c>
      <c r="D1524" s="33">
        <v>38</v>
      </c>
      <c r="E1524" t="s">
        <v>115</v>
      </c>
      <c r="F1524" t="s">
        <v>102</v>
      </c>
      <c r="G1524" s="33">
        <v>36</v>
      </c>
    </row>
    <row r="1525" spans="1:7">
      <c r="A1525" t="s">
        <v>22</v>
      </c>
      <c r="B1525" t="s">
        <v>188</v>
      </c>
      <c r="C1525" s="32">
        <v>425.3</v>
      </c>
      <c r="D1525" s="33">
        <v>39</v>
      </c>
      <c r="E1525" t="s">
        <v>116</v>
      </c>
      <c r="F1525" t="s">
        <v>96</v>
      </c>
      <c r="G1525" s="33">
        <v>37</v>
      </c>
    </row>
    <row r="1526" spans="1:7">
      <c r="A1526" t="s">
        <v>22</v>
      </c>
      <c r="B1526" t="s">
        <v>188</v>
      </c>
      <c r="C1526" s="32">
        <v>425.41</v>
      </c>
      <c r="D1526" s="33">
        <v>40</v>
      </c>
      <c r="E1526" t="s">
        <v>117</v>
      </c>
      <c r="F1526" t="s">
        <v>90</v>
      </c>
      <c r="G1526" s="33">
        <v>36</v>
      </c>
    </row>
    <row r="1527" spans="1:7">
      <c r="A1527" t="s">
        <v>22</v>
      </c>
      <c r="B1527" t="s">
        <v>188</v>
      </c>
      <c r="C1527" s="32">
        <v>425.53</v>
      </c>
      <c r="D1527" s="33">
        <v>41</v>
      </c>
      <c r="E1527" t="s">
        <v>118</v>
      </c>
      <c r="F1527" t="s">
        <v>93</v>
      </c>
      <c r="G1527" s="33">
        <v>37</v>
      </c>
    </row>
    <row r="1528" spans="1:7">
      <c r="A1528" t="s">
        <v>22</v>
      </c>
      <c r="B1528" t="s">
        <v>188</v>
      </c>
      <c r="C1528" s="32">
        <v>425.64</v>
      </c>
      <c r="D1528" s="33">
        <v>42</v>
      </c>
      <c r="E1528" t="s">
        <v>122</v>
      </c>
      <c r="F1528" t="s">
        <v>90</v>
      </c>
      <c r="G1528" s="33">
        <v>36</v>
      </c>
    </row>
    <row r="1529" spans="1:7">
      <c r="A1529" t="s">
        <v>22</v>
      </c>
      <c r="B1529" t="s">
        <v>188</v>
      </c>
      <c r="C1529" s="32">
        <v>425.75</v>
      </c>
      <c r="D1529" s="33">
        <v>43</v>
      </c>
      <c r="E1529" t="s">
        <v>124</v>
      </c>
      <c r="F1529" t="s">
        <v>90</v>
      </c>
      <c r="G1529" s="33">
        <v>36</v>
      </c>
    </row>
    <row r="1530" spans="1:7">
      <c r="A1530" t="s">
        <v>22</v>
      </c>
      <c r="B1530" t="s">
        <v>188</v>
      </c>
      <c r="C1530" s="32">
        <v>425.87</v>
      </c>
      <c r="D1530" s="33">
        <v>44</v>
      </c>
      <c r="E1530" t="s">
        <v>125</v>
      </c>
      <c r="F1530" t="s">
        <v>93</v>
      </c>
      <c r="G1530" s="33">
        <v>37</v>
      </c>
    </row>
    <row r="1531" spans="1:7">
      <c r="A1531" t="s">
        <v>22</v>
      </c>
      <c r="B1531" t="s">
        <v>188</v>
      </c>
      <c r="C1531" s="32">
        <v>425.98</v>
      </c>
      <c r="D1531" s="33">
        <v>45</v>
      </c>
      <c r="E1531" t="s">
        <v>127</v>
      </c>
      <c r="F1531" t="s">
        <v>90</v>
      </c>
      <c r="G1531" s="33">
        <v>36</v>
      </c>
    </row>
    <row r="1532" spans="1:7">
      <c r="A1532" t="s">
        <v>22</v>
      </c>
      <c r="B1532" t="s">
        <v>188</v>
      </c>
      <c r="C1532" s="32">
        <v>426.09</v>
      </c>
      <c r="D1532" s="33">
        <v>46</v>
      </c>
      <c r="E1532" t="s">
        <v>128</v>
      </c>
      <c r="F1532" t="s">
        <v>90</v>
      </c>
      <c r="G1532" s="33">
        <v>37</v>
      </c>
    </row>
    <row r="1533" spans="1:7">
      <c r="A1533" t="s">
        <v>22</v>
      </c>
      <c r="B1533" t="s">
        <v>188</v>
      </c>
      <c r="C1533" s="32">
        <v>426.21</v>
      </c>
      <c r="D1533" s="33">
        <v>47</v>
      </c>
      <c r="E1533" t="s">
        <v>129</v>
      </c>
      <c r="F1533" t="s">
        <v>96</v>
      </c>
      <c r="G1533" s="33">
        <v>36</v>
      </c>
    </row>
    <row r="1534" spans="1:7">
      <c r="A1534" t="s">
        <v>22</v>
      </c>
      <c r="B1534" t="s">
        <v>188</v>
      </c>
      <c r="C1534" s="32">
        <v>426.32</v>
      </c>
      <c r="D1534" s="33">
        <v>48</v>
      </c>
      <c r="E1534" t="s">
        <v>130</v>
      </c>
      <c r="F1534" t="s">
        <v>90</v>
      </c>
      <c r="G1534" s="33">
        <v>37</v>
      </c>
    </row>
    <row r="1535" spans="1:7">
      <c r="A1535" t="s">
        <v>22</v>
      </c>
      <c r="B1535" t="s">
        <v>188</v>
      </c>
      <c r="C1535" s="32">
        <v>426.43</v>
      </c>
      <c r="D1535" s="33">
        <v>49</v>
      </c>
      <c r="E1535" t="s">
        <v>131</v>
      </c>
      <c r="F1535" t="s">
        <v>93</v>
      </c>
      <c r="G1535" s="33">
        <v>36</v>
      </c>
    </row>
    <row r="1536" spans="1:7">
      <c r="A1536" t="s">
        <v>22</v>
      </c>
      <c r="B1536" t="s">
        <v>188</v>
      </c>
      <c r="C1536" s="32">
        <v>426.54</v>
      </c>
      <c r="D1536" s="33">
        <v>50</v>
      </c>
      <c r="E1536" t="s">
        <v>133</v>
      </c>
      <c r="F1536" t="s">
        <v>90</v>
      </c>
      <c r="G1536" s="33">
        <v>36</v>
      </c>
    </row>
    <row r="1537" spans="1:7">
      <c r="A1537" t="s">
        <v>22</v>
      </c>
      <c r="B1537" t="s">
        <v>188</v>
      </c>
      <c r="C1537" s="32">
        <v>426.66</v>
      </c>
      <c r="D1537" s="33">
        <v>51</v>
      </c>
      <c r="E1537" t="s">
        <v>134</v>
      </c>
      <c r="F1537" t="s">
        <v>102</v>
      </c>
      <c r="G1537" s="33">
        <v>37</v>
      </c>
    </row>
    <row r="1538" spans="1:7">
      <c r="A1538" t="s">
        <v>22</v>
      </c>
      <c r="B1538" t="s">
        <v>188</v>
      </c>
      <c r="C1538" s="32">
        <v>426.77</v>
      </c>
      <c r="D1538" s="33">
        <v>52</v>
      </c>
      <c r="E1538" t="s">
        <v>135</v>
      </c>
      <c r="F1538" t="s">
        <v>93</v>
      </c>
      <c r="G1538" s="33">
        <v>36</v>
      </c>
    </row>
    <row r="1539" spans="1:7">
      <c r="A1539" t="s">
        <v>22</v>
      </c>
      <c r="B1539" t="s">
        <v>188</v>
      </c>
      <c r="C1539" s="32">
        <v>426.88</v>
      </c>
      <c r="D1539" s="33">
        <v>53</v>
      </c>
      <c r="E1539" t="s">
        <v>136</v>
      </c>
      <c r="F1539" t="s">
        <v>90</v>
      </c>
      <c r="G1539" s="33">
        <v>37</v>
      </c>
    </row>
    <row r="1540" spans="1:7">
      <c r="A1540" t="s">
        <v>22</v>
      </c>
      <c r="B1540" t="s">
        <v>188</v>
      </c>
      <c r="C1540" s="32">
        <v>427</v>
      </c>
      <c r="D1540" s="33">
        <v>54</v>
      </c>
      <c r="E1540" t="s">
        <v>137</v>
      </c>
      <c r="F1540" t="s">
        <v>90</v>
      </c>
      <c r="G1540" s="33">
        <v>36</v>
      </c>
    </row>
    <row r="1541" spans="1:7">
      <c r="A1541" t="s">
        <v>22</v>
      </c>
      <c r="B1541" t="s">
        <v>188</v>
      </c>
      <c r="C1541" s="32">
        <v>427.11</v>
      </c>
      <c r="D1541" s="33">
        <v>55</v>
      </c>
      <c r="E1541" t="s">
        <v>138</v>
      </c>
      <c r="F1541" t="s">
        <v>96</v>
      </c>
      <c r="G1541" s="33">
        <v>37</v>
      </c>
    </row>
    <row r="1542" spans="1:7">
      <c r="A1542" t="s">
        <v>22</v>
      </c>
      <c r="B1542" t="s">
        <v>188</v>
      </c>
      <c r="C1542" s="32">
        <v>427.22</v>
      </c>
      <c r="D1542" s="33">
        <v>56</v>
      </c>
      <c r="E1542" t="s">
        <v>140</v>
      </c>
      <c r="F1542" t="s">
        <v>90</v>
      </c>
      <c r="G1542" s="33">
        <v>36</v>
      </c>
    </row>
    <row r="1543" spans="1:7">
      <c r="A1543" t="s">
        <v>22</v>
      </c>
      <c r="B1543" t="s">
        <v>188</v>
      </c>
      <c r="C1543" s="32">
        <v>427.34</v>
      </c>
      <c r="D1543" s="33">
        <v>57</v>
      </c>
      <c r="E1543" t="s">
        <v>141</v>
      </c>
      <c r="F1543" t="s">
        <v>93</v>
      </c>
      <c r="G1543" s="33">
        <v>36</v>
      </c>
    </row>
    <row r="1544" spans="1:7">
      <c r="A1544" t="s">
        <v>22</v>
      </c>
      <c r="B1544" t="s">
        <v>188</v>
      </c>
      <c r="C1544" s="32">
        <v>427.45</v>
      </c>
      <c r="D1544" s="33">
        <v>58</v>
      </c>
      <c r="E1544" t="s">
        <v>142</v>
      </c>
      <c r="F1544" t="s">
        <v>90</v>
      </c>
      <c r="G1544" s="33">
        <v>37</v>
      </c>
    </row>
    <row r="1545" spans="1:7">
      <c r="A1545" t="s">
        <v>22</v>
      </c>
      <c r="B1545" t="s">
        <v>188</v>
      </c>
      <c r="C1545" s="32">
        <v>427.56</v>
      </c>
      <c r="D1545" s="33">
        <v>59</v>
      </c>
      <c r="E1545" t="s">
        <v>143</v>
      </c>
      <c r="F1545" t="s">
        <v>90</v>
      </c>
      <c r="G1545" s="33">
        <v>36</v>
      </c>
    </row>
    <row r="1546" spans="1:7">
      <c r="A1546" t="s">
        <v>22</v>
      </c>
      <c r="B1546" t="s">
        <v>188</v>
      </c>
      <c r="C1546" s="32">
        <v>427.68</v>
      </c>
      <c r="D1546" s="33">
        <v>60</v>
      </c>
      <c r="E1546" t="s">
        <v>144</v>
      </c>
      <c r="F1546" t="s">
        <v>93</v>
      </c>
      <c r="G1546" s="33">
        <v>37</v>
      </c>
    </row>
    <row r="1547" spans="1:7">
      <c r="A1547" t="s">
        <v>22</v>
      </c>
      <c r="B1547" t="s">
        <v>188</v>
      </c>
      <c r="C1547" s="32">
        <v>427.79</v>
      </c>
      <c r="D1547" s="33">
        <v>61</v>
      </c>
      <c r="E1547" t="s">
        <v>145</v>
      </c>
      <c r="F1547" t="s">
        <v>90</v>
      </c>
      <c r="G1547" s="33">
        <v>36</v>
      </c>
    </row>
    <row r="1548" spans="1:7">
      <c r="A1548" t="s">
        <v>22</v>
      </c>
      <c r="B1548" t="s">
        <v>188</v>
      </c>
      <c r="C1548" s="32">
        <v>427.9</v>
      </c>
      <c r="D1548" s="33">
        <v>62</v>
      </c>
      <c r="E1548" t="s">
        <v>146</v>
      </c>
      <c r="F1548" t="s">
        <v>90</v>
      </c>
      <c r="G1548" s="33">
        <v>37</v>
      </c>
    </row>
    <row r="1549" spans="1:7">
      <c r="A1549" t="s">
        <v>22</v>
      </c>
      <c r="B1549" t="s">
        <v>188</v>
      </c>
      <c r="C1549" s="32">
        <v>428.02</v>
      </c>
      <c r="D1549" s="33">
        <v>63</v>
      </c>
      <c r="E1549" t="s">
        <v>148</v>
      </c>
      <c r="F1549" t="s">
        <v>93</v>
      </c>
      <c r="G1549" s="33">
        <v>36</v>
      </c>
    </row>
    <row r="1550" spans="1:7">
      <c r="A1550" t="s">
        <v>22</v>
      </c>
      <c r="B1550" t="s">
        <v>188</v>
      </c>
      <c r="C1550" s="32">
        <v>428.13</v>
      </c>
      <c r="D1550" s="33">
        <v>64</v>
      </c>
      <c r="E1550" t="s">
        <v>149</v>
      </c>
      <c r="F1550" t="s">
        <v>102</v>
      </c>
      <c r="G1550" s="33">
        <v>36</v>
      </c>
    </row>
    <row r="1551" spans="1:7">
      <c r="A1551" t="s">
        <v>22</v>
      </c>
      <c r="B1551" t="s">
        <v>188</v>
      </c>
      <c r="C1551" s="32">
        <v>428.24</v>
      </c>
      <c r="D1551" s="33">
        <v>65</v>
      </c>
      <c r="E1551" t="s">
        <v>150</v>
      </c>
      <c r="F1551" t="s">
        <v>96</v>
      </c>
      <c r="G1551" s="33">
        <v>37</v>
      </c>
    </row>
    <row r="1552" spans="1:7">
      <c r="A1552" t="s">
        <v>22</v>
      </c>
      <c r="B1552" t="s">
        <v>188</v>
      </c>
      <c r="C1552" s="32">
        <v>428.36</v>
      </c>
      <c r="D1552" s="33">
        <v>66</v>
      </c>
      <c r="E1552" t="s">
        <v>151</v>
      </c>
      <c r="F1552" t="s">
        <v>90</v>
      </c>
      <c r="G1552" s="33">
        <v>36</v>
      </c>
    </row>
    <row r="1553" spans="1:7">
      <c r="A1553" t="s">
        <v>22</v>
      </c>
      <c r="B1553" t="s">
        <v>188</v>
      </c>
      <c r="C1553" s="32">
        <v>428.47</v>
      </c>
      <c r="D1553" s="33">
        <v>67</v>
      </c>
      <c r="E1553" t="s">
        <v>152</v>
      </c>
      <c r="F1553" t="s">
        <v>90</v>
      </c>
      <c r="G1553" s="33">
        <v>37</v>
      </c>
    </row>
    <row r="1554" spans="1:7">
      <c r="A1554" t="s">
        <v>22</v>
      </c>
      <c r="B1554" t="s">
        <v>188</v>
      </c>
      <c r="C1554" s="32">
        <v>428.58</v>
      </c>
      <c r="D1554" s="33">
        <v>68</v>
      </c>
      <c r="E1554" t="s">
        <v>153</v>
      </c>
      <c r="F1554" t="s">
        <v>93</v>
      </c>
      <c r="G1554" s="33">
        <v>36</v>
      </c>
    </row>
    <row r="1555" spans="1:7">
      <c r="A1555" t="s">
        <v>22</v>
      </c>
      <c r="B1555" t="s">
        <v>188</v>
      </c>
      <c r="C1555" s="32">
        <v>428.69</v>
      </c>
      <c r="D1555" s="33">
        <v>69</v>
      </c>
      <c r="E1555" t="s">
        <v>120</v>
      </c>
      <c r="F1555" t="s">
        <v>90</v>
      </c>
      <c r="G1555" s="33">
        <v>37</v>
      </c>
    </row>
    <row r="1556" spans="1:7">
      <c r="A1556" t="s">
        <v>22</v>
      </c>
      <c r="B1556" t="s">
        <v>188</v>
      </c>
      <c r="C1556" s="32">
        <v>428.81</v>
      </c>
      <c r="D1556" s="33">
        <v>70</v>
      </c>
      <c r="E1556" t="s">
        <v>115</v>
      </c>
      <c r="F1556" t="s">
        <v>90</v>
      </c>
      <c r="G1556" s="33">
        <v>36</v>
      </c>
    </row>
    <row r="1557" spans="1:7">
      <c r="A1557" t="s">
        <v>22</v>
      </c>
      <c r="B1557" t="s">
        <v>188</v>
      </c>
      <c r="C1557" s="32">
        <v>428.92</v>
      </c>
      <c r="D1557" s="33">
        <v>71</v>
      </c>
      <c r="E1557" t="s">
        <v>116</v>
      </c>
      <c r="F1557" t="s">
        <v>93</v>
      </c>
      <c r="G1557" s="33">
        <v>36</v>
      </c>
    </row>
    <row r="1558" spans="1:7">
      <c r="A1558" t="s">
        <v>22</v>
      </c>
      <c r="B1558" t="s">
        <v>188</v>
      </c>
      <c r="C1558" s="32">
        <v>429.03</v>
      </c>
      <c r="D1558" s="33">
        <v>72</v>
      </c>
      <c r="E1558" t="s">
        <v>117</v>
      </c>
      <c r="F1558" t="s">
        <v>90</v>
      </c>
      <c r="G1558" s="33">
        <v>37</v>
      </c>
    </row>
    <row r="1559" spans="1:7">
      <c r="A1559" t="s">
        <v>22</v>
      </c>
      <c r="B1559" t="s">
        <v>188</v>
      </c>
      <c r="C1559" s="32">
        <v>429.15</v>
      </c>
      <c r="D1559" s="33">
        <v>73</v>
      </c>
      <c r="E1559" t="s">
        <v>118</v>
      </c>
      <c r="F1559" t="s">
        <v>96</v>
      </c>
      <c r="G1559" s="33">
        <v>36</v>
      </c>
    </row>
    <row r="1560" spans="1:7">
      <c r="A1560" t="s">
        <v>22</v>
      </c>
      <c r="B1560" t="s">
        <v>188</v>
      </c>
      <c r="C1560" s="32">
        <v>429.26</v>
      </c>
      <c r="D1560" s="33">
        <v>74</v>
      </c>
      <c r="E1560" t="s">
        <v>122</v>
      </c>
      <c r="F1560" t="s">
        <v>90</v>
      </c>
      <c r="G1560" s="33">
        <v>37</v>
      </c>
    </row>
    <row r="1561" spans="1:7">
      <c r="A1561" t="s">
        <v>22</v>
      </c>
      <c r="B1561" t="s">
        <v>188</v>
      </c>
      <c r="C1561" s="32">
        <v>429.37</v>
      </c>
      <c r="D1561" s="33">
        <v>75</v>
      </c>
      <c r="E1561" t="s">
        <v>124</v>
      </c>
      <c r="F1561" t="s">
        <v>90</v>
      </c>
      <c r="G1561" s="33">
        <v>36</v>
      </c>
    </row>
    <row r="1562" spans="1:7">
      <c r="A1562" t="s">
        <v>22</v>
      </c>
      <c r="B1562" t="s">
        <v>188</v>
      </c>
      <c r="C1562" s="32">
        <v>429.49</v>
      </c>
      <c r="D1562" s="33">
        <v>76</v>
      </c>
      <c r="E1562" t="s">
        <v>125</v>
      </c>
      <c r="F1562" t="s">
        <v>93</v>
      </c>
      <c r="G1562" s="33">
        <v>37</v>
      </c>
    </row>
    <row r="1563" spans="1:7">
      <c r="A1563" t="s">
        <v>22</v>
      </c>
      <c r="B1563" t="s">
        <v>188</v>
      </c>
      <c r="C1563" s="32">
        <v>429.6</v>
      </c>
      <c r="D1563" s="33">
        <v>77</v>
      </c>
      <c r="E1563" t="s">
        <v>127</v>
      </c>
      <c r="F1563" t="s">
        <v>102</v>
      </c>
      <c r="G1563" s="33">
        <v>36</v>
      </c>
    </row>
    <row r="1564" spans="1:7">
      <c r="A1564" t="s">
        <v>22</v>
      </c>
      <c r="B1564" t="s">
        <v>189</v>
      </c>
      <c r="C1564" s="32">
        <v>431</v>
      </c>
      <c r="D1564" s="33">
        <v>1</v>
      </c>
      <c r="E1564" t="s">
        <v>118</v>
      </c>
      <c r="F1564" t="s">
        <v>90</v>
      </c>
      <c r="G1564" s="33">
        <v>37</v>
      </c>
    </row>
    <row r="1565" spans="1:7">
      <c r="A1565" t="s">
        <v>22</v>
      </c>
      <c r="B1565" t="s">
        <v>189</v>
      </c>
      <c r="C1565" s="32">
        <v>431.11</v>
      </c>
      <c r="D1565" s="33">
        <v>2</v>
      </c>
      <c r="E1565" t="s">
        <v>122</v>
      </c>
      <c r="F1565" t="s">
        <v>93</v>
      </c>
      <c r="G1565" s="33">
        <v>38</v>
      </c>
    </row>
    <row r="1566" spans="1:7">
      <c r="A1566" t="s">
        <v>22</v>
      </c>
      <c r="B1566" t="s">
        <v>189</v>
      </c>
      <c r="C1566" s="32">
        <v>431.22</v>
      </c>
      <c r="D1566" s="33">
        <v>3</v>
      </c>
      <c r="E1566" t="s">
        <v>124</v>
      </c>
      <c r="F1566" t="s">
        <v>90</v>
      </c>
      <c r="G1566" s="33">
        <v>37</v>
      </c>
    </row>
    <row r="1567" spans="1:7">
      <c r="A1567" t="s">
        <v>22</v>
      </c>
      <c r="B1567" t="s">
        <v>189</v>
      </c>
      <c r="C1567" s="32">
        <v>431.33</v>
      </c>
      <c r="D1567" s="33">
        <v>4</v>
      </c>
      <c r="E1567" t="s">
        <v>125</v>
      </c>
      <c r="F1567" t="s">
        <v>96</v>
      </c>
      <c r="G1567" s="33">
        <v>38</v>
      </c>
    </row>
    <row r="1568" spans="1:7">
      <c r="A1568" t="s">
        <v>22</v>
      </c>
      <c r="B1568" t="s">
        <v>189</v>
      </c>
      <c r="C1568" s="32">
        <v>431.44</v>
      </c>
      <c r="D1568" s="33">
        <v>5</v>
      </c>
      <c r="E1568" t="s">
        <v>127</v>
      </c>
      <c r="F1568" t="s">
        <v>90</v>
      </c>
      <c r="G1568" s="33">
        <v>37</v>
      </c>
    </row>
    <row r="1569" spans="1:7">
      <c r="A1569" t="s">
        <v>22</v>
      </c>
      <c r="B1569" t="s">
        <v>189</v>
      </c>
      <c r="C1569" s="32">
        <v>431.54</v>
      </c>
      <c r="D1569" s="33">
        <v>6</v>
      </c>
      <c r="E1569" t="s">
        <v>128</v>
      </c>
      <c r="F1569" t="s">
        <v>90</v>
      </c>
      <c r="G1569" s="33">
        <v>38</v>
      </c>
    </row>
    <row r="1570" spans="1:7">
      <c r="A1570" t="s">
        <v>22</v>
      </c>
      <c r="B1570" t="s">
        <v>189</v>
      </c>
      <c r="C1570" s="32">
        <v>431.65</v>
      </c>
      <c r="D1570" s="33">
        <v>7</v>
      </c>
      <c r="E1570" t="s">
        <v>129</v>
      </c>
      <c r="F1570" t="s">
        <v>93</v>
      </c>
      <c r="G1570" s="33">
        <v>37</v>
      </c>
    </row>
    <row r="1571" spans="1:7">
      <c r="A1571" t="s">
        <v>22</v>
      </c>
      <c r="B1571" t="s">
        <v>189</v>
      </c>
      <c r="C1571" s="32">
        <v>431.76</v>
      </c>
      <c r="D1571" s="33">
        <v>8</v>
      </c>
      <c r="E1571" t="s">
        <v>130</v>
      </c>
      <c r="F1571" t="s">
        <v>90</v>
      </c>
      <c r="G1571" s="33">
        <v>38</v>
      </c>
    </row>
    <row r="1572" spans="1:7">
      <c r="A1572" t="s">
        <v>22</v>
      </c>
      <c r="B1572" t="s">
        <v>189</v>
      </c>
      <c r="C1572" s="32">
        <v>431.87</v>
      </c>
      <c r="D1572" s="33">
        <v>9</v>
      </c>
      <c r="E1572" t="s">
        <v>131</v>
      </c>
      <c r="F1572" t="s">
        <v>90</v>
      </c>
      <c r="G1572" s="33">
        <v>37</v>
      </c>
    </row>
    <row r="1573" spans="1:7">
      <c r="A1573" t="s">
        <v>22</v>
      </c>
      <c r="B1573" t="s">
        <v>189</v>
      </c>
      <c r="C1573" s="32">
        <v>431.98</v>
      </c>
      <c r="D1573" s="33">
        <v>10</v>
      </c>
      <c r="E1573" t="s">
        <v>133</v>
      </c>
      <c r="F1573" t="s">
        <v>93</v>
      </c>
      <c r="G1573" s="33">
        <v>38</v>
      </c>
    </row>
    <row r="1574" spans="1:7">
      <c r="A1574" t="s">
        <v>22</v>
      </c>
      <c r="B1574" t="s">
        <v>189</v>
      </c>
      <c r="C1574" s="32">
        <v>432.09</v>
      </c>
      <c r="D1574" s="33">
        <v>11</v>
      </c>
      <c r="E1574" t="s">
        <v>134</v>
      </c>
      <c r="F1574" t="s">
        <v>90</v>
      </c>
      <c r="G1574" s="33">
        <v>37</v>
      </c>
    </row>
    <row r="1575" spans="1:7">
      <c r="A1575" t="s">
        <v>22</v>
      </c>
      <c r="B1575" t="s">
        <v>189</v>
      </c>
      <c r="C1575" s="32">
        <v>432.2</v>
      </c>
      <c r="D1575" s="33">
        <v>12</v>
      </c>
      <c r="E1575" t="s">
        <v>135</v>
      </c>
      <c r="F1575" t="s">
        <v>96</v>
      </c>
      <c r="G1575" s="33">
        <v>38</v>
      </c>
    </row>
    <row r="1576" spans="1:7">
      <c r="A1576" t="s">
        <v>22</v>
      </c>
      <c r="B1576" t="s">
        <v>189</v>
      </c>
      <c r="C1576" s="32">
        <v>432.31</v>
      </c>
      <c r="D1576" s="33">
        <v>13</v>
      </c>
      <c r="E1576" t="s">
        <v>136</v>
      </c>
      <c r="F1576" t="s">
        <v>102</v>
      </c>
      <c r="G1576" s="33">
        <v>37</v>
      </c>
    </row>
    <row r="1577" spans="1:7">
      <c r="A1577" t="s">
        <v>22</v>
      </c>
      <c r="B1577" t="s">
        <v>189</v>
      </c>
      <c r="C1577" s="32">
        <v>432.42</v>
      </c>
      <c r="D1577" s="33">
        <v>14</v>
      </c>
      <c r="E1577" t="s">
        <v>137</v>
      </c>
      <c r="F1577" t="s">
        <v>93</v>
      </c>
      <c r="G1577" s="33">
        <v>37</v>
      </c>
    </row>
    <row r="1578" spans="1:7">
      <c r="A1578" t="s">
        <v>22</v>
      </c>
      <c r="B1578" t="s">
        <v>189</v>
      </c>
      <c r="C1578" s="32">
        <v>432.52</v>
      </c>
      <c r="D1578" s="33">
        <v>15</v>
      </c>
      <c r="E1578" t="s">
        <v>138</v>
      </c>
      <c r="F1578" t="s">
        <v>90</v>
      </c>
      <c r="G1578" s="33">
        <v>38</v>
      </c>
    </row>
    <row r="1579" spans="1:7">
      <c r="A1579" t="s">
        <v>22</v>
      </c>
      <c r="B1579" t="s">
        <v>189</v>
      </c>
      <c r="C1579" s="32">
        <v>432.63</v>
      </c>
      <c r="D1579" s="33">
        <v>16</v>
      </c>
      <c r="E1579" t="s">
        <v>140</v>
      </c>
      <c r="F1579" t="s">
        <v>90</v>
      </c>
      <c r="G1579" s="33">
        <v>37</v>
      </c>
    </row>
    <row r="1580" spans="1:7">
      <c r="A1580" t="s">
        <v>22</v>
      </c>
      <c r="B1580" t="s">
        <v>189</v>
      </c>
      <c r="C1580" s="32">
        <v>432.74</v>
      </c>
      <c r="D1580" s="33">
        <v>17</v>
      </c>
      <c r="E1580" t="s">
        <v>141</v>
      </c>
      <c r="F1580" t="s">
        <v>93</v>
      </c>
      <c r="G1580" s="33">
        <v>38</v>
      </c>
    </row>
    <row r="1581" spans="1:7">
      <c r="A1581" t="s">
        <v>22</v>
      </c>
      <c r="B1581" t="s">
        <v>189</v>
      </c>
      <c r="C1581" s="32">
        <v>432.85</v>
      </c>
      <c r="D1581" s="33">
        <v>18</v>
      </c>
      <c r="E1581" t="s">
        <v>142</v>
      </c>
      <c r="F1581" t="s">
        <v>90</v>
      </c>
      <c r="G1581" s="33">
        <v>37</v>
      </c>
    </row>
    <row r="1582" spans="1:7">
      <c r="A1582" t="s">
        <v>22</v>
      </c>
      <c r="B1582" t="s">
        <v>189</v>
      </c>
      <c r="C1582" s="32">
        <v>432.96</v>
      </c>
      <c r="D1582" s="33">
        <v>19</v>
      </c>
      <c r="E1582" t="s">
        <v>143</v>
      </c>
      <c r="F1582" t="s">
        <v>90</v>
      </c>
      <c r="G1582" s="33">
        <v>38</v>
      </c>
    </row>
    <row r="1583" spans="1:7">
      <c r="A1583" t="s">
        <v>22</v>
      </c>
      <c r="B1583" t="s">
        <v>189</v>
      </c>
      <c r="C1583" s="32">
        <v>433.07</v>
      </c>
      <c r="D1583" s="33">
        <v>20</v>
      </c>
      <c r="E1583" t="s">
        <v>144</v>
      </c>
      <c r="F1583" t="s">
        <v>96</v>
      </c>
      <c r="G1583" s="33">
        <v>37</v>
      </c>
    </row>
    <row r="1584" spans="1:7">
      <c r="A1584" t="s">
        <v>22</v>
      </c>
      <c r="B1584" t="s">
        <v>189</v>
      </c>
      <c r="C1584" s="32">
        <v>433.18</v>
      </c>
      <c r="D1584" s="33">
        <v>21</v>
      </c>
      <c r="E1584" t="s">
        <v>145</v>
      </c>
      <c r="F1584" t="s">
        <v>90</v>
      </c>
      <c r="G1584" s="33">
        <v>38</v>
      </c>
    </row>
    <row r="1585" spans="1:7">
      <c r="A1585" t="s">
        <v>22</v>
      </c>
      <c r="B1585" t="s">
        <v>189</v>
      </c>
      <c r="C1585" s="32">
        <v>433.29</v>
      </c>
      <c r="D1585" s="33">
        <v>22</v>
      </c>
      <c r="E1585" t="s">
        <v>146</v>
      </c>
      <c r="F1585" t="s">
        <v>93</v>
      </c>
      <c r="G1585" s="33">
        <v>37</v>
      </c>
    </row>
    <row r="1586" spans="1:7">
      <c r="A1586" t="s">
        <v>22</v>
      </c>
      <c r="B1586" t="s">
        <v>189</v>
      </c>
      <c r="C1586" s="32">
        <v>433.39</v>
      </c>
      <c r="D1586" s="33">
        <v>23</v>
      </c>
      <c r="E1586" t="s">
        <v>148</v>
      </c>
      <c r="F1586" t="s">
        <v>90</v>
      </c>
      <c r="G1586" s="33">
        <v>38</v>
      </c>
    </row>
    <row r="1587" spans="1:7">
      <c r="A1587" t="s">
        <v>22</v>
      </c>
      <c r="B1587" t="s">
        <v>189</v>
      </c>
      <c r="C1587" s="32">
        <v>433.5</v>
      </c>
      <c r="D1587" s="33">
        <v>24</v>
      </c>
      <c r="E1587" t="s">
        <v>149</v>
      </c>
      <c r="F1587" t="s">
        <v>90</v>
      </c>
      <c r="G1587" s="33">
        <v>37</v>
      </c>
    </row>
    <row r="1588" spans="1:7">
      <c r="A1588" t="s">
        <v>22</v>
      </c>
      <c r="B1588" t="s">
        <v>189</v>
      </c>
      <c r="C1588" s="32">
        <v>433.61</v>
      </c>
      <c r="D1588" s="33">
        <v>25</v>
      </c>
      <c r="E1588" t="s">
        <v>150</v>
      </c>
      <c r="F1588" t="s">
        <v>93</v>
      </c>
      <c r="G1588" s="33">
        <v>38</v>
      </c>
    </row>
    <row r="1589" spans="1:7">
      <c r="A1589" t="s">
        <v>22</v>
      </c>
      <c r="B1589" t="s">
        <v>189</v>
      </c>
      <c r="C1589" s="32">
        <v>433.72</v>
      </c>
      <c r="D1589" s="33">
        <v>26</v>
      </c>
      <c r="E1589" t="s">
        <v>151</v>
      </c>
      <c r="F1589" t="s">
        <v>102</v>
      </c>
      <c r="G1589" s="33">
        <v>37</v>
      </c>
    </row>
    <row r="1590" spans="1:7">
      <c r="A1590" t="s">
        <v>22</v>
      </c>
      <c r="B1590" t="s">
        <v>189</v>
      </c>
      <c r="C1590" s="32">
        <v>433.83</v>
      </c>
      <c r="D1590" s="33">
        <v>27</v>
      </c>
      <c r="E1590" t="s">
        <v>152</v>
      </c>
      <c r="F1590" t="s">
        <v>90</v>
      </c>
      <c r="G1590" s="33">
        <v>37</v>
      </c>
    </row>
    <row r="1591" spans="1:7">
      <c r="A1591" t="s">
        <v>22</v>
      </c>
      <c r="B1591" t="s">
        <v>189</v>
      </c>
      <c r="C1591" s="32">
        <v>433.94</v>
      </c>
      <c r="D1591" s="33">
        <v>28</v>
      </c>
      <c r="E1591" t="s">
        <v>153</v>
      </c>
      <c r="F1591" t="s">
        <v>96</v>
      </c>
      <c r="G1591" s="33">
        <v>38</v>
      </c>
    </row>
    <row r="1592" spans="1:7">
      <c r="A1592" t="s">
        <v>22</v>
      </c>
      <c r="B1592" t="s">
        <v>189</v>
      </c>
      <c r="C1592" s="32">
        <v>434.05</v>
      </c>
      <c r="D1592" s="33">
        <v>29</v>
      </c>
      <c r="E1592" t="s">
        <v>120</v>
      </c>
      <c r="F1592" t="s">
        <v>90</v>
      </c>
      <c r="G1592" s="33">
        <v>37</v>
      </c>
    </row>
    <row r="1593" spans="1:7">
      <c r="A1593" t="s">
        <v>22</v>
      </c>
      <c r="B1593" t="s">
        <v>189</v>
      </c>
      <c r="C1593" s="32">
        <v>434.16</v>
      </c>
      <c r="D1593" s="33">
        <v>30</v>
      </c>
      <c r="E1593" t="s">
        <v>115</v>
      </c>
      <c r="F1593" t="s">
        <v>93</v>
      </c>
      <c r="G1593" s="33">
        <v>38</v>
      </c>
    </row>
    <row r="1594" spans="1:7">
      <c r="A1594" t="s">
        <v>22</v>
      </c>
      <c r="B1594" t="s">
        <v>189</v>
      </c>
      <c r="C1594" s="32">
        <v>434.27</v>
      </c>
      <c r="D1594" s="33">
        <v>31</v>
      </c>
      <c r="E1594" t="s">
        <v>116</v>
      </c>
      <c r="F1594" t="s">
        <v>90</v>
      </c>
      <c r="G1594" s="33">
        <v>37</v>
      </c>
    </row>
    <row r="1595" spans="1:7">
      <c r="A1595" t="s">
        <v>22</v>
      </c>
      <c r="B1595" t="s">
        <v>189</v>
      </c>
      <c r="C1595" s="32">
        <v>434.37</v>
      </c>
      <c r="D1595" s="33">
        <v>32</v>
      </c>
      <c r="E1595" t="s">
        <v>117</v>
      </c>
      <c r="F1595" t="s">
        <v>90</v>
      </c>
      <c r="G1595" s="33">
        <v>38</v>
      </c>
    </row>
    <row r="1596" spans="1:7">
      <c r="A1596" t="s">
        <v>22</v>
      </c>
      <c r="B1596" t="s">
        <v>189</v>
      </c>
      <c r="C1596" s="32">
        <v>434.48</v>
      </c>
      <c r="D1596" s="33">
        <v>33</v>
      </c>
      <c r="E1596" t="s">
        <v>118</v>
      </c>
      <c r="F1596" t="s">
        <v>93</v>
      </c>
      <c r="G1596" s="33">
        <v>37</v>
      </c>
    </row>
    <row r="1597" spans="1:7">
      <c r="A1597" t="s">
        <v>22</v>
      </c>
      <c r="B1597" t="s">
        <v>189</v>
      </c>
      <c r="C1597" s="32">
        <v>434.59</v>
      </c>
      <c r="D1597" s="33">
        <v>34</v>
      </c>
      <c r="E1597" t="s">
        <v>122</v>
      </c>
      <c r="F1597" t="s">
        <v>90</v>
      </c>
      <c r="G1597" s="33">
        <v>38</v>
      </c>
    </row>
    <row r="1598" spans="1:7">
      <c r="A1598" t="s">
        <v>22</v>
      </c>
      <c r="B1598" t="s">
        <v>189</v>
      </c>
      <c r="C1598" s="32">
        <v>434.7</v>
      </c>
      <c r="D1598" s="33">
        <v>35</v>
      </c>
      <c r="E1598" t="s">
        <v>124</v>
      </c>
      <c r="F1598" t="s">
        <v>90</v>
      </c>
      <c r="G1598" s="33">
        <v>37</v>
      </c>
    </row>
    <row r="1599" spans="1:7">
      <c r="A1599" t="s">
        <v>22</v>
      </c>
      <c r="B1599" t="s">
        <v>189</v>
      </c>
      <c r="C1599" s="32">
        <v>434.81</v>
      </c>
      <c r="D1599" s="33">
        <v>36</v>
      </c>
      <c r="E1599" t="s">
        <v>125</v>
      </c>
      <c r="F1599" t="s">
        <v>96</v>
      </c>
      <c r="G1599" s="33">
        <v>38</v>
      </c>
    </row>
    <row r="1600" spans="1:7">
      <c r="A1600" t="s">
        <v>22</v>
      </c>
      <c r="B1600" t="s">
        <v>189</v>
      </c>
      <c r="C1600" s="32">
        <v>434.92</v>
      </c>
      <c r="D1600" s="33">
        <v>37</v>
      </c>
      <c r="E1600" t="s">
        <v>127</v>
      </c>
      <c r="F1600" t="s">
        <v>93</v>
      </c>
      <c r="G1600" s="33">
        <v>37</v>
      </c>
    </row>
    <row r="1601" spans="1:7">
      <c r="A1601" t="s">
        <v>22</v>
      </c>
      <c r="B1601" t="s">
        <v>189</v>
      </c>
      <c r="C1601" s="32">
        <v>435.03</v>
      </c>
      <c r="D1601" s="33">
        <v>38</v>
      </c>
      <c r="E1601" t="s">
        <v>128</v>
      </c>
      <c r="F1601" t="s">
        <v>90</v>
      </c>
      <c r="G1601" s="33">
        <v>38</v>
      </c>
    </row>
    <row r="1602" spans="1:7">
      <c r="A1602" t="s">
        <v>22</v>
      </c>
      <c r="B1602" t="s">
        <v>189</v>
      </c>
      <c r="C1602" s="32">
        <v>435.14</v>
      </c>
      <c r="D1602" s="33">
        <v>39</v>
      </c>
      <c r="E1602" t="s">
        <v>129</v>
      </c>
      <c r="F1602" t="s">
        <v>102</v>
      </c>
      <c r="G1602" s="33">
        <v>37</v>
      </c>
    </row>
    <row r="1603" spans="1:7">
      <c r="A1603" t="s">
        <v>22</v>
      </c>
      <c r="B1603" t="s">
        <v>189</v>
      </c>
      <c r="C1603" s="32">
        <v>435.25</v>
      </c>
      <c r="D1603" s="33">
        <v>40</v>
      </c>
      <c r="E1603" t="s">
        <v>130</v>
      </c>
      <c r="F1603" t="s">
        <v>90</v>
      </c>
      <c r="G1603" s="33">
        <v>37</v>
      </c>
    </row>
    <row r="1604" spans="1:7">
      <c r="A1604" t="s">
        <v>22</v>
      </c>
      <c r="B1604" t="s">
        <v>189</v>
      </c>
      <c r="C1604" s="32">
        <v>435.35</v>
      </c>
      <c r="D1604" s="33">
        <v>41</v>
      </c>
      <c r="E1604" t="s">
        <v>131</v>
      </c>
      <c r="F1604" t="s">
        <v>93</v>
      </c>
      <c r="G1604" s="33">
        <v>38</v>
      </c>
    </row>
    <row r="1605" spans="1:7">
      <c r="A1605" t="s">
        <v>22</v>
      </c>
      <c r="B1605" t="s">
        <v>189</v>
      </c>
      <c r="C1605" s="32">
        <v>435.46</v>
      </c>
      <c r="D1605" s="33">
        <v>42</v>
      </c>
      <c r="E1605" t="s">
        <v>133</v>
      </c>
      <c r="F1605" t="s">
        <v>90</v>
      </c>
      <c r="G1605" s="33">
        <v>37</v>
      </c>
    </row>
    <row r="1606" spans="1:7">
      <c r="A1606" t="s">
        <v>22</v>
      </c>
      <c r="B1606" t="s">
        <v>189</v>
      </c>
      <c r="C1606" s="32">
        <v>435.57</v>
      </c>
      <c r="D1606" s="33">
        <v>43</v>
      </c>
      <c r="E1606" t="s">
        <v>134</v>
      </c>
      <c r="F1606" t="s">
        <v>96</v>
      </c>
      <c r="G1606" s="33">
        <v>38</v>
      </c>
    </row>
    <row r="1607" spans="1:7">
      <c r="A1607" t="s">
        <v>22</v>
      </c>
      <c r="B1607" t="s">
        <v>189</v>
      </c>
      <c r="C1607" s="32">
        <v>435.68</v>
      </c>
      <c r="D1607" s="33">
        <v>44</v>
      </c>
      <c r="E1607" t="s">
        <v>135</v>
      </c>
      <c r="F1607" t="s">
        <v>90</v>
      </c>
      <c r="G1607" s="33">
        <v>37</v>
      </c>
    </row>
    <row r="1608" spans="1:7">
      <c r="A1608" t="s">
        <v>22</v>
      </c>
      <c r="B1608" t="s">
        <v>189</v>
      </c>
      <c r="C1608" s="32">
        <v>435.79</v>
      </c>
      <c r="D1608" s="33">
        <v>45</v>
      </c>
      <c r="E1608" t="s">
        <v>136</v>
      </c>
      <c r="F1608" t="s">
        <v>93</v>
      </c>
      <c r="G1608" s="33">
        <v>38</v>
      </c>
    </row>
    <row r="1609" spans="1:7">
      <c r="A1609" t="s">
        <v>22</v>
      </c>
      <c r="B1609" t="s">
        <v>189</v>
      </c>
      <c r="C1609" s="32">
        <v>435.9</v>
      </c>
      <c r="D1609" s="33">
        <v>46</v>
      </c>
      <c r="E1609" t="s">
        <v>137</v>
      </c>
      <c r="F1609" t="s">
        <v>90</v>
      </c>
      <c r="G1609" s="33">
        <v>37</v>
      </c>
    </row>
    <row r="1610" spans="1:7">
      <c r="A1610" t="s">
        <v>22</v>
      </c>
      <c r="B1610" t="s">
        <v>189</v>
      </c>
      <c r="C1610" s="32">
        <v>436.01</v>
      </c>
      <c r="D1610" s="33">
        <v>47</v>
      </c>
      <c r="E1610" t="s">
        <v>138</v>
      </c>
      <c r="F1610" t="s">
        <v>90</v>
      </c>
      <c r="G1610" s="33">
        <v>38</v>
      </c>
    </row>
    <row r="1611" spans="1:7">
      <c r="A1611" t="s">
        <v>22</v>
      </c>
      <c r="B1611" t="s">
        <v>189</v>
      </c>
      <c r="C1611" s="32">
        <v>436.12</v>
      </c>
      <c r="D1611" s="33">
        <v>48</v>
      </c>
      <c r="E1611" t="s">
        <v>140</v>
      </c>
      <c r="F1611" t="s">
        <v>93</v>
      </c>
      <c r="G1611" s="33">
        <v>37</v>
      </c>
    </row>
    <row r="1612" spans="1:7">
      <c r="A1612" t="s">
        <v>22</v>
      </c>
      <c r="B1612" t="s">
        <v>189</v>
      </c>
      <c r="C1612" s="32">
        <v>436.23</v>
      </c>
      <c r="D1612" s="33">
        <v>49</v>
      </c>
      <c r="E1612" t="s">
        <v>141</v>
      </c>
      <c r="F1612" t="s">
        <v>90</v>
      </c>
      <c r="G1612" s="33">
        <v>38</v>
      </c>
    </row>
    <row r="1613" spans="1:7">
      <c r="A1613" t="s">
        <v>22</v>
      </c>
      <c r="B1613" t="s">
        <v>189</v>
      </c>
      <c r="C1613" s="32">
        <v>436.33</v>
      </c>
      <c r="D1613" s="33">
        <v>50</v>
      </c>
      <c r="E1613" t="s">
        <v>142</v>
      </c>
      <c r="F1613" t="s">
        <v>90</v>
      </c>
      <c r="G1613" s="33">
        <v>37</v>
      </c>
    </row>
    <row r="1614" spans="1:7">
      <c r="A1614" t="s">
        <v>22</v>
      </c>
      <c r="B1614" t="s">
        <v>189</v>
      </c>
      <c r="C1614" s="32">
        <v>436.44</v>
      </c>
      <c r="D1614" s="33">
        <v>51</v>
      </c>
      <c r="E1614" t="s">
        <v>143</v>
      </c>
      <c r="F1614" t="s">
        <v>93</v>
      </c>
      <c r="G1614" s="33">
        <v>38</v>
      </c>
    </row>
    <row r="1615" spans="1:7">
      <c r="A1615" t="s">
        <v>22</v>
      </c>
      <c r="B1615" t="s">
        <v>189</v>
      </c>
      <c r="C1615" s="32">
        <v>436.55</v>
      </c>
      <c r="D1615" s="33">
        <v>52</v>
      </c>
      <c r="E1615" t="s">
        <v>144</v>
      </c>
      <c r="F1615" t="s">
        <v>102</v>
      </c>
      <c r="G1615" s="33">
        <v>37</v>
      </c>
    </row>
    <row r="1616" spans="1:7">
      <c r="A1616" t="s">
        <v>22</v>
      </c>
      <c r="B1616" t="s">
        <v>189</v>
      </c>
      <c r="C1616" s="32">
        <v>436.66</v>
      </c>
      <c r="D1616" s="33">
        <v>53</v>
      </c>
      <c r="E1616" t="s">
        <v>145</v>
      </c>
      <c r="F1616" t="s">
        <v>96</v>
      </c>
      <c r="G1616" s="33">
        <v>38</v>
      </c>
    </row>
    <row r="1617" spans="1:7">
      <c r="A1617" t="s">
        <v>22</v>
      </c>
      <c r="B1617" t="s">
        <v>189</v>
      </c>
      <c r="C1617" s="32">
        <v>436.77</v>
      </c>
      <c r="D1617" s="33">
        <v>54</v>
      </c>
      <c r="E1617" t="s">
        <v>146</v>
      </c>
      <c r="F1617" t="s">
        <v>90</v>
      </c>
      <c r="G1617" s="33">
        <v>37</v>
      </c>
    </row>
    <row r="1618" spans="1:7">
      <c r="A1618" t="s">
        <v>22</v>
      </c>
      <c r="B1618" t="s">
        <v>189</v>
      </c>
      <c r="C1618" s="32">
        <v>436.88</v>
      </c>
      <c r="D1618" s="33">
        <v>55</v>
      </c>
      <c r="E1618" t="s">
        <v>148</v>
      </c>
      <c r="F1618" t="s">
        <v>90</v>
      </c>
      <c r="G1618" s="33">
        <v>37</v>
      </c>
    </row>
    <row r="1619" spans="1:7">
      <c r="A1619" t="s">
        <v>22</v>
      </c>
      <c r="B1619" t="s">
        <v>189</v>
      </c>
      <c r="C1619" s="32">
        <v>436.99</v>
      </c>
      <c r="D1619" s="33">
        <v>56</v>
      </c>
      <c r="E1619" t="s">
        <v>149</v>
      </c>
      <c r="F1619" t="s">
        <v>93</v>
      </c>
      <c r="G1619" s="33">
        <v>38</v>
      </c>
    </row>
    <row r="1620" spans="1:7">
      <c r="A1620" t="s">
        <v>22</v>
      </c>
      <c r="B1620" t="s">
        <v>189</v>
      </c>
      <c r="C1620" s="32">
        <v>437.1</v>
      </c>
      <c r="D1620" s="33">
        <v>57</v>
      </c>
      <c r="E1620" t="s">
        <v>150</v>
      </c>
      <c r="F1620" t="s">
        <v>90</v>
      </c>
      <c r="G1620" s="33">
        <v>37</v>
      </c>
    </row>
    <row r="1621" spans="1:7">
      <c r="A1621" t="s">
        <v>22</v>
      </c>
      <c r="B1621" t="s">
        <v>189</v>
      </c>
      <c r="C1621" s="32">
        <v>437.21</v>
      </c>
      <c r="D1621" s="33">
        <v>58</v>
      </c>
      <c r="E1621" t="s">
        <v>151</v>
      </c>
      <c r="F1621" t="s">
        <v>90</v>
      </c>
      <c r="G1621" s="33">
        <v>38</v>
      </c>
    </row>
    <row r="1622" spans="1:7">
      <c r="A1622" t="s">
        <v>22</v>
      </c>
      <c r="B1622" t="s">
        <v>189</v>
      </c>
      <c r="C1622" s="32">
        <v>437.31</v>
      </c>
      <c r="D1622" s="33">
        <v>59</v>
      </c>
      <c r="E1622" t="s">
        <v>152</v>
      </c>
      <c r="F1622" t="s">
        <v>93</v>
      </c>
      <c r="G1622" s="33">
        <v>37</v>
      </c>
    </row>
    <row r="1623" spans="1:7">
      <c r="A1623" t="s">
        <v>22</v>
      </c>
      <c r="B1623" t="s">
        <v>189</v>
      </c>
      <c r="C1623" s="32">
        <v>437.42</v>
      </c>
      <c r="D1623" s="33">
        <v>60</v>
      </c>
      <c r="E1623" t="s">
        <v>153</v>
      </c>
      <c r="F1623" t="s">
        <v>90</v>
      </c>
      <c r="G1623" s="33">
        <v>38</v>
      </c>
    </row>
    <row r="1624" spans="1:7">
      <c r="A1624" t="s">
        <v>22</v>
      </c>
      <c r="B1624" t="s">
        <v>189</v>
      </c>
      <c r="C1624" s="32">
        <v>437.53</v>
      </c>
      <c r="D1624" s="33">
        <v>61</v>
      </c>
      <c r="E1624" t="s">
        <v>120</v>
      </c>
      <c r="F1624" t="s">
        <v>96</v>
      </c>
      <c r="G1624" s="33">
        <v>37</v>
      </c>
    </row>
    <row r="1625" spans="1:7">
      <c r="A1625" t="s">
        <v>22</v>
      </c>
      <c r="B1625" t="s">
        <v>189</v>
      </c>
      <c r="C1625" s="32">
        <v>437.64</v>
      </c>
      <c r="D1625" s="33">
        <v>62</v>
      </c>
      <c r="E1625" t="s">
        <v>115</v>
      </c>
      <c r="F1625" t="s">
        <v>90</v>
      </c>
      <c r="G1625" s="33">
        <v>38</v>
      </c>
    </row>
    <row r="1626" spans="1:7">
      <c r="A1626" t="s">
        <v>22</v>
      </c>
      <c r="B1626" t="s">
        <v>189</v>
      </c>
      <c r="C1626" s="32">
        <v>437.75</v>
      </c>
      <c r="D1626" s="33">
        <v>63</v>
      </c>
      <c r="E1626" t="s">
        <v>116</v>
      </c>
      <c r="F1626" t="s">
        <v>90</v>
      </c>
      <c r="G1626" s="33">
        <v>37</v>
      </c>
    </row>
    <row r="1627" spans="1:7">
      <c r="A1627" t="s">
        <v>22</v>
      </c>
      <c r="B1627" t="s">
        <v>189</v>
      </c>
      <c r="C1627" s="32">
        <v>437.86</v>
      </c>
      <c r="D1627" s="33">
        <v>64</v>
      </c>
      <c r="E1627" t="s">
        <v>117</v>
      </c>
      <c r="F1627" t="s">
        <v>93</v>
      </c>
      <c r="G1627" s="33">
        <v>38</v>
      </c>
    </row>
    <row r="1628" spans="1:7">
      <c r="A1628" t="s">
        <v>22</v>
      </c>
      <c r="B1628" t="s">
        <v>189</v>
      </c>
      <c r="C1628" s="32">
        <v>437.97</v>
      </c>
      <c r="D1628" s="33">
        <v>65</v>
      </c>
      <c r="E1628" t="s">
        <v>118</v>
      </c>
      <c r="F1628" t="s">
        <v>102</v>
      </c>
      <c r="G1628" s="33">
        <v>37</v>
      </c>
    </row>
    <row r="1629" spans="1:7">
      <c r="A1629" t="s">
        <v>22</v>
      </c>
      <c r="B1629" t="s">
        <v>189</v>
      </c>
      <c r="C1629" s="32">
        <v>438.08</v>
      </c>
      <c r="D1629" s="33">
        <v>66</v>
      </c>
      <c r="E1629" t="s">
        <v>122</v>
      </c>
      <c r="F1629" t="s">
        <v>90</v>
      </c>
      <c r="G1629" s="33">
        <v>38</v>
      </c>
    </row>
    <row r="1630" spans="1:7">
      <c r="A1630" t="s">
        <v>22</v>
      </c>
      <c r="B1630" t="s">
        <v>189</v>
      </c>
      <c r="C1630" s="32">
        <v>438.18</v>
      </c>
      <c r="D1630" s="33">
        <v>67</v>
      </c>
      <c r="E1630" t="s">
        <v>124</v>
      </c>
      <c r="F1630" t="s">
        <v>93</v>
      </c>
      <c r="G1630" s="33">
        <v>37</v>
      </c>
    </row>
    <row r="1631" spans="1:7">
      <c r="A1631" t="s">
        <v>22</v>
      </c>
      <c r="B1631" t="s">
        <v>189</v>
      </c>
      <c r="C1631" s="32">
        <v>438.29</v>
      </c>
      <c r="D1631" s="33">
        <v>68</v>
      </c>
      <c r="E1631" t="s">
        <v>125</v>
      </c>
      <c r="F1631" t="s">
        <v>90</v>
      </c>
      <c r="G1631" s="33">
        <v>37</v>
      </c>
    </row>
    <row r="1632" spans="1:7">
      <c r="A1632" t="s">
        <v>22</v>
      </c>
      <c r="B1632" t="s">
        <v>189</v>
      </c>
      <c r="C1632" s="32">
        <v>438.4</v>
      </c>
      <c r="D1632" s="33">
        <v>69</v>
      </c>
      <c r="E1632" t="s">
        <v>127</v>
      </c>
      <c r="F1632" t="s">
        <v>96</v>
      </c>
      <c r="G1632" s="33">
        <v>38</v>
      </c>
    </row>
    <row r="1633" spans="1:7">
      <c r="A1633" t="s">
        <v>22</v>
      </c>
      <c r="B1633" t="s">
        <v>189</v>
      </c>
      <c r="C1633" s="32">
        <v>438.51</v>
      </c>
      <c r="D1633" s="33">
        <v>70</v>
      </c>
      <c r="E1633" t="s">
        <v>128</v>
      </c>
      <c r="F1633" t="s">
        <v>90</v>
      </c>
      <c r="G1633" s="33">
        <v>37</v>
      </c>
    </row>
    <row r="1634" spans="1:7">
      <c r="A1634" t="s">
        <v>22</v>
      </c>
      <c r="B1634" t="s">
        <v>189</v>
      </c>
      <c r="C1634" s="32">
        <v>438.62</v>
      </c>
      <c r="D1634" s="33">
        <v>71</v>
      </c>
      <c r="E1634" t="s">
        <v>129</v>
      </c>
      <c r="F1634" t="s">
        <v>93</v>
      </c>
      <c r="G1634" s="33">
        <v>38</v>
      </c>
    </row>
    <row r="1635" spans="1:7">
      <c r="A1635" t="s">
        <v>22</v>
      </c>
      <c r="B1635" t="s">
        <v>189</v>
      </c>
      <c r="C1635" s="32">
        <v>438.73</v>
      </c>
      <c r="D1635" s="33">
        <v>72</v>
      </c>
      <c r="E1635" t="s">
        <v>130</v>
      </c>
      <c r="F1635" t="s">
        <v>90</v>
      </c>
      <c r="G1635" s="33">
        <v>37</v>
      </c>
    </row>
    <row r="1636" spans="1:7">
      <c r="A1636" t="s">
        <v>22</v>
      </c>
      <c r="B1636" t="s">
        <v>189</v>
      </c>
      <c r="C1636" s="32">
        <v>438.84</v>
      </c>
      <c r="D1636" s="33">
        <v>73</v>
      </c>
      <c r="E1636" t="s">
        <v>131</v>
      </c>
      <c r="F1636" t="s">
        <v>90</v>
      </c>
      <c r="G1636" s="33">
        <v>38</v>
      </c>
    </row>
    <row r="1637" spans="1:7">
      <c r="A1637" t="s">
        <v>22</v>
      </c>
      <c r="B1637" t="s">
        <v>189</v>
      </c>
      <c r="C1637" s="32">
        <v>438.95</v>
      </c>
      <c r="D1637" s="33">
        <v>74</v>
      </c>
      <c r="E1637" t="s">
        <v>133</v>
      </c>
      <c r="F1637" t="s">
        <v>93</v>
      </c>
      <c r="G1637" s="33">
        <v>37</v>
      </c>
    </row>
    <row r="1638" spans="1:7">
      <c r="A1638" t="s">
        <v>22</v>
      </c>
      <c r="B1638" t="s">
        <v>189</v>
      </c>
      <c r="C1638" s="32">
        <v>439.06</v>
      </c>
      <c r="D1638" s="33">
        <v>75</v>
      </c>
      <c r="E1638" t="s">
        <v>134</v>
      </c>
      <c r="F1638" t="s">
        <v>90</v>
      </c>
      <c r="G1638" s="33">
        <v>38</v>
      </c>
    </row>
    <row r="1639" spans="1:7">
      <c r="A1639" t="s">
        <v>22</v>
      </c>
      <c r="B1639" t="s">
        <v>189</v>
      </c>
      <c r="C1639" s="32">
        <v>439.16</v>
      </c>
      <c r="D1639" s="33">
        <v>76</v>
      </c>
      <c r="E1639" t="s">
        <v>135</v>
      </c>
      <c r="F1639" t="s">
        <v>90</v>
      </c>
      <c r="G1639" s="33">
        <v>37</v>
      </c>
    </row>
    <row r="1640" spans="1:7">
      <c r="A1640" t="s">
        <v>22</v>
      </c>
      <c r="B1640" t="s">
        <v>189</v>
      </c>
      <c r="C1640" s="32">
        <v>439.27</v>
      </c>
      <c r="D1640" s="33">
        <v>77</v>
      </c>
      <c r="E1640" t="s">
        <v>136</v>
      </c>
      <c r="F1640" t="s">
        <v>96</v>
      </c>
      <c r="G1640" s="33">
        <v>38</v>
      </c>
    </row>
    <row r="1641" spans="1:7">
      <c r="A1641" t="s">
        <v>22</v>
      </c>
      <c r="B1641" t="s">
        <v>189</v>
      </c>
      <c r="C1641" s="32">
        <v>439.38</v>
      </c>
      <c r="D1641" s="33">
        <v>78</v>
      </c>
      <c r="E1641" t="s">
        <v>137</v>
      </c>
      <c r="F1641" t="s">
        <v>102</v>
      </c>
      <c r="G1641" s="33">
        <v>37</v>
      </c>
    </row>
    <row r="1642" spans="1:7">
      <c r="A1642" t="s">
        <v>22</v>
      </c>
      <c r="B1642" t="s">
        <v>189</v>
      </c>
      <c r="C1642" s="32">
        <v>439.49</v>
      </c>
      <c r="D1642" s="33">
        <v>79</v>
      </c>
      <c r="E1642" t="s">
        <v>138</v>
      </c>
      <c r="F1642" t="s">
        <v>93</v>
      </c>
      <c r="G1642" s="33">
        <v>38</v>
      </c>
    </row>
    <row r="1643" spans="1:7">
      <c r="A1643" t="s">
        <v>22</v>
      </c>
      <c r="B1643" t="s">
        <v>189</v>
      </c>
      <c r="C1643" s="32">
        <v>439.6</v>
      </c>
      <c r="D1643" s="33">
        <v>80</v>
      </c>
      <c r="E1643" t="s">
        <v>140</v>
      </c>
      <c r="F1643" t="s">
        <v>90</v>
      </c>
      <c r="G1643" s="33">
        <v>37</v>
      </c>
    </row>
    <row r="1644" spans="1:7">
      <c r="A1644" t="s">
        <v>22</v>
      </c>
      <c r="B1644" t="s">
        <v>190</v>
      </c>
      <c r="C1644" s="32">
        <v>441</v>
      </c>
      <c r="D1644" s="33">
        <v>1</v>
      </c>
      <c r="E1644" t="s">
        <v>135</v>
      </c>
      <c r="F1644" t="s">
        <v>90</v>
      </c>
      <c r="G1644" s="33">
        <v>38</v>
      </c>
    </row>
    <row r="1645" spans="1:7">
      <c r="A1645" t="s">
        <v>22</v>
      </c>
      <c r="B1645" t="s">
        <v>190</v>
      </c>
      <c r="C1645" s="32">
        <v>441.11</v>
      </c>
      <c r="D1645" s="33">
        <v>2</v>
      </c>
      <c r="E1645" t="s">
        <v>136</v>
      </c>
      <c r="F1645" t="s">
        <v>93</v>
      </c>
      <c r="G1645" s="33">
        <v>39</v>
      </c>
    </row>
    <row r="1646" spans="1:7">
      <c r="A1646" t="s">
        <v>22</v>
      </c>
      <c r="B1646" t="s">
        <v>190</v>
      </c>
      <c r="C1646" s="32">
        <v>441.21</v>
      </c>
      <c r="D1646" s="33">
        <v>3</v>
      </c>
      <c r="E1646" t="s">
        <v>137</v>
      </c>
      <c r="F1646" t="s">
        <v>90</v>
      </c>
      <c r="G1646" s="33">
        <v>38</v>
      </c>
    </row>
    <row r="1647" spans="1:7">
      <c r="A1647" t="s">
        <v>22</v>
      </c>
      <c r="B1647" t="s">
        <v>190</v>
      </c>
      <c r="C1647" s="32">
        <v>441.32</v>
      </c>
      <c r="D1647" s="33">
        <v>4</v>
      </c>
      <c r="E1647" t="s">
        <v>138</v>
      </c>
      <c r="F1647" t="s">
        <v>96</v>
      </c>
      <c r="G1647" s="33">
        <v>39</v>
      </c>
    </row>
    <row r="1648" spans="1:7">
      <c r="A1648" t="s">
        <v>22</v>
      </c>
      <c r="B1648" t="s">
        <v>190</v>
      </c>
      <c r="C1648" s="32">
        <v>441.42</v>
      </c>
      <c r="D1648" s="33">
        <v>5</v>
      </c>
      <c r="E1648" t="s">
        <v>140</v>
      </c>
      <c r="F1648" t="s">
        <v>90</v>
      </c>
      <c r="G1648" s="33">
        <v>38</v>
      </c>
    </row>
    <row r="1649" spans="1:7">
      <c r="A1649" t="s">
        <v>22</v>
      </c>
      <c r="B1649" t="s">
        <v>190</v>
      </c>
      <c r="C1649" s="32">
        <v>441.53</v>
      </c>
      <c r="D1649" s="33">
        <v>6</v>
      </c>
      <c r="E1649" t="s">
        <v>141</v>
      </c>
      <c r="F1649" t="s">
        <v>90</v>
      </c>
      <c r="G1649" s="33">
        <v>39</v>
      </c>
    </row>
    <row r="1650" spans="1:7">
      <c r="A1650" t="s">
        <v>22</v>
      </c>
      <c r="B1650" t="s">
        <v>190</v>
      </c>
      <c r="C1650" s="32">
        <v>441.64</v>
      </c>
      <c r="D1650" s="33">
        <v>7</v>
      </c>
      <c r="E1650" t="s">
        <v>142</v>
      </c>
      <c r="F1650" t="s">
        <v>93</v>
      </c>
      <c r="G1650" s="33">
        <v>38</v>
      </c>
    </row>
    <row r="1651" spans="1:7">
      <c r="A1651" t="s">
        <v>22</v>
      </c>
      <c r="B1651" t="s">
        <v>190</v>
      </c>
      <c r="C1651" s="32">
        <v>441.74</v>
      </c>
      <c r="D1651" s="33">
        <v>8</v>
      </c>
      <c r="E1651" t="s">
        <v>143</v>
      </c>
      <c r="F1651" t="s">
        <v>90</v>
      </c>
      <c r="G1651" s="33">
        <v>39</v>
      </c>
    </row>
    <row r="1652" spans="1:7">
      <c r="A1652" t="s">
        <v>22</v>
      </c>
      <c r="B1652" t="s">
        <v>190</v>
      </c>
      <c r="C1652" s="32">
        <v>441.85</v>
      </c>
      <c r="D1652" s="33">
        <v>9</v>
      </c>
      <c r="E1652" t="s">
        <v>144</v>
      </c>
      <c r="F1652" t="s">
        <v>90</v>
      </c>
      <c r="G1652" s="33">
        <v>38</v>
      </c>
    </row>
    <row r="1653" spans="1:7">
      <c r="A1653" t="s">
        <v>22</v>
      </c>
      <c r="B1653" t="s">
        <v>190</v>
      </c>
      <c r="C1653" s="32">
        <v>441.96</v>
      </c>
      <c r="D1653" s="33">
        <v>10</v>
      </c>
      <c r="E1653" t="s">
        <v>145</v>
      </c>
      <c r="F1653" t="s">
        <v>93</v>
      </c>
      <c r="G1653" s="33">
        <v>39</v>
      </c>
    </row>
    <row r="1654" spans="1:7">
      <c r="A1654" t="s">
        <v>22</v>
      </c>
      <c r="B1654" t="s">
        <v>190</v>
      </c>
      <c r="C1654" s="32">
        <v>442.06</v>
      </c>
      <c r="D1654" s="33">
        <v>11</v>
      </c>
      <c r="E1654" t="s">
        <v>146</v>
      </c>
      <c r="F1654" t="s">
        <v>90</v>
      </c>
      <c r="G1654" s="33">
        <v>38</v>
      </c>
    </row>
    <row r="1655" spans="1:7">
      <c r="A1655" t="s">
        <v>22</v>
      </c>
      <c r="B1655" t="s">
        <v>190</v>
      </c>
      <c r="C1655" s="32">
        <v>442.17</v>
      </c>
      <c r="D1655" s="33">
        <v>12</v>
      </c>
      <c r="E1655" t="s">
        <v>148</v>
      </c>
      <c r="F1655" t="s">
        <v>96</v>
      </c>
      <c r="G1655" s="33">
        <v>39</v>
      </c>
    </row>
    <row r="1656" spans="1:7">
      <c r="A1656" t="s">
        <v>22</v>
      </c>
      <c r="B1656" t="s">
        <v>190</v>
      </c>
      <c r="C1656" s="32">
        <v>442.27</v>
      </c>
      <c r="D1656" s="33">
        <v>13</v>
      </c>
      <c r="E1656" t="s">
        <v>149</v>
      </c>
      <c r="F1656" t="s">
        <v>102</v>
      </c>
      <c r="G1656" s="33">
        <v>38</v>
      </c>
    </row>
    <row r="1657" spans="1:7">
      <c r="A1657" t="s">
        <v>22</v>
      </c>
      <c r="B1657" t="s">
        <v>190</v>
      </c>
      <c r="C1657" s="32">
        <v>442.38</v>
      </c>
      <c r="D1657" s="33">
        <v>14</v>
      </c>
      <c r="E1657" t="s">
        <v>150</v>
      </c>
      <c r="F1657" t="s">
        <v>93</v>
      </c>
      <c r="G1657" s="33">
        <v>39</v>
      </c>
    </row>
    <row r="1658" spans="1:7">
      <c r="A1658" t="s">
        <v>22</v>
      </c>
      <c r="B1658" t="s">
        <v>190</v>
      </c>
      <c r="C1658" s="32">
        <v>442.49</v>
      </c>
      <c r="D1658" s="33">
        <v>15</v>
      </c>
      <c r="E1658" t="s">
        <v>151</v>
      </c>
      <c r="F1658" t="s">
        <v>90</v>
      </c>
      <c r="G1658" s="33">
        <v>38</v>
      </c>
    </row>
    <row r="1659" spans="1:7">
      <c r="A1659" t="s">
        <v>22</v>
      </c>
      <c r="B1659" t="s">
        <v>190</v>
      </c>
      <c r="C1659" s="32">
        <v>442.59</v>
      </c>
      <c r="D1659" s="33">
        <v>16</v>
      </c>
      <c r="E1659" t="s">
        <v>152</v>
      </c>
      <c r="F1659" t="s">
        <v>90</v>
      </c>
      <c r="G1659" s="33">
        <v>39</v>
      </c>
    </row>
    <row r="1660" spans="1:7">
      <c r="A1660" t="s">
        <v>22</v>
      </c>
      <c r="B1660" t="s">
        <v>190</v>
      </c>
      <c r="C1660" s="32">
        <v>442.7</v>
      </c>
      <c r="D1660" s="33">
        <v>17</v>
      </c>
      <c r="E1660" t="s">
        <v>153</v>
      </c>
      <c r="F1660" t="s">
        <v>93</v>
      </c>
      <c r="G1660" s="33">
        <v>38</v>
      </c>
    </row>
    <row r="1661" spans="1:7">
      <c r="A1661" t="s">
        <v>22</v>
      </c>
      <c r="B1661" t="s">
        <v>190</v>
      </c>
      <c r="C1661" s="32">
        <v>442.8</v>
      </c>
      <c r="D1661" s="33">
        <v>18</v>
      </c>
      <c r="E1661" t="s">
        <v>120</v>
      </c>
      <c r="F1661" t="s">
        <v>90</v>
      </c>
      <c r="G1661" s="33">
        <v>39</v>
      </c>
    </row>
    <row r="1662" spans="1:7">
      <c r="A1662" t="s">
        <v>22</v>
      </c>
      <c r="B1662" t="s">
        <v>190</v>
      </c>
      <c r="C1662" s="32">
        <v>442.91</v>
      </c>
      <c r="D1662" s="33">
        <v>19</v>
      </c>
      <c r="E1662" t="s">
        <v>115</v>
      </c>
      <c r="F1662" t="s">
        <v>90</v>
      </c>
      <c r="G1662" s="33">
        <v>38</v>
      </c>
    </row>
    <row r="1663" spans="1:7">
      <c r="A1663" t="s">
        <v>22</v>
      </c>
      <c r="B1663" t="s">
        <v>190</v>
      </c>
      <c r="C1663" s="32">
        <v>443.02</v>
      </c>
      <c r="D1663" s="33">
        <v>20</v>
      </c>
      <c r="E1663" t="s">
        <v>116</v>
      </c>
      <c r="F1663" t="s">
        <v>96</v>
      </c>
      <c r="G1663" s="33">
        <v>39</v>
      </c>
    </row>
    <row r="1664" spans="1:7">
      <c r="A1664" t="s">
        <v>22</v>
      </c>
      <c r="B1664" t="s">
        <v>190</v>
      </c>
      <c r="C1664" s="32">
        <v>443.12</v>
      </c>
      <c r="D1664" s="33">
        <v>21</v>
      </c>
      <c r="E1664" t="s">
        <v>117</v>
      </c>
      <c r="F1664" t="s">
        <v>90</v>
      </c>
      <c r="G1664" s="33">
        <v>38</v>
      </c>
    </row>
    <row r="1665" spans="1:7">
      <c r="A1665" t="s">
        <v>22</v>
      </c>
      <c r="B1665" t="s">
        <v>190</v>
      </c>
      <c r="C1665" s="32">
        <v>443.23</v>
      </c>
      <c r="D1665" s="33">
        <v>22</v>
      </c>
      <c r="E1665" t="s">
        <v>118</v>
      </c>
      <c r="F1665" t="s">
        <v>93</v>
      </c>
      <c r="G1665" s="33">
        <v>39</v>
      </c>
    </row>
    <row r="1666" spans="1:7">
      <c r="A1666" t="s">
        <v>22</v>
      </c>
      <c r="B1666" t="s">
        <v>190</v>
      </c>
      <c r="C1666" s="32">
        <v>443.34</v>
      </c>
      <c r="D1666" s="33">
        <v>23</v>
      </c>
      <c r="E1666" t="s">
        <v>122</v>
      </c>
      <c r="F1666" t="s">
        <v>90</v>
      </c>
      <c r="G1666" s="33">
        <v>38</v>
      </c>
    </row>
    <row r="1667" spans="1:7">
      <c r="A1667" t="s">
        <v>22</v>
      </c>
      <c r="B1667" t="s">
        <v>190</v>
      </c>
      <c r="C1667" s="32">
        <v>443.44</v>
      </c>
      <c r="D1667" s="33">
        <v>24</v>
      </c>
      <c r="E1667" t="s">
        <v>124</v>
      </c>
      <c r="F1667" t="s">
        <v>90</v>
      </c>
      <c r="G1667" s="33">
        <v>39</v>
      </c>
    </row>
    <row r="1668" spans="1:7">
      <c r="A1668" t="s">
        <v>22</v>
      </c>
      <c r="B1668" t="s">
        <v>190</v>
      </c>
      <c r="C1668" s="32">
        <v>443.55</v>
      </c>
      <c r="D1668" s="33">
        <v>25</v>
      </c>
      <c r="E1668" t="s">
        <v>125</v>
      </c>
      <c r="F1668" t="s">
        <v>93</v>
      </c>
      <c r="G1668" s="33">
        <v>38</v>
      </c>
    </row>
    <row r="1669" spans="1:7">
      <c r="A1669" t="s">
        <v>22</v>
      </c>
      <c r="B1669" t="s">
        <v>190</v>
      </c>
      <c r="C1669" s="32">
        <v>443.65</v>
      </c>
      <c r="D1669" s="33">
        <v>26</v>
      </c>
      <c r="E1669" t="s">
        <v>127</v>
      </c>
      <c r="F1669" t="s">
        <v>102</v>
      </c>
      <c r="G1669" s="33">
        <v>39</v>
      </c>
    </row>
    <row r="1670" spans="1:7">
      <c r="A1670" t="s">
        <v>22</v>
      </c>
      <c r="B1670" t="s">
        <v>190</v>
      </c>
      <c r="C1670" s="32">
        <v>443.76</v>
      </c>
      <c r="D1670" s="33">
        <v>27</v>
      </c>
      <c r="E1670" t="s">
        <v>128</v>
      </c>
      <c r="F1670" t="s">
        <v>90</v>
      </c>
      <c r="G1670" s="33">
        <v>38</v>
      </c>
    </row>
    <row r="1671" spans="1:7">
      <c r="A1671" t="s">
        <v>22</v>
      </c>
      <c r="B1671" t="s">
        <v>190</v>
      </c>
      <c r="C1671" s="32">
        <v>443.87</v>
      </c>
      <c r="D1671" s="33">
        <v>28</v>
      </c>
      <c r="E1671" t="s">
        <v>129</v>
      </c>
      <c r="F1671" t="s">
        <v>93</v>
      </c>
      <c r="G1671" s="33">
        <v>39</v>
      </c>
    </row>
    <row r="1672" spans="1:7">
      <c r="A1672" t="s">
        <v>22</v>
      </c>
      <c r="B1672" t="s">
        <v>190</v>
      </c>
      <c r="C1672" s="32">
        <v>443.97</v>
      </c>
      <c r="D1672" s="33">
        <v>29</v>
      </c>
      <c r="E1672" t="s">
        <v>130</v>
      </c>
      <c r="F1672" t="s">
        <v>90</v>
      </c>
      <c r="G1672" s="33">
        <v>38</v>
      </c>
    </row>
    <row r="1673" spans="1:7">
      <c r="A1673" t="s">
        <v>22</v>
      </c>
      <c r="B1673" t="s">
        <v>190</v>
      </c>
      <c r="C1673" s="32">
        <v>444.08</v>
      </c>
      <c r="D1673" s="33">
        <v>30</v>
      </c>
      <c r="E1673" t="s">
        <v>131</v>
      </c>
      <c r="F1673" t="s">
        <v>96</v>
      </c>
      <c r="G1673" s="33">
        <v>39</v>
      </c>
    </row>
    <row r="1674" spans="1:7">
      <c r="A1674" t="s">
        <v>22</v>
      </c>
      <c r="B1674" t="s">
        <v>190</v>
      </c>
      <c r="C1674" s="32">
        <v>444.19</v>
      </c>
      <c r="D1674" s="33">
        <v>31</v>
      </c>
      <c r="E1674" t="s">
        <v>133</v>
      </c>
      <c r="F1674" t="s">
        <v>90</v>
      </c>
      <c r="G1674" s="33">
        <v>38</v>
      </c>
    </row>
    <row r="1675" spans="1:7">
      <c r="A1675" t="s">
        <v>22</v>
      </c>
      <c r="B1675" t="s">
        <v>190</v>
      </c>
      <c r="C1675" s="32">
        <v>444.29</v>
      </c>
      <c r="D1675" s="33">
        <v>32</v>
      </c>
      <c r="E1675" t="s">
        <v>134</v>
      </c>
      <c r="F1675" t="s">
        <v>93</v>
      </c>
      <c r="G1675" s="33">
        <v>39</v>
      </c>
    </row>
    <row r="1676" spans="1:7">
      <c r="A1676" t="s">
        <v>22</v>
      </c>
      <c r="B1676" t="s">
        <v>190</v>
      </c>
      <c r="C1676" s="32">
        <v>444.4</v>
      </c>
      <c r="D1676" s="33">
        <v>33</v>
      </c>
      <c r="E1676" t="s">
        <v>135</v>
      </c>
      <c r="F1676" t="s">
        <v>90</v>
      </c>
      <c r="G1676" s="33">
        <v>38</v>
      </c>
    </row>
    <row r="1677" spans="1:7">
      <c r="A1677" t="s">
        <v>22</v>
      </c>
      <c r="B1677" t="s">
        <v>190</v>
      </c>
      <c r="C1677" s="32">
        <v>444.5</v>
      </c>
      <c r="D1677" s="33">
        <v>34</v>
      </c>
      <c r="E1677" t="s">
        <v>136</v>
      </c>
      <c r="F1677" t="s">
        <v>90</v>
      </c>
      <c r="G1677" s="33">
        <v>39</v>
      </c>
    </row>
    <row r="1678" spans="1:7">
      <c r="A1678" t="s">
        <v>22</v>
      </c>
      <c r="B1678" t="s">
        <v>190</v>
      </c>
      <c r="C1678" s="32">
        <v>444.61</v>
      </c>
      <c r="D1678" s="33">
        <v>35</v>
      </c>
      <c r="E1678" t="s">
        <v>137</v>
      </c>
      <c r="F1678" t="s">
        <v>93</v>
      </c>
      <c r="G1678" s="33">
        <v>38</v>
      </c>
    </row>
    <row r="1679" spans="1:7">
      <c r="A1679" t="s">
        <v>22</v>
      </c>
      <c r="B1679" t="s">
        <v>190</v>
      </c>
      <c r="C1679" s="32">
        <v>444.72</v>
      </c>
      <c r="D1679" s="33">
        <v>36</v>
      </c>
      <c r="E1679" t="s">
        <v>138</v>
      </c>
      <c r="F1679" t="s">
        <v>90</v>
      </c>
      <c r="G1679" s="33">
        <v>39</v>
      </c>
    </row>
    <row r="1680" spans="1:7">
      <c r="A1680" t="s">
        <v>22</v>
      </c>
      <c r="B1680" t="s">
        <v>190</v>
      </c>
      <c r="C1680" s="32">
        <v>444.82</v>
      </c>
      <c r="D1680" s="33">
        <v>37</v>
      </c>
      <c r="E1680" t="s">
        <v>140</v>
      </c>
      <c r="F1680" t="s">
        <v>90</v>
      </c>
      <c r="G1680" s="33">
        <v>38</v>
      </c>
    </row>
    <row r="1681" spans="1:7">
      <c r="A1681" t="s">
        <v>22</v>
      </c>
      <c r="B1681" t="s">
        <v>190</v>
      </c>
      <c r="C1681" s="32">
        <v>444.93</v>
      </c>
      <c r="D1681" s="33">
        <v>38</v>
      </c>
      <c r="E1681" t="s">
        <v>141</v>
      </c>
      <c r="F1681" t="s">
        <v>96</v>
      </c>
      <c r="G1681" s="33">
        <v>39</v>
      </c>
    </row>
    <row r="1682" spans="1:7">
      <c r="A1682" t="s">
        <v>22</v>
      </c>
      <c r="B1682" t="s">
        <v>190</v>
      </c>
      <c r="C1682" s="32">
        <v>445.03</v>
      </c>
      <c r="D1682" s="33">
        <v>39</v>
      </c>
      <c r="E1682" t="s">
        <v>142</v>
      </c>
      <c r="F1682" t="s">
        <v>102</v>
      </c>
      <c r="G1682" s="33">
        <v>38</v>
      </c>
    </row>
    <row r="1683" spans="1:7">
      <c r="A1683" t="s">
        <v>22</v>
      </c>
      <c r="B1683" t="s">
        <v>190</v>
      </c>
      <c r="C1683" s="32">
        <v>445.14</v>
      </c>
      <c r="D1683" s="33">
        <v>40</v>
      </c>
      <c r="E1683" t="s">
        <v>143</v>
      </c>
      <c r="F1683" t="s">
        <v>93</v>
      </c>
      <c r="G1683" s="33">
        <v>39</v>
      </c>
    </row>
    <row r="1684" spans="1:7">
      <c r="A1684" t="s">
        <v>22</v>
      </c>
      <c r="B1684" t="s">
        <v>190</v>
      </c>
      <c r="C1684" s="32">
        <v>445.25</v>
      </c>
      <c r="D1684" s="33">
        <v>41</v>
      </c>
      <c r="E1684" t="s">
        <v>144</v>
      </c>
      <c r="F1684" t="s">
        <v>90</v>
      </c>
      <c r="G1684" s="33">
        <v>38</v>
      </c>
    </row>
    <row r="1685" spans="1:7">
      <c r="A1685" t="s">
        <v>22</v>
      </c>
      <c r="B1685" t="s">
        <v>190</v>
      </c>
      <c r="C1685" s="32">
        <v>445.35</v>
      </c>
      <c r="D1685" s="33">
        <v>42</v>
      </c>
      <c r="E1685" t="s">
        <v>145</v>
      </c>
      <c r="F1685" t="s">
        <v>90</v>
      </c>
      <c r="G1685" s="33">
        <v>38</v>
      </c>
    </row>
    <row r="1686" spans="1:7">
      <c r="A1686" t="s">
        <v>22</v>
      </c>
      <c r="B1686" t="s">
        <v>190</v>
      </c>
      <c r="C1686" s="32">
        <v>445.46</v>
      </c>
      <c r="D1686" s="33">
        <v>43</v>
      </c>
      <c r="E1686" t="s">
        <v>146</v>
      </c>
      <c r="F1686" t="s">
        <v>93</v>
      </c>
      <c r="G1686" s="33">
        <v>39</v>
      </c>
    </row>
    <row r="1687" spans="1:7">
      <c r="A1687" t="s">
        <v>22</v>
      </c>
      <c r="B1687" t="s">
        <v>190</v>
      </c>
      <c r="C1687" s="32">
        <v>445.57</v>
      </c>
      <c r="D1687" s="33">
        <v>44</v>
      </c>
      <c r="E1687" t="s">
        <v>148</v>
      </c>
      <c r="F1687" t="s">
        <v>90</v>
      </c>
      <c r="G1687" s="33">
        <v>38</v>
      </c>
    </row>
    <row r="1688" spans="1:7">
      <c r="A1688" t="s">
        <v>22</v>
      </c>
      <c r="B1688" t="s">
        <v>190</v>
      </c>
      <c r="C1688" s="32">
        <v>445.67</v>
      </c>
      <c r="D1688" s="33">
        <v>45</v>
      </c>
      <c r="E1688" t="s">
        <v>149</v>
      </c>
      <c r="F1688" t="s">
        <v>96</v>
      </c>
      <c r="G1688" s="33">
        <v>39</v>
      </c>
    </row>
    <row r="1689" spans="1:7">
      <c r="A1689" t="s">
        <v>22</v>
      </c>
      <c r="B1689" t="s">
        <v>190</v>
      </c>
      <c r="C1689" s="32">
        <v>445.78</v>
      </c>
      <c r="D1689" s="33">
        <v>46</v>
      </c>
      <c r="E1689" t="s">
        <v>150</v>
      </c>
      <c r="F1689" t="s">
        <v>90</v>
      </c>
      <c r="G1689" s="33">
        <v>38</v>
      </c>
    </row>
    <row r="1690" spans="1:7">
      <c r="A1690" t="s">
        <v>22</v>
      </c>
      <c r="B1690" t="s">
        <v>190</v>
      </c>
      <c r="C1690" s="32">
        <v>445.88</v>
      </c>
      <c r="D1690" s="33">
        <v>47</v>
      </c>
      <c r="E1690" t="s">
        <v>151</v>
      </c>
      <c r="F1690" t="s">
        <v>90</v>
      </c>
      <c r="G1690" s="33">
        <v>39</v>
      </c>
    </row>
    <row r="1691" spans="1:7">
      <c r="A1691" t="s">
        <v>22</v>
      </c>
      <c r="B1691" t="s">
        <v>190</v>
      </c>
      <c r="C1691" s="32">
        <v>445.99</v>
      </c>
      <c r="D1691" s="33">
        <v>48</v>
      </c>
      <c r="E1691" t="s">
        <v>152</v>
      </c>
      <c r="F1691" t="s">
        <v>93</v>
      </c>
      <c r="G1691" s="33">
        <v>38</v>
      </c>
    </row>
    <row r="1692" spans="1:7">
      <c r="A1692" t="s">
        <v>22</v>
      </c>
      <c r="B1692" t="s">
        <v>190</v>
      </c>
      <c r="C1692" s="32">
        <v>446.1</v>
      </c>
      <c r="D1692" s="33">
        <v>49</v>
      </c>
      <c r="E1692" t="s">
        <v>153</v>
      </c>
      <c r="F1692" t="s">
        <v>90</v>
      </c>
      <c r="G1692" s="33">
        <v>39</v>
      </c>
    </row>
    <row r="1693" spans="1:7">
      <c r="A1693" t="s">
        <v>22</v>
      </c>
      <c r="B1693" t="s">
        <v>190</v>
      </c>
      <c r="C1693" s="32">
        <v>446.2</v>
      </c>
      <c r="D1693" s="33">
        <v>50</v>
      </c>
      <c r="E1693" t="s">
        <v>120</v>
      </c>
      <c r="F1693" t="s">
        <v>90</v>
      </c>
      <c r="G1693" s="33">
        <v>38</v>
      </c>
    </row>
    <row r="1694" spans="1:7">
      <c r="A1694" t="s">
        <v>22</v>
      </c>
      <c r="B1694" t="s">
        <v>190</v>
      </c>
      <c r="C1694" s="32">
        <v>446.31</v>
      </c>
      <c r="D1694" s="33">
        <v>51</v>
      </c>
      <c r="E1694" t="s">
        <v>115</v>
      </c>
      <c r="F1694" t="s">
        <v>93</v>
      </c>
      <c r="G1694" s="33">
        <v>39</v>
      </c>
    </row>
    <row r="1695" spans="1:7">
      <c r="A1695" t="s">
        <v>22</v>
      </c>
      <c r="B1695" t="s">
        <v>190</v>
      </c>
      <c r="C1695" s="32">
        <v>446.41</v>
      </c>
      <c r="D1695" s="33">
        <v>52</v>
      </c>
      <c r="E1695" t="s">
        <v>116</v>
      </c>
      <c r="F1695" t="s">
        <v>102</v>
      </c>
      <c r="G1695" s="33">
        <v>38</v>
      </c>
    </row>
    <row r="1696" spans="1:7">
      <c r="A1696" t="s">
        <v>22</v>
      </c>
      <c r="B1696" t="s">
        <v>190</v>
      </c>
      <c r="C1696" s="32">
        <v>446.52</v>
      </c>
      <c r="D1696" s="33">
        <v>53</v>
      </c>
      <c r="E1696" t="s">
        <v>117</v>
      </c>
      <c r="F1696" t="s">
        <v>96</v>
      </c>
      <c r="G1696" s="33">
        <v>39</v>
      </c>
    </row>
    <row r="1697" spans="1:7">
      <c r="A1697" t="s">
        <v>22</v>
      </c>
      <c r="B1697" t="s">
        <v>190</v>
      </c>
      <c r="C1697" s="32">
        <v>446.63</v>
      </c>
      <c r="D1697" s="33">
        <v>54</v>
      </c>
      <c r="E1697" t="s">
        <v>118</v>
      </c>
      <c r="F1697" t="s">
        <v>90</v>
      </c>
      <c r="G1697" s="33">
        <v>38</v>
      </c>
    </row>
    <row r="1698" spans="1:7">
      <c r="A1698" t="s">
        <v>22</v>
      </c>
      <c r="B1698" t="s">
        <v>190</v>
      </c>
      <c r="C1698" s="32">
        <v>446.73</v>
      </c>
      <c r="D1698" s="33">
        <v>55</v>
      </c>
      <c r="E1698" t="s">
        <v>122</v>
      </c>
      <c r="F1698" t="s">
        <v>93</v>
      </c>
      <c r="G1698" s="33">
        <v>39</v>
      </c>
    </row>
    <row r="1699" spans="1:7">
      <c r="A1699" t="s">
        <v>22</v>
      </c>
      <c r="B1699" t="s">
        <v>190</v>
      </c>
      <c r="C1699" s="32">
        <v>446.84</v>
      </c>
      <c r="D1699" s="33">
        <v>56</v>
      </c>
      <c r="E1699" t="s">
        <v>124</v>
      </c>
      <c r="F1699" t="s">
        <v>90</v>
      </c>
      <c r="G1699" s="33">
        <v>38</v>
      </c>
    </row>
    <row r="1700" spans="1:7">
      <c r="A1700" t="s">
        <v>22</v>
      </c>
      <c r="B1700" t="s">
        <v>190</v>
      </c>
      <c r="C1700" s="32">
        <v>446.95</v>
      </c>
      <c r="D1700" s="33">
        <v>57</v>
      </c>
      <c r="E1700" t="s">
        <v>125</v>
      </c>
      <c r="F1700" t="s">
        <v>90</v>
      </c>
      <c r="G1700" s="33">
        <v>39</v>
      </c>
    </row>
    <row r="1701" spans="1:7">
      <c r="A1701" t="s">
        <v>22</v>
      </c>
      <c r="B1701" t="s">
        <v>190</v>
      </c>
      <c r="C1701" s="32">
        <v>447.05</v>
      </c>
      <c r="D1701" s="33">
        <v>58</v>
      </c>
      <c r="E1701" t="s">
        <v>127</v>
      </c>
      <c r="F1701" t="s">
        <v>93</v>
      </c>
      <c r="G1701" s="33">
        <v>38</v>
      </c>
    </row>
    <row r="1702" spans="1:7">
      <c r="A1702" t="s">
        <v>22</v>
      </c>
      <c r="B1702" t="s">
        <v>190</v>
      </c>
      <c r="C1702" s="32">
        <v>447.16</v>
      </c>
      <c r="D1702" s="33">
        <v>59</v>
      </c>
      <c r="E1702" t="s">
        <v>128</v>
      </c>
      <c r="F1702" t="s">
        <v>90</v>
      </c>
      <c r="G1702" s="33">
        <v>39</v>
      </c>
    </row>
    <row r="1703" spans="1:7">
      <c r="A1703" t="s">
        <v>22</v>
      </c>
      <c r="B1703" t="s">
        <v>190</v>
      </c>
      <c r="C1703" s="32">
        <v>447.26</v>
      </c>
      <c r="D1703" s="33">
        <v>60</v>
      </c>
      <c r="E1703" t="s">
        <v>129</v>
      </c>
      <c r="F1703" t="s">
        <v>90</v>
      </c>
      <c r="G1703" s="33">
        <v>38</v>
      </c>
    </row>
    <row r="1704" spans="1:7">
      <c r="A1704" t="s">
        <v>22</v>
      </c>
      <c r="B1704" t="s">
        <v>190</v>
      </c>
      <c r="C1704" s="32">
        <v>447.37</v>
      </c>
      <c r="D1704" s="33">
        <v>61</v>
      </c>
      <c r="E1704" t="s">
        <v>130</v>
      </c>
      <c r="F1704" t="s">
        <v>96</v>
      </c>
      <c r="G1704" s="33">
        <v>39</v>
      </c>
    </row>
    <row r="1705" spans="1:7">
      <c r="A1705" t="s">
        <v>22</v>
      </c>
      <c r="B1705" t="s">
        <v>190</v>
      </c>
      <c r="C1705" s="32">
        <v>447.48</v>
      </c>
      <c r="D1705" s="33">
        <v>62</v>
      </c>
      <c r="E1705" t="s">
        <v>131</v>
      </c>
      <c r="F1705" t="s">
        <v>90</v>
      </c>
      <c r="G1705" s="33">
        <v>38</v>
      </c>
    </row>
    <row r="1706" spans="1:7">
      <c r="A1706" t="s">
        <v>22</v>
      </c>
      <c r="B1706" t="s">
        <v>190</v>
      </c>
      <c r="C1706" s="32">
        <v>447.58</v>
      </c>
      <c r="D1706" s="33">
        <v>63</v>
      </c>
      <c r="E1706" t="s">
        <v>133</v>
      </c>
      <c r="F1706" t="s">
        <v>93</v>
      </c>
      <c r="G1706" s="33">
        <v>39</v>
      </c>
    </row>
    <row r="1707" spans="1:7">
      <c r="A1707" t="s">
        <v>22</v>
      </c>
      <c r="B1707" t="s">
        <v>190</v>
      </c>
      <c r="C1707" s="32">
        <v>447.69</v>
      </c>
      <c r="D1707" s="33">
        <v>64</v>
      </c>
      <c r="E1707" t="s">
        <v>134</v>
      </c>
      <c r="F1707" t="s">
        <v>90</v>
      </c>
      <c r="G1707" s="33">
        <v>38</v>
      </c>
    </row>
    <row r="1708" spans="1:7">
      <c r="A1708" t="s">
        <v>22</v>
      </c>
      <c r="B1708" t="s">
        <v>190</v>
      </c>
      <c r="C1708" s="32">
        <v>447.8</v>
      </c>
      <c r="D1708" s="33">
        <v>65</v>
      </c>
      <c r="E1708" t="s">
        <v>135</v>
      </c>
      <c r="F1708" t="s">
        <v>102</v>
      </c>
      <c r="G1708" s="33">
        <v>39</v>
      </c>
    </row>
    <row r="1709" spans="1:7">
      <c r="A1709" t="s">
        <v>22</v>
      </c>
      <c r="B1709" t="s">
        <v>190</v>
      </c>
      <c r="C1709" s="32">
        <v>447.9</v>
      </c>
      <c r="D1709" s="33">
        <v>66</v>
      </c>
      <c r="E1709" t="s">
        <v>136</v>
      </c>
      <c r="F1709" t="s">
        <v>93</v>
      </c>
      <c r="G1709" s="33">
        <v>38</v>
      </c>
    </row>
    <row r="1710" spans="1:7">
      <c r="A1710" t="s">
        <v>22</v>
      </c>
      <c r="B1710" t="s">
        <v>190</v>
      </c>
      <c r="C1710" s="32">
        <v>448.01</v>
      </c>
      <c r="D1710" s="33">
        <v>67</v>
      </c>
      <c r="E1710" t="s">
        <v>137</v>
      </c>
      <c r="F1710" t="s">
        <v>90</v>
      </c>
      <c r="G1710" s="33">
        <v>39</v>
      </c>
    </row>
    <row r="1711" spans="1:7">
      <c r="A1711" t="s">
        <v>22</v>
      </c>
      <c r="B1711" t="s">
        <v>190</v>
      </c>
      <c r="C1711" s="32">
        <v>448.11</v>
      </c>
      <c r="D1711" s="33">
        <v>68</v>
      </c>
      <c r="E1711" t="s">
        <v>138</v>
      </c>
      <c r="F1711" t="s">
        <v>90</v>
      </c>
      <c r="G1711" s="33">
        <v>38</v>
      </c>
    </row>
    <row r="1712" spans="1:7">
      <c r="A1712" t="s">
        <v>22</v>
      </c>
      <c r="B1712" t="s">
        <v>190</v>
      </c>
      <c r="C1712" s="32">
        <v>448.22</v>
      </c>
      <c r="D1712" s="33">
        <v>69</v>
      </c>
      <c r="E1712" t="s">
        <v>140</v>
      </c>
      <c r="F1712" t="s">
        <v>93</v>
      </c>
      <c r="G1712" s="33">
        <v>39</v>
      </c>
    </row>
    <row r="1713" spans="1:7">
      <c r="A1713" t="s">
        <v>22</v>
      </c>
      <c r="B1713" t="s">
        <v>190</v>
      </c>
      <c r="C1713" s="32">
        <v>448.33</v>
      </c>
      <c r="D1713" s="33">
        <v>70</v>
      </c>
      <c r="E1713" t="s">
        <v>141</v>
      </c>
      <c r="F1713" t="s">
        <v>90</v>
      </c>
      <c r="G1713" s="33">
        <v>38</v>
      </c>
    </row>
    <row r="1714" spans="1:7">
      <c r="A1714" t="s">
        <v>22</v>
      </c>
      <c r="B1714" t="s">
        <v>190</v>
      </c>
      <c r="C1714" s="32">
        <v>448.43</v>
      </c>
      <c r="D1714" s="33">
        <v>71</v>
      </c>
      <c r="E1714" t="s">
        <v>142</v>
      </c>
      <c r="F1714" t="s">
        <v>96</v>
      </c>
      <c r="G1714" s="33">
        <v>39</v>
      </c>
    </row>
    <row r="1715" spans="1:7">
      <c r="A1715" t="s">
        <v>22</v>
      </c>
      <c r="B1715" t="s">
        <v>190</v>
      </c>
      <c r="C1715" s="32">
        <v>448.54</v>
      </c>
      <c r="D1715" s="33">
        <v>72</v>
      </c>
      <c r="E1715" t="s">
        <v>143</v>
      </c>
      <c r="F1715" t="s">
        <v>90</v>
      </c>
      <c r="G1715" s="33">
        <v>38</v>
      </c>
    </row>
    <row r="1716" spans="1:7">
      <c r="A1716" t="s">
        <v>22</v>
      </c>
      <c r="B1716" t="s">
        <v>190</v>
      </c>
      <c r="C1716" s="32">
        <v>448.64</v>
      </c>
      <c r="D1716" s="33">
        <v>73</v>
      </c>
      <c r="E1716" t="s">
        <v>144</v>
      </c>
      <c r="F1716" t="s">
        <v>93</v>
      </c>
      <c r="G1716" s="33">
        <v>39</v>
      </c>
    </row>
    <row r="1717" spans="1:7">
      <c r="A1717" t="s">
        <v>22</v>
      </c>
      <c r="B1717" t="s">
        <v>190</v>
      </c>
      <c r="C1717" s="32">
        <v>448.75</v>
      </c>
      <c r="D1717" s="33">
        <v>74</v>
      </c>
      <c r="E1717" t="s">
        <v>145</v>
      </c>
      <c r="F1717" t="s">
        <v>90</v>
      </c>
      <c r="G1717" s="33">
        <v>38</v>
      </c>
    </row>
    <row r="1718" spans="1:7">
      <c r="A1718" t="s">
        <v>22</v>
      </c>
      <c r="B1718" t="s">
        <v>190</v>
      </c>
      <c r="C1718" s="32">
        <v>448.86</v>
      </c>
      <c r="D1718" s="33">
        <v>75</v>
      </c>
      <c r="E1718" t="s">
        <v>146</v>
      </c>
      <c r="F1718" t="s">
        <v>90</v>
      </c>
      <c r="G1718" s="33">
        <v>39</v>
      </c>
    </row>
    <row r="1719" spans="1:7">
      <c r="A1719" t="s">
        <v>22</v>
      </c>
      <c r="B1719" t="s">
        <v>190</v>
      </c>
      <c r="C1719" s="32">
        <v>448.96</v>
      </c>
      <c r="D1719" s="33">
        <v>76</v>
      </c>
      <c r="E1719" t="s">
        <v>148</v>
      </c>
      <c r="F1719" t="s">
        <v>93</v>
      </c>
      <c r="G1719" s="33">
        <v>38</v>
      </c>
    </row>
    <row r="1720" spans="1:7">
      <c r="A1720" t="s">
        <v>22</v>
      </c>
      <c r="B1720" t="s">
        <v>190</v>
      </c>
      <c r="C1720" s="32">
        <v>449.07</v>
      </c>
      <c r="D1720" s="33">
        <v>77</v>
      </c>
      <c r="E1720" t="s">
        <v>149</v>
      </c>
      <c r="F1720" t="s">
        <v>90</v>
      </c>
      <c r="G1720" s="33">
        <v>39</v>
      </c>
    </row>
    <row r="1721" spans="1:7">
      <c r="A1721" t="s">
        <v>22</v>
      </c>
      <c r="B1721" t="s">
        <v>190</v>
      </c>
      <c r="C1721" s="32">
        <v>449.18</v>
      </c>
      <c r="D1721" s="33">
        <v>78</v>
      </c>
      <c r="E1721" t="s">
        <v>150</v>
      </c>
      <c r="F1721" t="s">
        <v>102</v>
      </c>
      <c r="G1721" s="33">
        <v>38</v>
      </c>
    </row>
    <row r="1722" spans="1:7">
      <c r="A1722" t="s">
        <v>22</v>
      </c>
      <c r="B1722" t="s">
        <v>190</v>
      </c>
      <c r="C1722" s="32">
        <v>449.28</v>
      </c>
      <c r="D1722" s="33">
        <v>79</v>
      </c>
      <c r="E1722" t="s">
        <v>151</v>
      </c>
      <c r="F1722" t="s">
        <v>96</v>
      </c>
      <c r="G1722" s="33">
        <v>39</v>
      </c>
    </row>
    <row r="1723" spans="1:7">
      <c r="A1723" t="s">
        <v>22</v>
      </c>
      <c r="B1723" t="s">
        <v>190</v>
      </c>
      <c r="C1723" s="32">
        <v>449.39</v>
      </c>
      <c r="D1723" s="33">
        <v>80</v>
      </c>
      <c r="E1723" t="s">
        <v>152</v>
      </c>
      <c r="F1723" t="s">
        <v>90</v>
      </c>
      <c r="G1723" s="33">
        <v>38</v>
      </c>
    </row>
    <row r="1724" spans="1:7">
      <c r="A1724" t="s">
        <v>22</v>
      </c>
      <c r="B1724" t="s">
        <v>190</v>
      </c>
      <c r="C1724" s="32">
        <v>449.49</v>
      </c>
      <c r="D1724" s="33">
        <v>81</v>
      </c>
      <c r="E1724" t="s">
        <v>153</v>
      </c>
      <c r="F1724" t="s">
        <v>93</v>
      </c>
      <c r="G1724" s="33">
        <v>39</v>
      </c>
    </row>
    <row r="1725" spans="1:7">
      <c r="A1725" t="s">
        <v>22</v>
      </c>
      <c r="B1725" t="s">
        <v>190</v>
      </c>
      <c r="C1725" s="32">
        <v>449.6</v>
      </c>
      <c r="D1725" s="33">
        <v>82</v>
      </c>
      <c r="E1725" t="s">
        <v>120</v>
      </c>
      <c r="F1725" t="s">
        <v>90</v>
      </c>
      <c r="G1725" s="33">
        <v>38</v>
      </c>
    </row>
    <row r="1726" spans="1:7">
      <c r="A1726" t="s">
        <v>22</v>
      </c>
      <c r="B1726" t="s">
        <v>191</v>
      </c>
      <c r="C1726" s="32">
        <v>451</v>
      </c>
      <c r="D1726" s="33">
        <v>1</v>
      </c>
      <c r="E1726" t="s">
        <v>150</v>
      </c>
      <c r="F1726" t="s">
        <v>90</v>
      </c>
      <c r="G1726" s="33">
        <v>39</v>
      </c>
    </row>
    <row r="1727" spans="1:7">
      <c r="A1727" t="s">
        <v>22</v>
      </c>
      <c r="B1727" t="s">
        <v>191</v>
      </c>
      <c r="C1727" s="32">
        <v>451.1</v>
      </c>
      <c r="D1727" s="33">
        <v>2</v>
      </c>
      <c r="E1727" t="s">
        <v>151</v>
      </c>
      <c r="F1727" t="s">
        <v>93</v>
      </c>
      <c r="G1727" s="33">
        <v>38</v>
      </c>
    </row>
    <row r="1728" spans="1:7">
      <c r="A1728" t="s">
        <v>22</v>
      </c>
      <c r="B1728" t="s">
        <v>191</v>
      </c>
      <c r="C1728" s="32">
        <v>451.2</v>
      </c>
      <c r="D1728" s="33">
        <v>3</v>
      </c>
      <c r="E1728" t="s">
        <v>152</v>
      </c>
      <c r="F1728" t="s">
        <v>90</v>
      </c>
      <c r="G1728" s="33">
        <v>39</v>
      </c>
    </row>
    <row r="1729" spans="1:7">
      <c r="A1729" t="s">
        <v>22</v>
      </c>
      <c r="B1729" t="s">
        <v>191</v>
      </c>
      <c r="C1729" s="32">
        <v>451.31</v>
      </c>
      <c r="D1729" s="33">
        <v>4</v>
      </c>
      <c r="E1729" t="s">
        <v>153</v>
      </c>
      <c r="F1729" t="s">
        <v>96</v>
      </c>
      <c r="G1729" s="33">
        <v>38</v>
      </c>
    </row>
    <row r="1730" spans="1:7">
      <c r="A1730" t="s">
        <v>22</v>
      </c>
      <c r="B1730" t="s">
        <v>191</v>
      </c>
      <c r="C1730" s="32">
        <v>451.41</v>
      </c>
      <c r="D1730" s="33">
        <v>5</v>
      </c>
      <c r="E1730" t="s">
        <v>120</v>
      </c>
      <c r="F1730" t="s">
        <v>90</v>
      </c>
      <c r="G1730" s="33">
        <v>39</v>
      </c>
    </row>
    <row r="1731" spans="1:7">
      <c r="A1731" t="s">
        <v>22</v>
      </c>
      <c r="B1731" t="s">
        <v>191</v>
      </c>
      <c r="C1731" s="32">
        <v>451.51</v>
      </c>
      <c r="D1731" s="33">
        <v>6</v>
      </c>
      <c r="E1731" t="s">
        <v>115</v>
      </c>
      <c r="F1731" t="s">
        <v>93</v>
      </c>
      <c r="G1731" s="33">
        <v>38</v>
      </c>
    </row>
    <row r="1732" spans="1:7">
      <c r="A1732" t="s">
        <v>22</v>
      </c>
      <c r="B1732" t="s">
        <v>191</v>
      </c>
      <c r="C1732" s="32">
        <v>451.61</v>
      </c>
      <c r="D1732" s="33">
        <v>7</v>
      </c>
      <c r="E1732" t="s">
        <v>116</v>
      </c>
      <c r="F1732" t="s">
        <v>90</v>
      </c>
      <c r="G1732" s="33">
        <v>39</v>
      </c>
    </row>
    <row r="1733" spans="1:7">
      <c r="A1733" t="s">
        <v>22</v>
      </c>
      <c r="B1733" t="s">
        <v>191</v>
      </c>
      <c r="C1733" s="32">
        <v>451.72</v>
      </c>
      <c r="D1733" s="33">
        <v>8</v>
      </c>
      <c r="E1733" t="s">
        <v>117</v>
      </c>
      <c r="F1733" t="s">
        <v>90</v>
      </c>
      <c r="G1733" s="33">
        <v>38</v>
      </c>
    </row>
    <row r="1734" spans="1:7">
      <c r="A1734" t="s">
        <v>22</v>
      </c>
      <c r="B1734" t="s">
        <v>191</v>
      </c>
      <c r="C1734" s="32">
        <v>451.82</v>
      </c>
      <c r="D1734" s="33">
        <v>9</v>
      </c>
      <c r="E1734" t="s">
        <v>118</v>
      </c>
      <c r="F1734" t="s">
        <v>93</v>
      </c>
      <c r="G1734" s="33">
        <v>39</v>
      </c>
    </row>
    <row r="1735" spans="1:7">
      <c r="A1735" t="s">
        <v>22</v>
      </c>
      <c r="B1735" t="s">
        <v>191</v>
      </c>
      <c r="C1735" s="32">
        <v>451.92</v>
      </c>
      <c r="D1735" s="33">
        <v>10</v>
      </c>
      <c r="E1735" t="s">
        <v>122</v>
      </c>
      <c r="F1735" t="s">
        <v>90</v>
      </c>
      <c r="G1735" s="33">
        <v>38</v>
      </c>
    </row>
    <row r="1736" spans="1:7">
      <c r="A1736" t="s">
        <v>22</v>
      </c>
      <c r="B1736" t="s">
        <v>191</v>
      </c>
      <c r="C1736" s="32">
        <v>452.02</v>
      </c>
      <c r="D1736" s="33">
        <v>11</v>
      </c>
      <c r="E1736" t="s">
        <v>124</v>
      </c>
      <c r="F1736" t="s">
        <v>90</v>
      </c>
      <c r="G1736" s="33">
        <v>39</v>
      </c>
    </row>
    <row r="1737" spans="1:7">
      <c r="A1737" t="s">
        <v>22</v>
      </c>
      <c r="B1737" t="s">
        <v>191</v>
      </c>
      <c r="C1737" s="32">
        <v>452.13</v>
      </c>
      <c r="D1737" s="33">
        <v>12</v>
      </c>
      <c r="E1737" t="s">
        <v>125</v>
      </c>
      <c r="F1737" t="s">
        <v>96</v>
      </c>
      <c r="G1737" s="33">
        <v>38</v>
      </c>
    </row>
    <row r="1738" spans="1:7">
      <c r="A1738" t="s">
        <v>22</v>
      </c>
      <c r="B1738" t="s">
        <v>191</v>
      </c>
      <c r="C1738" s="32">
        <v>452.23</v>
      </c>
      <c r="D1738" s="33">
        <v>13</v>
      </c>
      <c r="E1738" t="s">
        <v>127</v>
      </c>
      <c r="F1738" t="s">
        <v>102</v>
      </c>
      <c r="G1738" s="33">
        <v>39</v>
      </c>
    </row>
    <row r="1739" spans="1:7">
      <c r="A1739" t="s">
        <v>22</v>
      </c>
      <c r="B1739" t="s">
        <v>191</v>
      </c>
      <c r="C1739" s="32">
        <v>452.33</v>
      </c>
      <c r="D1739" s="33">
        <v>14</v>
      </c>
      <c r="E1739" t="s">
        <v>128</v>
      </c>
      <c r="F1739" t="s">
        <v>93</v>
      </c>
      <c r="G1739" s="33">
        <v>38</v>
      </c>
    </row>
    <row r="1740" spans="1:7">
      <c r="A1740" t="s">
        <v>22</v>
      </c>
      <c r="B1740" t="s">
        <v>191</v>
      </c>
      <c r="C1740" s="32">
        <v>452.43</v>
      </c>
      <c r="D1740" s="33">
        <v>15</v>
      </c>
      <c r="E1740" t="s">
        <v>129</v>
      </c>
      <c r="F1740" t="s">
        <v>90</v>
      </c>
      <c r="G1740" s="33">
        <v>39</v>
      </c>
    </row>
    <row r="1741" spans="1:7">
      <c r="A1741" t="s">
        <v>22</v>
      </c>
      <c r="B1741" t="s">
        <v>191</v>
      </c>
      <c r="C1741" s="32">
        <v>452.54</v>
      </c>
      <c r="D1741" s="33">
        <v>16</v>
      </c>
      <c r="E1741" t="s">
        <v>130</v>
      </c>
      <c r="F1741" t="s">
        <v>90</v>
      </c>
      <c r="G1741" s="33">
        <v>38</v>
      </c>
    </row>
    <row r="1742" spans="1:7">
      <c r="A1742" t="s">
        <v>22</v>
      </c>
      <c r="B1742" t="s">
        <v>191</v>
      </c>
      <c r="C1742" s="32">
        <v>452.64</v>
      </c>
      <c r="D1742" s="33">
        <v>17</v>
      </c>
      <c r="E1742" t="s">
        <v>131</v>
      </c>
      <c r="F1742" t="s">
        <v>93</v>
      </c>
      <c r="G1742" s="33">
        <v>39</v>
      </c>
    </row>
    <row r="1743" spans="1:7">
      <c r="A1743" t="s">
        <v>22</v>
      </c>
      <c r="B1743" t="s">
        <v>191</v>
      </c>
      <c r="C1743" s="32">
        <v>452.74</v>
      </c>
      <c r="D1743" s="33">
        <v>18</v>
      </c>
      <c r="E1743" t="s">
        <v>133</v>
      </c>
      <c r="F1743" t="s">
        <v>90</v>
      </c>
      <c r="G1743" s="33">
        <v>39</v>
      </c>
    </row>
    <row r="1744" spans="1:7">
      <c r="A1744" t="s">
        <v>22</v>
      </c>
      <c r="B1744" t="s">
        <v>191</v>
      </c>
      <c r="C1744" s="32">
        <v>452.84</v>
      </c>
      <c r="D1744" s="33">
        <v>19</v>
      </c>
      <c r="E1744" t="s">
        <v>134</v>
      </c>
      <c r="F1744" t="s">
        <v>96</v>
      </c>
      <c r="G1744" s="33">
        <v>38</v>
      </c>
    </row>
    <row r="1745" spans="1:7">
      <c r="A1745" t="s">
        <v>22</v>
      </c>
      <c r="B1745" t="s">
        <v>191</v>
      </c>
      <c r="C1745" s="32">
        <v>452.95</v>
      </c>
      <c r="D1745" s="33">
        <v>20</v>
      </c>
      <c r="E1745" t="s">
        <v>135</v>
      </c>
      <c r="F1745" t="s">
        <v>90</v>
      </c>
      <c r="G1745" s="33">
        <v>39</v>
      </c>
    </row>
    <row r="1746" spans="1:7">
      <c r="A1746" t="s">
        <v>22</v>
      </c>
      <c r="B1746" t="s">
        <v>191</v>
      </c>
      <c r="C1746" s="32">
        <v>453.05</v>
      </c>
      <c r="D1746" s="33">
        <v>21</v>
      </c>
      <c r="E1746" t="s">
        <v>136</v>
      </c>
      <c r="F1746" t="s">
        <v>93</v>
      </c>
      <c r="G1746" s="33">
        <v>38</v>
      </c>
    </row>
    <row r="1747" spans="1:7">
      <c r="A1747" t="s">
        <v>22</v>
      </c>
      <c r="B1747" t="s">
        <v>191</v>
      </c>
      <c r="C1747" s="32">
        <v>453.15</v>
      </c>
      <c r="D1747" s="33">
        <v>22</v>
      </c>
      <c r="E1747" t="s">
        <v>137</v>
      </c>
      <c r="F1747" t="s">
        <v>90</v>
      </c>
      <c r="G1747" s="33">
        <v>39</v>
      </c>
    </row>
    <row r="1748" spans="1:7">
      <c r="A1748" t="s">
        <v>22</v>
      </c>
      <c r="B1748" t="s">
        <v>191</v>
      </c>
      <c r="C1748" s="32">
        <v>453.25</v>
      </c>
      <c r="D1748" s="33">
        <v>23</v>
      </c>
      <c r="E1748" t="s">
        <v>138</v>
      </c>
      <c r="F1748" t="s">
        <v>90</v>
      </c>
      <c r="G1748" s="33">
        <v>38</v>
      </c>
    </row>
    <row r="1749" spans="1:7">
      <c r="A1749" t="s">
        <v>22</v>
      </c>
      <c r="B1749" t="s">
        <v>191</v>
      </c>
      <c r="C1749" s="32">
        <v>453.35</v>
      </c>
      <c r="D1749" s="33">
        <v>24</v>
      </c>
      <c r="E1749" t="s">
        <v>140</v>
      </c>
      <c r="F1749" t="s">
        <v>93</v>
      </c>
      <c r="G1749" s="33">
        <v>39</v>
      </c>
    </row>
    <row r="1750" spans="1:7">
      <c r="A1750" t="s">
        <v>22</v>
      </c>
      <c r="B1750" t="s">
        <v>191</v>
      </c>
      <c r="C1750" s="32">
        <v>453.46</v>
      </c>
      <c r="D1750" s="33">
        <v>25</v>
      </c>
      <c r="E1750" t="s">
        <v>141</v>
      </c>
      <c r="F1750" t="s">
        <v>90</v>
      </c>
      <c r="G1750" s="33">
        <v>38</v>
      </c>
    </row>
    <row r="1751" spans="1:7">
      <c r="A1751" t="s">
        <v>22</v>
      </c>
      <c r="B1751" t="s">
        <v>191</v>
      </c>
      <c r="C1751" s="32">
        <v>453.56</v>
      </c>
      <c r="D1751" s="33">
        <v>26</v>
      </c>
      <c r="E1751" t="s">
        <v>142</v>
      </c>
      <c r="F1751" t="s">
        <v>102</v>
      </c>
      <c r="G1751" s="33">
        <v>39</v>
      </c>
    </row>
    <row r="1752" spans="1:7">
      <c r="A1752" t="s">
        <v>22</v>
      </c>
      <c r="B1752" t="s">
        <v>191</v>
      </c>
      <c r="C1752" s="32">
        <v>453.66</v>
      </c>
      <c r="D1752" s="33">
        <v>27</v>
      </c>
      <c r="E1752" t="s">
        <v>143</v>
      </c>
      <c r="F1752" t="s">
        <v>96</v>
      </c>
      <c r="G1752" s="33">
        <v>38</v>
      </c>
    </row>
    <row r="1753" spans="1:7">
      <c r="A1753" t="s">
        <v>22</v>
      </c>
      <c r="B1753" t="s">
        <v>191</v>
      </c>
      <c r="C1753" s="32">
        <v>453.76</v>
      </c>
      <c r="D1753" s="33">
        <v>28</v>
      </c>
      <c r="E1753" t="s">
        <v>144</v>
      </c>
      <c r="F1753" t="s">
        <v>90</v>
      </c>
      <c r="G1753" s="33">
        <v>39</v>
      </c>
    </row>
    <row r="1754" spans="1:7">
      <c r="A1754" t="s">
        <v>22</v>
      </c>
      <c r="B1754" t="s">
        <v>191</v>
      </c>
      <c r="C1754" s="32">
        <v>453.87</v>
      </c>
      <c r="D1754" s="33">
        <v>29</v>
      </c>
      <c r="E1754" t="s">
        <v>145</v>
      </c>
      <c r="F1754" t="s">
        <v>93</v>
      </c>
      <c r="G1754" s="33">
        <v>38</v>
      </c>
    </row>
    <row r="1755" spans="1:7">
      <c r="A1755" t="s">
        <v>22</v>
      </c>
      <c r="B1755" t="s">
        <v>191</v>
      </c>
      <c r="C1755" s="32">
        <v>453.97</v>
      </c>
      <c r="D1755" s="33">
        <v>30</v>
      </c>
      <c r="E1755" t="s">
        <v>146</v>
      </c>
      <c r="F1755" t="s">
        <v>90</v>
      </c>
      <c r="G1755" s="33">
        <v>39</v>
      </c>
    </row>
    <row r="1756" spans="1:7">
      <c r="A1756" t="s">
        <v>22</v>
      </c>
      <c r="B1756" t="s">
        <v>191</v>
      </c>
      <c r="C1756" s="32">
        <v>454.07</v>
      </c>
      <c r="D1756" s="33">
        <v>31</v>
      </c>
      <c r="E1756" t="s">
        <v>148</v>
      </c>
      <c r="F1756" t="s">
        <v>90</v>
      </c>
      <c r="G1756" s="33">
        <v>38</v>
      </c>
    </row>
    <row r="1757" spans="1:7">
      <c r="A1757" t="s">
        <v>22</v>
      </c>
      <c r="B1757" t="s">
        <v>191</v>
      </c>
      <c r="C1757" s="32">
        <v>454.17</v>
      </c>
      <c r="D1757" s="33">
        <v>32</v>
      </c>
      <c r="E1757" t="s">
        <v>149</v>
      </c>
      <c r="F1757" t="s">
        <v>93</v>
      </c>
      <c r="G1757" s="33">
        <v>39</v>
      </c>
    </row>
    <row r="1758" spans="1:7">
      <c r="A1758" t="s">
        <v>22</v>
      </c>
      <c r="B1758" t="s">
        <v>191</v>
      </c>
      <c r="C1758" s="32">
        <v>454.28</v>
      </c>
      <c r="D1758" s="33">
        <v>33</v>
      </c>
      <c r="E1758" t="s">
        <v>150</v>
      </c>
      <c r="F1758" t="s">
        <v>90</v>
      </c>
      <c r="G1758" s="33">
        <v>38</v>
      </c>
    </row>
    <row r="1759" spans="1:7">
      <c r="A1759" t="s">
        <v>22</v>
      </c>
      <c r="B1759" t="s">
        <v>191</v>
      </c>
      <c r="C1759" s="32">
        <v>454.38</v>
      </c>
      <c r="D1759" s="33">
        <v>34</v>
      </c>
      <c r="E1759" t="s">
        <v>151</v>
      </c>
      <c r="F1759" t="s">
        <v>96</v>
      </c>
      <c r="G1759" s="33">
        <v>39</v>
      </c>
    </row>
    <row r="1760" spans="1:7">
      <c r="A1760" t="s">
        <v>22</v>
      </c>
      <c r="B1760" t="s">
        <v>191</v>
      </c>
      <c r="C1760" s="32">
        <v>454.48</v>
      </c>
      <c r="D1760" s="33">
        <v>35</v>
      </c>
      <c r="E1760" t="s">
        <v>152</v>
      </c>
      <c r="F1760" t="s">
        <v>90</v>
      </c>
      <c r="G1760" s="33">
        <v>39</v>
      </c>
    </row>
    <row r="1761" spans="1:7">
      <c r="A1761" t="s">
        <v>22</v>
      </c>
      <c r="B1761" t="s">
        <v>191</v>
      </c>
      <c r="C1761" s="32">
        <v>454.58</v>
      </c>
      <c r="D1761" s="33">
        <v>36</v>
      </c>
      <c r="E1761" t="s">
        <v>153</v>
      </c>
      <c r="F1761" t="s">
        <v>93</v>
      </c>
      <c r="G1761" s="33">
        <v>38</v>
      </c>
    </row>
    <row r="1762" spans="1:7">
      <c r="A1762" t="s">
        <v>22</v>
      </c>
      <c r="B1762" t="s">
        <v>191</v>
      </c>
      <c r="C1762" s="32">
        <v>454.69</v>
      </c>
      <c r="D1762" s="33">
        <v>37</v>
      </c>
      <c r="E1762" t="s">
        <v>120</v>
      </c>
      <c r="F1762" t="s">
        <v>90</v>
      </c>
      <c r="G1762" s="33">
        <v>39</v>
      </c>
    </row>
    <row r="1763" spans="1:7">
      <c r="A1763" t="s">
        <v>22</v>
      </c>
      <c r="B1763" t="s">
        <v>191</v>
      </c>
      <c r="C1763" s="32">
        <v>454.79</v>
      </c>
      <c r="D1763" s="33">
        <v>38</v>
      </c>
      <c r="E1763" t="s">
        <v>115</v>
      </c>
      <c r="F1763" t="s">
        <v>90</v>
      </c>
      <c r="G1763" s="33">
        <v>38</v>
      </c>
    </row>
    <row r="1764" spans="1:7">
      <c r="A1764" t="s">
        <v>22</v>
      </c>
      <c r="B1764" t="s">
        <v>191</v>
      </c>
      <c r="C1764" s="32">
        <v>454.89</v>
      </c>
      <c r="D1764" s="33">
        <v>39</v>
      </c>
      <c r="E1764" t="s">
        <v>116</v>
      </c>
      <c r="F1764" t="s">
        <v>93</v>
      </c>
      <c r="G1764" s="33">
        <v>39</v>
      </c>
    </row>
    <row r="1765" spans="1:7">
      <c r="A1765" t="s">
        <v>22</v>
      </c>
      <c r="B1765" t="s">
        <v>191</v>
      </c>
      <c r="C1765" s="32">
        <v>454.99</v>
      </c>
      <c r="D1765" s="33">
        <v>40</v>
      </c>
      <c r="E1765" t="s">
        <v>117</v>
      </c>
      <c r="F1765" t="s">
        <v>102</v>
      </c>
      <c r="G1765" s="33">
        <v>38</v>
      </c>
    </row>
    <row r="1766" spans="1:7">
      <c r="A1766" t="s">
        <v>22</v>
      </c>
      <c r="B1766" t="s">
        <v>191</v>
      </c>
      <c r="C1766" s="32">
        <v>455.1</v>
      </c>
      <c r="D1766" s="33">
        <v>41</v>
      </c>
      <c r="E1766" t="s">
        <v>118</v>
      </c>
      <c r="F1766" t="s">
        <v>90</v>
      </c>
      <c r="G1766" s="33">
        <v>39</v>
      </c>
    </row>
    <row r="1767" spans="1:7">
      <c r="A1767" t="s">
        <v>22</v>
      </c>
      <c r="B1767" t="s">
        <v>191</v>
      </c>
      <c r="C1767" s="32">
        <v>455.2</v>
      </c>
      <c r="D1767" s="33">
        <v>42</v>
      </c>
      <c r="E1767" t="s">
        <v>122</v>
      </c>
      <c r="F1767" t="s">
        <v>96</v>
      </c>
      <c r="G1767" s="33">
        <v>38</v>
      </c>
    </row>
    <row r="1768" spans="1:7">
      <c r="A1768" t="s">
        <v>22</v>
      </c>
      <c r="B1768" t="s">
        <v>191</v>
      </c>
      <c r="C1768" s="32">
        <v>455.3</v>
      </c>
      <c r="D1768" s="33">
        <v>43</v>
      </c>
      <c r="E1768" t="s">
        <v>124</v>
      </c>
      <c r="F1768" t="s">
        <v>90</v>
      </c>
      <c r="G1768" s="33">
        <v>39</v>
      </c>
    </row>
    <row r="1769" spans="1:7">
      <c r="A1769" t="s">
        <v>22</v>
      </c>
      <c r="B1769" t="s">
        <v>191</v>
      </c>
      <c r="C1769" s="32">
        <v>455.4</v>
      </c>
      <c r="D1769" s="33">
        <v>44</v>
      </c>
      <c r="E1769" t="s">
        <v>125</v>
      </c>
      <c r="F1769" t="s">
        <v>93</v>
      </c>
      <c r="G1769" s="33">
        <v>38</v>
      </c>
    </row>
    <row r="1770" spans="1:7">
      <c r="A1770" t="s">
        <v>22</v>
      </c>
      <c r="B1770" t="s">
        <v>191</v>
      </c>
      <c r="C1770" s="32">
        <v>455.5</v>
      </c>
      <c r="D1770" s="33">
        <v>45</v>
      </c>
      <c r="E1770" t="s">
        <v>127</v>
      </c>
      <c r="F1770" t="s">
        <v>90</v>
      </c>
      <c r="G1770" s="33">
        <v>39</v>
      </c>
    </row>
    <row r="1771" spans="1:7">
      <c r="A1771" t="s">
        <v>22</v>
      </c>
      <c r="B1771" t="s">
        <v>191</v>
      </c>
      <c r="C1771" s="32">
        <v>455.61</v>
      </c>
      <c r="D1771" s="33">
        <v>46</v>
      </c>
      <c r="E1771" t="s">
        <v>128</v>
      </c>
      <c r="F1771" t="s">
        <v>90</v>
      </c>
      <c r="G1771" s="33">
        <v>38</v>
      </c>
    </row>
    <row r="1772" spans="1:7">
      <c r="A1772" t="s">
        <v>22</v>
      </c>
      <c r="B1772" t="s">
        <v>191</v>
      </c>
      <c r="C1772" s="32">
        <v>455.71</v>
      </c>
      <c r="D1772" s="33">
        <v>47</v>
      </c>
      <c r="E1772" t="s">
        <v>129</v>
      </c>
      <c r="F1772" t="s">
        <v>93</v>
      </c>
      <c r="G1772" s="33">
        <v>39</v>
      </c>
    </row>
    <row r="1773" spans="1:7">
      <c r="A1773" t="s">
        <v>22</v>
      </c>
      <c r="B1773" t="s">
        <v>191</v>
      </c>
      <c r="C1773" s="32">
        <v>455.81</v>
      </c>
      <c r="D1773" s="33">
        <v>48</v>
      </c>
      <c r="E1773" t="s">
        <v>130</v>
      </c>
      <c r="F1773" t="s">
        <v>90</v>
      </c>
      <c r="G1773" s="33">
        <v>38</v>
      </c>
    </row>
    <row r="1774" spans="1:7">
      <c r="A1774" t="s">
        <v>22</v>
      </c>
      <c r="B1774" t="s">
        <v>191</v>
      </c>
      <c r="C1774" s="32">
        <v>455.91</v>
      </c>
      <c r="D1774" s="33">
        <v>49</v>
      </c>
      <c r="E1774" t="s">
        <v>131</v>
      </c>
      <c r="F1774" t="s">
        <v>90</v>
      </c>
      <c r="G1774" s="33">
        <v>39</v>
      </c>
    </row>
    <row r="1775" spans="1:7">
      <c r="A1775" t="s">
        <v>22</v>
      </c>
      <c r="B1775" t="s">
        <v>191</v>
      </c>
      <c r="C1775" s="32">
        <v>456.02</v>
      </c>
      <c r="D1775" s="33">
        <v>50</v>
      </c>
      <c r="E1775" t="s">
        <v>133</v>
      </c>
      <c r="F1775" t="s">
        <v>93</v>
      </c>
      <c r="G1775" s="33">
        <v>38</v>
      </c>
    </row>
    <row r="1776" spans="1:7">
      <c r="A1776" t="s">
        <v>22</v>
      </c>
      <c r="B1776" t="s">
        <v>191</v>
      </c>
      <c r="C1776" s="32">
        <v>456.12</v>
      </c>
      <c r="D1776" s="33">
        <v>51</v>
      </c>
      <c r="E1776" t="s">
        <v>134</v>
      </c>
      <c r="F1776" t="s">
        <v>90</v>
      </c>
      <c r="G1776" s="33">
        <v>39</v>
      </c>
    </row>
    <row r="1777" spans="1:7">
      <c r="A1777" t="s">
        <v>22</v>
      </c>
      <c r="B1777" t="s">
        <v>191</v>
      </c>
      <c r="C1777" s="32">
        <v>456.22</v>
      </c>
      <c r="D1777" s="33">
        <v>52</v>
      </c>
      <c r="E1777" t="s">
        <v>135</v>
      </c>
      <c r="F1777" t="s">
        <v>96</v>
      </c>
      <c r="G1777" s="33">
        <v>39</v>
      </c>
    </row>
    <row r="1778" spans="1:7">
      <c r="A1778" t="s">
        <v>22</v>
      </c>
      <c r="B1778" t="s">
        <v>191</v>
      </c>
      <c r="C1778" s="32">
        <v>456.32</v>
      </c>
      <c r="D1778" s="33">
        <v>53</v>
      </c>
      <c r="E1778" t="s">
        <v>136</v>
      </c>
      <c r="F1778" t="s">
        <v>102</v>
      </c>
      <c r="G1778" s="33">
        <v>38</v>
      </c>
    </row>
    <row r="1779" spans="1:7">
      <c r="A1779" t="s">
        <v>22</v>
      </c>
      <c r="B1779" t="s">
        <v>191</v>
      </c>
      <c r="C1779" s="32">
        <v>456.43</v>
      </c>
      <c r="D1779" s="33">
        <v>54</v>
      </c>
      <c r="E1779" t="s">
        <v>137</v>
      </c>
      <c r="F1779" t="s">
        <v>93</v>
      </c>
      <c r="G1779" s="33">
        <v>39</v>
      </c>
    </row>
    <row r="1780" spans="1:7">
      <c r="A1780" t="s">
        <v>22</v>
      </c>
      <c r="B1780" t="s">
        <v>191</v>
      </c>
      <c r="C1780" s="32">
        <v>456.53</v>
      </c>
      <c r="D1780" s="33">
        <v>55</v>
      </c>
      <c r="E1780" t="s">
        <v>138</v>
      </c>
      <c r="F1780" t="s">
        <v>90</v>
      </c>
      <c r="G1780" s="33">
        <v>38</v>
      </c>
    </row>
    <row r="1781" spans="1:7">
      <c r="A1781" t="s">
        <v>22</v>
      </c>
      <c r="B1781" t="s">
        <v>191</v>
      </c>
      <c r="C1781" s="32">
        <v>456.63</v>
      </c>
      <c r="D1781" s="33">
        <v>56</v>
      </c>
      <c r="E1781" t="s">
        <v>140</v>
      </c>
      <c r="F1781" t="s">
        <v>90</v>
      </c>
      <c r="G1781" s="33">
        <v>39</v>
      </c>
    </row>
    <row r="1782" spans="1:7">
      <c r="A1782" t="s">
        <v>22</v>
      </c>
      <c r="B1782" t="s">
        <v>191</v>
      </c>
      <c r="C1782" s="32">
        <v>456.73</v>
      </c>
      <c r="D1782" s="33">
        <v>57</v>
      </c>
      <c r="E1782" t="s">
        <v>141</v>
      </c>
      <c r="F1782" t="s">
        <v>93</v>
      </c>
      <c r="G1782" s="33">
        <v>38</v>
      </c>
    </row>
    <row r="1783" spans="1:7">
      <c r="A1783" t="s">
        <v>22</v>
      </c>
      <c r="B1783" t="s">
        <v>191</v>
      </c>
      <c r="C1783" s="32">
        <v>456.84</v>
      </c>
      <c r="D1783" s="33">
        <v>58</v>
      </c>
      <c r="E1783" t="s">
        <v>142</v>
      </c>
      <c r="F1783" t="s">
        <v>90</v>
      </c>
      <c r="G1783" s="33">
        <v>39</v>
      </c>
    </row>
    <row r="1784" spans="1:7">
      <c r="A1784" t="s">
        <v>22</v>
      </c>
      <c r="B1784" t="s">
        <v>191</v>
      </c>
      <c r="C1784" s="32">
        <v>456.94</v>
      </c>
      <c r="D1784" s="33">
        <v>59</v>
      </c>
      <c r="E1784" t="s">
        <v>143</v>
      </c>
      <c r="F1784" t="s">
        <v>96</v>
      </c>
      <c r="G1784" s="33">
        <v>38</v>
      </c>
    </row>
    <row r="1785" spans="1:7">
      <c r="A1785" t="s">
        <v>22</v>
      </c>
      <c r="B1785" t="s">
        <v>191</v>
      </c>
      <c r="C1785" s="32">
        <v>457.04</v>
      </c>
      <c r="D1785" s="33">
        <v>60</v>
      </c>
      <c r="E1785" t="s">
        <v>144</v>
      </c>
      <c r="F1785" t="s">
        <v>90</v>
      </c>
      <c r="G1785" s="33">
        <v>39</v>
      </c>
    </row>
    <row r="1786" spans="1:7">
      <c r="A1786" t="s">
        <v>22</v>
      </c>
      <c r="B1786" t="s">
        <v>191</v>
      </c>
      <c r="C1786" s="32">
        <v>457.14</v>
      </c>
      <c r="D1786" s="33">
        <v>61</v>
      </c>
      <c r="E1786" t="s">
        <v>145</v>
      </c>
      <c r="F1786" t="s">
        <v>90</v>
      </c>
      <c r="G1786" s="33">
        <v>38</v>
      </c>
    </row>
    <row r="1787" spans="1:7">
      <c r="A1787" t="s">
        <v>22</v>
      </c>
      <c r="B1787" t="s">
        <v>191</v>
      </c>
      <c r="C1787" s="32">
        <v>457.25</v>
      </c>
      <c r="D1787" s="33">
        <v>62</v>
      </c>
      <c r="E1787" t="s">
        <v>146</v>
      </c>
      <c r="F1787" t="s">
        <v>93</v>
      </c>
      <c r="G1787" s="33">
        <v>39</v>
      </c>
    </row>
    <row r="1788" spans="1:7">
      <c r="A1788" t="s">
        <v>22</v>
      </c>
      <c r="B1788" t="s">
        <v>191</v>
      </c>
      <c r="C1788" s="32">
        <v>457.35</v>
      </c>
      <c r="D1788" s="33">
        <v>63</v>
      </c>
      <c r="E1788" t="s">
        <v>148</v>
      </c>
      <c r="F1788" t="s">
        <v>90</v>
      </c>
      <c r="G1788" s="33">
        <v>38</v>
      </c>
    </row>
    <row r="1789" spans="1:7">
      <c r="A1789" t="s">
        <v>22</v>
      </c>
      <c r="B1789" t="s">
        <v>191</v>
      </c>
      <c r="C1789" s="32">
        <v>457.45</v>
      </c>
      <c r="D1789" s="33">
        <v>64</v>
      </c>
      <c r="E1789" t="s">
        <v>149</v>
      </c>
      <c r="F1789" t="s">
        <v>90</v>
      </c>
      <c r="G1789" s="33">
        <v>39</v>
      </c>
    </row>
    <row r="1790" spans="1:7">
      <c r="A1790" t="s">
        <v>22</v>
      </c>
      <c r="B1790" t="s">
        <v>191</v>
      </c>
      <c r="C1790" s="32">
        <v>457.55</v>
      </c>
      <c r="D1790" s="33">
        <v>65</v>
      </c>
      <c r="E1790" t="s">
        <v>150</v>
      </c>
      <c r="F1790" t="s">
        <v>93</v>
      </c>
      <c r="G1790" s="33">
        <v>38</v>
      </c>
    </row>
    <row r="1791" spans="1:7">
      <c r="A1791" t="s">
        <v>22</v>
      </c>
      <c r="B1791" t="s">
        <v>191</v>
      </c>
      <c r="C1791" s="32">
        <v>457.65</v>
      </c>
      <c r="D1791" s="33">
        <v>66</v>
      </c>
      <c r="E1791" t="s">
        <v>151</v>
      </c>
      <c r="F1791" t="s">
        <v>102</v>
      </c>
      <c r="G1791" s="33">
        <v>39</v>
      </c>
    </row>
    <row r="1792" spans="1:7">
      <c r="A1792" t="s">
        <v>22</v>
      </c>
      <c r="B1792" t="s">
        <v>191</v>
      </c>
      <c r="C1792" s="32">
        <v>457.76</v>
      </c>
      <c r="D1792" s="33">
        <v>67</v>
      </c>
      <c r="E1792" t="s">
        <v>152</v>
      </c>
      <c r="F1792" t="s">
        <v>96</v>
      </c>
      <c r="G1792" s="33">
        <v>38</v>
      </c>
    </row>
    <row r="1793" spans="1:7">
      <c r="A1793" t="s">
        <v>22</v>
      </c>
      <c r="B1793" t="s">
        <v>191</v>
      </c>
      <c r="C1793" s="32">
        <v>457.86</v>
      </c>
      <c r="D1793" s="33">
        <v>68</v>
      </c>
      <c r="E1793" t="s">
        <v>153</v>
      </c>
      <c r="F1793" t="s">
        <v>90</v>
      </c>
      <c r="G1793" s="33">
        <v>39</v>
      </c>
    </row>
    <row r="1794" spans="1:7">
      <c r="A1794" t="s">
        <v>22</v>
      </c>
      <c r="B1794" t="s">
        <v>191</v>
      </c>
      <c r="C1794" s="32">
        <v>457.96</v>
      </c>
      <c r="D1794" s="33">
        <v>69</v>
      </c>
      <c r="E1794" t="s">
        <v>120</v>
      </c>
      <c r="F1794" t="s">
        <v>93</v>
      </c>
      <c r="G1794" s="33">
        <v>39</v>
      </c>
    </row>
    <row r="1795" spans="1:7">
      <c r="A1795" t="s">
        <v>22</v>
      </c>
      <c r="B1795" t="s">
        <v>191</v>
      </c>
      <c r="C1795" s="32">
        <v>458.06</v>
      </c>
      <c r="D1795" s="33">
        <v>70</v>
      </c>
      <c r="E1795" t="s">
        <v>115</v>
      </c>
      <c r="F1795" t="s">
        <v>90</v>
      </c>
      <c r="G1795" s="33">
        <v>38</v>
      </c>
    </row>
    <row r="1796" spans="1:7">
      <c r="A1796" t="s">
        <v>22</v>
      </c>
      <c r="B1796" t="s">
        <v>191</v>
      </c>
      <c r="C1796" s="32">
        <v>458.17</v>
      </c>
      <c r="D1796" s="33">
        <v>71</v>
      </c>
      <c r="E1796" t="s">
        <v>116</v>
      </c>
      <c r="F1796" t="s">
        <v>90</v>
      </c>
      <c r="G1796" s="33">
        <v>39</v>
      </c>
    </row>
    <row r="1797" spans="1:7">
      <c r="A1797" t="s">
        <v>22</v>
      </c>
      <c r="B1797" t="s">
        <v>191</v>
      </c>
      <c r="C1797" s="32">
        <v>458.27</v>
      </c>
      <c r="D1797" s="33">
        <v>72</v>
      </c>
      <c r="E1797" t="s">
        <v>117</v>
      </c>
      <c r="F1797" t="s">
        <v>93</v>
      </c>
      <c r="G1797" s="33">
        <v>38</v>
      </c>
    </row>
    <row r="1798" spans="1:7">
      <c r="A1798" t="s">
        <v>22</v>
      </c>
      <c r="B1798" t="s">
        <v>191</v>
      </c>
      <c r="C1798" s="32">
        <v>458.37</v>
      </c>
      <c r="D1798" s="33">
        <v>73</v>
      </c>
      <c r="E1798" t="s">
        <v>118</v>
      </c>
      <c r="F1798" t="s">
        <v>90</v>
      </c>
      <c r="G1798" s="33">
        <v>39</v>
      </c>
    </row>
    <row r="1799" spans="1:7">
      <c r="A1799" t="s">
        <v>22</v>
      </c>
      <c r="B1799" t="s">
        <v>191</v>
      </c>
      <c r="C1799" s="32">
        <v>458.47</v>
      </c>
      <c r="D1799" s="33">
        <v>74</v>
      </c>
      <c r="E1799" t="s">
        <v>122</v>
      </c>
      <c r="F1799" t="s">
        <v>96</v>
      </c>
      <c r="G1799" s="33">
        <v>38</v>
      </c>
    </row>
    <row r="1800" spans="1:7">
      <c r="A1800" t="s">
        <v>22</v>
      </c>
      <c r="B1800" t="s">
        <v>191</v>
      </c>
      <c r="C1800" s="32">
        <v>458.58</v>
      </c>
      <c r="D1800" s="33">
        <v>75</v>
      </c>
      <c r="E1800" t="s">
        <v>124</v>
      </c>
      <c r="F1800" t="s">
        <v>90</v>
      </c>
      <c r="G1800" s="33">
        <v>39</v>
      </c>
    </row>
    <row r="1801" spans="1:7">
      <c r="A1801" t="s">
        <v>22</v>
      </c>
      <c r="B1801" t="s">
        <v>191</v>
      </c>
      <c r="C1801" s="32">
        <v>458.68</v>
      </c>
      <c r="D1801" s="33">
        <v>76</v>
      </c>
      <c r="E1801" t="s">
        <v>125</v>
      </c>
      <c r="F1801" t="s">
        <v>90</v>
      </c>
      <c r="G1801" s="33">
        <v>38</v>
      </c>
    </row>
    <row r="1802" spans="1:7">
      <c r="A1802" t="s">
        <v>22</v>
      </c>
      <c r="B1802" t="s">
        <v>191</v>
      </c>
      <c r="C1802" s="32">
        <v>458.78</v>
      </c>
      <c r="D1802" s="33">
        <v>77</v>
      </c>
      <c r="E1802" t="s">
        <v>127</v>
      </c>
      <c r="F1802" t="s">
        <v>93</v>
      </c>
      <c r="G1802" s="33">
        <v>39</v>
      </c>
    </row>
    <row r="1803" spans="1:7">
      <c r="A1803" t="s">
        <v>22</v>
      </c>
      <c r="B1803" t="s">
        <v>191</v>
      </c>
      <c r="C1803" s="32">
        <v>458.88</v>
      </c>
      <c r="D1803" s="33">
        <v>78</v>
      </c>
      <c r="E1803" t="s">
        <v>128</v>
      </c>
      <c r="F1803" t="s">
        <v>90</v>
      </c>
      <c r="G1803" s="33">
        <v>38</v>
      </c>
    </row>
    <row r="1804" spans="1:7">
      <c r="A1804" t="s">
        <v>22</v>
      </c>
      <c r="B1804" t="s">
        <v>191</v>
      </c>
      <c r="C1804" s="32">
        <v>458.99</v>
      </c>
      <c r="D1804" s="33">
        <v>79</v>
      </c>
      <c r="E1804" t="s">
        <v>129</v>
      </c>
      <c r="F1804" t="s">
        <v>102</v>
      </c>
      <c r="G1804" s="33">
        <v>39</v>
      </c>
    </row>
    <row r="1805" spans="1:7">
      <c r="A1805" t="s">
        <v>22</v>
      </c>
      <c r="B1805" t="s">
        <v>191</v>
      </c>
      <c r="C1805" s="32">
        <v>459.09</v>
      </c>
      <c r="D1805" s="33">
        <v>80</v>
      </c>
      <c r="E1805" t="s">
        <v>130</v>
      </c>
      <c r="F1805" t="s">
        <v>93</v>
      </c>
      <c r="G1805" s="33">
        <v>38</v>
      </c>
    </row>
    <row r="1806" spans="1:7">
      <c r="A1806" t="s">
        <v>22</v>
      </c>
      <c r="B1806" t="s">
        <v>191</v>
      </c>
      <c r="C1806" s="32">
        <v>459.19</v>
      </c>
      <c r="D1806" s="33">
        <v>81</v>
      </c>
      <c r="E1806" t="s">
        <v>131</v>
      </c>
      <c r="F1806" t="s">
        <v>90</v>
      </c>
      <c r="G1806" s="33">
        <v>39</v>
      </c>
    </row>
    <row r="1807" spans="1:7">
      <c r="A1807" t="s">
        <v>22</v>
      </c>
      <c r="B1807" t="s">
        <v>191</v>
      </c>
      <c r="C1807" s="32">
        <v>459.29</v>
      </c>
      <c r="D1807" s="33">
        <v>82</v>
      </c>
      <c r="E1807" t="s">
        <v>133</v>
      </c>
      <c r="F1807" t="s">
        <v>96</v>
      </c>
      <c r="G1807" s="33">
        <v>38</v>
      </c>
    </row>
    <row r="1808" spans="1:7">
      <c r="A1808" t="s">
        <v>22</v>
      </c>
      <c r="B1808" t="s">
        <v>191</v>
      </c>
      <c r="C1808" s="32">
        <v>459.4</v>
      </c>
      <c r="D1808" s="33">
        <v>83</v>
      </c>
      <c r="E1808" t="s">
        <v>134</v>
      </c>
      <c r="F1808" t="s">
        <v>90</v>
      </c>
      <c r="G1808" s="33">
        <v>39</v>
      </c>
    </row>
    <row r="1809" spans="1:7">
      <c r="A1809" t="s">
        <v>22</v>
      </c>
      <c r="B1809" t="s">
        <v>191</v>
      </c>
      <c r="C1809" s="32">
        <v>459.5</v>
      </c>
      <c r="D1809" s="33">
        <v>84</v>
      </c>
      <c r="E1809" t="s">
        <v>135</v>
      </c>
      <c r="F1809" t="s">
        <v>93</v>
      </c>
      <c r="G1809" s="33">
        <v>38</v>
      </c>
    </row>
    <row r="1810" spans="1:7">
      <c r="A1810" t="s">
        <v>22</v>
      </c>
      <c r="B1810" t="s">
        <v>191</v>
      </c>
      <c r="C1810" s="32">
        <v>459.6</v>
      </c>
      <c r="D1810" s="33">
        <v>85</v>
      </c>
      <c r="E1810" t="s">
        <v>136</v>
      </c>
      <c r="F1810" t="s">
        <v>90</v>
      </c>
      <c r="G1810" s="33">
        <v>39</v>
      </c>
    </row>
    <row r="1811" spans="1:7">
      <c r="A1811" t="s">
        <v>22</v>
      </c>
      <c r="B1811" t="s">
        <v>192</v>
      </c>
      <c r="C1811" s="32">
        <v>461</v>
      </c>
      <c r="D1811" s="33">
        <v>1</v>
      </c>
      <c r="E1811" t="s">
        <v>131</v>
      </c>
      <c r="F1811" t="s">
        <v>90</v>
      </c>
      <c r="G1811" s="33">
        <v>40</v>
      </c>
    </row>
    <row r="1812" spans="1:7">
      <c r="A1812" t="s">
        <v>22</v>
      </c>
      <c r="B1812" t="s">
        <v>192</v>
      </c>
      <c r="C1812" s="32">
        <v>461.1</v>
      </c>
      <c r="D1812" s="33">
        <v>2</v>
      </c>
      <c r="E1812" t="s">
        <v>133</v>
      </c>
      <c r="F1812" t="s">
        <v>93</v>
      </c>
      <c r="G1812" s="33">
        <v>39</v>
      </c>
    </row>
    <row r="1813" spans="1:7">
      <c r="A1813" t="s">
        <v>22</v>
      </c>
      <c r="B1813" t="s">
        <v>192</v>
      </c>
      <c r="C1813" s="32">
        <v>461.2</v>
      </c>
      <c r="D1813" s="33">
        <v>3</v>
      </c>
      <c r="E1813" t="s">
        <v>134</v>
      </c>
      <c r="F1813" t="s">
        <v>90</v>
      </c>
      <c r="G1813" s="33">
        <v>40</v>
      </c>
    </row>
    <row r="1814" spans="1:7">
      <c r="A1814" t="s">
        <v>22</v>
      </c>
      <c r="B1814" t="s">
        <v>192</v>
      </c>
      <c r="C1814" s="32">
        <v>461.3</v>
      </c>
      <c r="D1814" s="33">
        <v>4</v>
      </c>
      <c r="E1814" t="s">
        <v>135</v>
      </c>
      <c r="F1814" t="s">
        <v>96</v>
      </c>
      <c r="G1814" s="33">
        <v>39</v>
      </c>
    </row>
    <row r="1815" spans="1:7">
      <c r="A1815" t="s">
        <v>22</v>
      </c>
      <c r="B1815" t="s">
        <v>192</v>
      </c>
      <c r="C1815" s="32">
        <v>461.4</v>
      </c>
      <c r="D1815" s="33">
        <v>5</v>
      </c>
      <c r="E1815" t="s">
        <v>136</v>
      </c>
      <c r="F1815" t="s">
        <v>90</v>
      </c>
      <c r="G1815" s="33">
        <v>40</v>
      </c>
    </row>
    <row r="1816" spans="1:7">
      <c r="A1816" t="s">
        <v>22</v>
      </c>
      <c r="B1816" t="s">
        <v>192</v>
      </c>
      <c r="C1816" s="32">
        <v>461.5</v>
      </c>
      <c r="D1816" s="33">
        <v>6</v>
      </c>
      <c r="E1816" t="s">
        <v>137</v>
      </c>
      <c r="F1816" t="s">
        <v>93</v>
      </c>
      <c r="G1816" s="33">
        <v>39</v>
      </c>
    </row>
    <row r="1817" spans="1:7">
      <c r="A1817" t="s">
        <v>22</v>
      </c>
      <c r="B1817" t="s">
        <v>192</v>
      </c>
      <c r="C1817" s="32">
        <v>461.6</v>
      </c>
      <c r="D1817" s="33">
        <v>7</v>
      </c>
      <c r="E1817" t="s">
        <v>138</v>
      </c>
      <c r="F1817" t="s">
        <v>90</v>
      </c>
      <c r="G1817" s="33">
        <v>40</v>
      </c>
    </row>
    <row r="1818" spans="1:7">
      <c r="A1818" t="s">
        <v>22</v>
      </c>
      <c r="B1818" t="s">
        <v>192</v>
      </c>
      <c r="C1818" s="32">
        <v>461.7</v>
      </c>
      <c r="D1818" s="33">
        <v>8</v>
      </c>
      <c r="E1818" t="s">
        <v>140</v>
      </c>
      <c r="F1818" t="s">
        <v>90</v>
      </c>
      <c r="G1818" s="33">
        <v>40</v>
      </c>
    </row>
    <row r="1819" spans="1:7">
      <c r="A1819" t="s">
        <v>22</v>
      </c>
      <c r="B1819" t="s">
        <v>192</v>
      </c>
      <c r="C1819" s="32">
        <v>461.8</v>
      </c>
      <c r="D1819" s="33">
        <v>9</v>
      </c>
      <c r="E1819" t="s">
        <v>141</v>
      </c>
      <c r="F1819" t="s">
        <v>93</v>
      </c>
      <c r="G1819" s="33">
        <v>39</v>
      </c>
    </row>
    <row r="1820" spans="1:7">
      <c r="A1820" t="s">
        <v>22</v>
      </c>
      <c r="B1820" t="s">
        <v>192</v>
      </c>
      <c r="C1820" s="32">
        <v>461.9</v>
      </c>
      <c r="D1820" s="33">
        <v>10</v>
      </c>
      <c r="E1820" t="s">
        <v>142</v>
      </c>
      <c r="F1820" t="s">
        <v>90</v>
      </c>
      <c r="G1820" s="33">
        <v>40</v>
      </c>
    </row>
    <row r="1821" spans="1:7">
      <c r="A1821" t="s">
        <v>22</v>
      </c>
      <c r="B1821" t="s">
        <v>192</v>
      </c>
      <c r="C1821" s="32">
        <v>462</v>
      </c>
      <c r="D1821" s="33">
        <v>11</v>
      </c>
      <c r="E1821" t="s">
        <v>143</v>
      </c>
      <c r="F1821" t="s">
        <v>90</v>
      </c>
      <c r="G1821" s="33">
        <v>39</v>
      </c>
    </row>
    <row r="1822" spans="1:7">
      <c r="A1822" t="s">
        <v>22</v>
      </c>
      <c r="B1822" t="s">
        <v>192</v>
      </c>
      <c r="C1822" s="32">
        <v>462.1</v>
      </c>
      <c r="D1822" s="33">
        <v>12</v>
      </c>
      <c r="E1822" t="s">
        <v>144</v>
      </c>
      <c r="F1822" t="s">
        <v>96</v>
      </c>
      <c r="G1822" s="33">
        <v>40</v>
      </c>
    </row>
    <row r="1823" spans="1:7">
      <c r="A1823" t="s">
        <v>22</v>
      </c>
      <c r="B1823" t="s">
        <v>192</v>
      </c>
      <c r="C1823" s="32">
        <v>462.2</v>
      </c>
      <c r="D1823" s="33">
        <v>13</v>
      </c>
      <c r="E1823" t="s">
        <v>145</v>
      </c>
      <c r="F1823" t="s">
        <v>102</v>
      </c>
      <c r="G1823" s="33">
        <v>39</v>
      </c>
    </row>
    <row r="1824" spans="1:7">
      <c r="A1824" t="s">
        <v>22</v>
      </c>
      <c r="B1824" t="s">
        <v>192</v>
      </c>
      <c r="C1824" s="32">
        <v>462.3</v>
      </c>
      <c r="D1824" s="33">
        <v>14</v>
      </c>
      <c r="E1824" t="s">
        <v>146</v>
      </c>
      <c r="F1824" t="s">
        <v>93</v>
      </c>
      <c r="G1824" s="33">
        <v>40</v>
      </c>
    </row>
    <row r="1825" spans="1:7">
      <c r="A1825" t="s">
        <v>22</v>
      </c>
      <c r="B1825" t="s">
        <v>192</v>
      </c>
      <c r="C1825" s="32">
        <v>462.4</v>
      </c>
      <c r="D1825" s="33">
        <v>15</v>
      </c>
      <c r="E1825" t="s">
        <v>148</v>
      </c>
      <c r="F1825" t="s">
        <v>90</v>
      </c>
      <c r="G1825" s="33">
        <v>39</v>
      </c>
    </row>
    <row r="1826" spans="1:7">
      <c r="A1826" t="s">
        <v>22</v>
      </c>
      <c r="B1826" t="s">
        <v>192</v>
      </c>
      <c r="C1826" s="32">
        <v>462.5</v>
      </c>
      <c r="D1826" s="33">
        <v>16</v>
      </c>
      <c r="E1826" t="s">
        <v>149</v>
      </c>
      <c r="F1826" t="s">
        <v>90</v>
      </c>
      <c r="G1826" s="33">
        <v>40</v>
      </c>
    </row>
    <row r="1827" spans="1:7">
      <c r="A1827" t="s">
        <v>22</v>
      </c>
      <c r="B1827" t="s">
        <v>192</v>
      </c>
      <c r="C1827" s="32">
        <v>462.6</v>
      </c>
      <c r="D1827" s="33">
        <v>17</v>
      </c>
      <c r="E1827" t="s">
        <v>150</v>
      </c>
      <c r="F1827" t="s">
        <v>93</v>
      </c>
      <c r="G1827" s="33">
        <v>40</v>
      </c>
    </row>
    <row r="1828" spans="1:7">
      <c r="A1828" t="s">
        <v>22</v>
      </c>
      <c r="B1828" t="s">
        <v>192</v>
      </c>
      <c r="C1828" s="32">
        <v>462.7</v>
      </c>
      <c r="D1828" s="33">
        <v>18</v>
      </c>
      <c r="E1828" t="s">
        <v>151</v>
      </c>
      <c r="F1828" t="s">
        <v>90</v>
      </c>
      <c r="G1828" s="33">
        <v>39</v>
      </c>
    </row>
    <row r="1829" spans="1:7">
      <c r="A1829" t="s">
        <v>22</v>
      </c>
      <c r="B1829" t="s">
        <v>192</v>
      </c>
      <c r="C1829" s="32">
        <v>462.8</v>
      </c>
      <c r="D1829" s="33">
        <v>19</v>
      </c>
      <c r="E1829" t="s">
        <v>152</v>
      </c>
      <c r="F1829" t="s">
        <v>96</v>
      </c>
      <c r="G1829" s="33">
        <v>40</v>
      </c>
    </row>
    <row r="1830" spans="1:7">
      <c r="A1830" t="s">
        <v>22</v>
      </c>
      <c r="B1830" t="s">
        <v>192</v>
      </c>
      <c r="C1830" s="32">
        <v>462.9</v>
      </c>
      <c r="D1830" s="33">
        <v>20</v>
      </c>
      <c r="E1830" t="s">
        <v>153</v>
      </c>
      <c r="F1830" t="s">
        <v>90</v>
      </c>
      <c r="G1830" s="33">
        <v>39</v>
      </c>
    </row>
    <row r="1831" spans="1:7">
      <c r="A1831" t="s">
        <v>22</v>
      </c>
      <c r="B1831" t="s">
        <v>192</v>
      </c>
      <c r="C1831" s="32">
        <v>463</v>
      </c>
      <c r="D1831" s="33">
        <v>21</v>
      </c>
      <c r="E1831" t="s">
        <v>120</v>
      </c>
      <c r="F1831" t="s">
        <v>93</v>
      </c>
      <c r="G1831" s="33">
        <v>40</v>
      </c>
    </row>
    <row r="1832" spans="1:7">
      <c r="A1832" t="s">
        <v>22</v>
      </c>
      <c r="B1832" t="s">
        <v>192</v>
      </c>
      <c r="C1832" s="32">
        <v>463.1</v>
      </c>
      <c r="D1832" s="33">
        <v>22</v>
      </c>
      <c r="E1832" t="s">
        <v>115</v>
      </c>
      <c r="F1832" t="s">
        <v>90</v>
      </c>
      <c r="G1832" s="33">
        <v>39</v>
      </c>
    </row>
    <row r="1833" spans="1:7">
      <c r="A1833" t="s">
        <v>22</v>
      </c>
      <c r="B1833" t="s">
        <v>192</v>
      </c>
      <c r="C1833" s="32">
        <v>463.2</v>
      </c>
      <c r="D1833" s="33">
        <v>23</v>
      </c>
      <c r="E1833" t="s">
        <v>116</v>
      </c>
      <c r="F1833" t="s">
        <v>90</v>
      </c>
      <c r="G1833" s="33">
        <v>40</v>
      </c>
    </row>
    <row r="1834" spans="1:7">
      <c r="A1834" t="s">
        <v>22</v>
      </c>
      <c r="B1834" t="s">
        <v>192</v>
      </c>
      <c r="C1834" s="32">
        <v>463.3</v>
      </c>
      <c r="D1834" s="33">
        <v>24</v>
      </c>
      <c r="E1834" t="s">
        <v>117</v>
      </c>
      <c r="F1834" t="s">
        <v>93</v>
      </c>
      <c r="G1834" s="33">
        <v>40</v>
      </c>
    </row>
    <row r="1835" spans="1:7">
      <c r="A1835" t="s">
        <v>22</v>
      </c>
      <c r="B1835" t="s">
        <v>192</v>
      </c>
      <c r="C1835" s="32">
        <v>463.4</v>
      </c>
      <c r="D1835" s="33">
        <v>25</v>
      </c>
      <c r="E1835" t="s">
        <v>118</v>
      </c>
      <c r="F1835" t="s">
        <v>90</v>
      </c>
      <c r="G1835" s="33">
        <v>39</v>
      </c>
    </row>
    <row r="1836" spans="1:7">
      <c r="A1836" t="s">
        <v>22</v>
      </c>
      <c r="B1836" t="s">
        <v>192</v>
      </c>
      <c r="C1836" s="32">
        <v>463.5</v>
      </c>
      <c r="D1836" s="33">
        <v>26</v>
      </c>
      <c r="E1836" t="s">
        <v>122</v>
      </c>
      <c r="F1836" t="s">
        <v>102</v>
      </c>
      <c r="G1836" s="33">
        <v>40</v>
      </c>
    </row>
    <row r="1837" spans="1:7">
      <c r="A1837" t="s">
        <v>22</v>
      </c>
      <c r="B1837" t="s">
        <v>192</v>
      </c>
      <c r="C1837" s="32">
        <v>463.6</v>
      </c>
      <c r="D1837" s="33">
        <v>27</v>
      </c>
      <c r="E1837" t="s">
        <v>124</v>
      </c>
      <c r="F1837" t="s">
        <v>93</v>
      </c>
      <c r="G1837" s="33">
        <v>39</v>
      </c>
    </row>
    <row r="1838" spans="1:7">
      <c r="A1838" t="s">
        <v>22</v>
      </c>
      <c r="B1838" t="s">
        <v>192</v>
      </c>
      <c r="C1838" s="32">
        <v>463.7</v>
      </c>
      <c r="D1838" s="33">
        <v>28</v>
      </c>
      <c r="E1838" t="s">
        <v>125</v>
      </c>
      <c r="F1838" t="s">
        <v>90</v>
      </c>
      <c r="G1838" s="33">
        <v>40</v>
      </c>
    </row>
    <row r="1839" spans="1:7">
      <c r="A1839" t="s">
        <v>22</v>
      </c>
      <c r="B1839" t="s">
        <v>192</v>
      </c>
      <c r="C1839" s="32">
        <v>463.8</v>
      </c>
      <c r="D1839" s="33">
        <v>29</v>
      </c>
      <c r="E1839" t="s">
        <v>127</v>
      </c>
      <c r="F1839" t="s">
        <v>96</v>
      </c>
      <c r="G1839" s="33">
        <v>39</v>
      </c>
    </row>
    <row r="1840" spans="1:7">
      <c r="A1840" t="s">
        <v>22</v>
      </c>
      <c r="B1840" t="s">
        <v>192</v>
      </c>
      <c r="C1840" s="32">
        <v>463.9</v>
      </c>
      <c r="D1840" s="33">
        <v>30</v>
      </c>
      <c r="E1840" t="s">
        <v>128</v>
      </c>
      <c r="F1840" t="s">
        <v>90</v>
      </c>
      <c r="G1840" s="33">
        <v>40</v>
      </c>
    </row>
    <row r="1841" spans="1:7">
      <c r="A1841" t="s">
        <v>22</v>
      </c>
      <c r="B1841" t="s">
        <v>192</v>
      </c>
      <c r="C1841" s="32">
        <v>464</v>
      </c>
      <c r="D1841" s="33">
        <v>31</v>
      </c>
      <c r="E1841" t="s">
        <v>129</v>
      </c>
      <c r="F1841" t="s">
        <v>93</v>
      </c>
      <c r="G1841" s="33">
        <v>39</v>
      </c>
    </row>
    <row r="1842" spans="1:7">
      <c r="A1842" t="s">
        <v>22</v>
      </c>
      <c r="B1842" t="s">
        <v>192</v>
      </c>
      <c r="C1842" s="32">
        <v>464.1</v>
      </c>
      <c r="D1842" s="33">
        <v>32</v>
      </c>
      <c r="E1842" t="s">
        <v>130</v>
      </c>
      <c r="F1842" t="s">
        <v>90</v>
      </c>
      <c r="G1842" s="33">
        <v>40</v>
      </c>
    </row>
    <row r="1843" spans="1:7">
      <c r="A1843" t="s">
        <v>22</v>
      </c>
      <c r="B1843" t="s">
        <v>192</v>
      </c>
      <c r="C1843" s="32">
        <v>464.2</v>
      </c>
      <c r="D1843" s="33">
        <v>33</v>
      </c>
      <c r="E1843" t="s">
        <v>131</v>
      </c>
      <c r="F1843" t="s">
        <v>90</v>
      </c>
      <c r="G1843" s="33">
        <v>40</v>
      </c>
    </row>
    <row r="1844" spans="1:7">
      <c r="A1844" t="s">
        <v>22</v>
      </c>
      <c r="B1844" t="s">
        <v>192</v>
      </c>
      <c r="C1844" s="32">
        <v>464.3</v>
      </c>
      <c r="D1844" s="33">
        <v>34</v>
      </c>
      <c r="E1844" t="s">
        <v>133</v>
      </c>
      <c r="F1844" t="s">
        <v>93</v>
      </c>
      <c r="G1844" s="33">
        <v>39</v>
      </c>
    </row>
    <row r="1845" spans="1:7">
      <c r="A1845" t="s">
        <v>22</v>
      </c>
      <c r="B1845" t="s">
        <v>192</v>
      </c>
      <c r="C1845" s="32">
        <v>464.4</v>
      </c>
      <c r="D1845" s="33">
        <v>35</v>
      </c>
      <c r="E1845" t="s">
        <v>134</v>
      </c>
      <c r="F1845" t="s">
        <v>90</v>
      </c>
      <c r="G1845" s="33">
        <v>40</v>
      </c>
    </row>
    <row r="1846" spans="1:7">
      <c r="A1846" t="s">
        <v>22</v>
      </c>
      <c r="B1846" t="s">
        <v>192</v>
      </c>
      <c r="C1846" s="32">
        <v>464.5</v>
      </c>
      <c r="D1846" s="33">
        <v>36</v>
      </c>
      <c r="E1846" t="s">
        <v>135</v>
      </c>
      <c r="F1846" t="s">
        <v>96</v>
      </c>
      <c r="G1846" s="33">
        <v>39</v>
      </c>
    </row>
    <row r="1847" spans="1:7">
      <c r="A1847" t="s">
        <v>22</v>
      </c>
      <c r="B1847" t="s">
        <v>192</v>
      </c>
      <c r="C1847" s="32">
        <v>464.6</v>
      </c>
      <c r="D1847" s="33">
        <v>37</v>
      </c>
      <c r="E1847" t="s">
        <v>136</v>
      </c>
      <c r="F1847" t="s">
        <v>90</v>
      </c>
      <c r="G1847" s="33">
        <v>40</v>
      </c>
    </row>
    <row r="1848" spans="1:7">
      <c r="A1848" t="s">
        <v>22</v>
      </c>
      <c r="B1848" t="s">
        <v>192</v>
      </c>
      <c r="C1848" s="32">
        <v>464.7</v>
      </c>
      <c r="D1848" s="33">
        <v>38</v>
      </c>
      <c r="E1848" t="s">
        <v>137</v>
      </c>
      <c r="F1848" t="s">
        <v>90</v>
      </c>
      <c r="G1848" s="33">
        <v>39</v>
      </c>
    </row>
    <row r="1849" spans="1:7">
      <c r="A1849" t="s">
        <v>22</v>
      </c>
      <c r="B1849" t="s">
        <v>192</v>
      </c>
      <c r="C1849" s="32">
        <v>464.8</v>
      </c>
      <c r="D1849" s="33">
        <v>39</v>
      </c>
      <c r="E1849" t="s">
        <v>138</v>
      </c>
      <c r="F1849" t="s">
        <v>93</v>
      </c>
      <c r="G1849" s="33">
        <v>40</v>
      </c>
    </row>
    <row r="1850" spans="1:7">
      <c r="A1850" t="s">
        <v>22</v>
      </c>
      <c r="B1850" t="s">
        <v>192</v>
      </c>
      <c r="C1850" s="32">
        <v>464.9</v>
      </c>
      <c r="D1850" s="33">
        <v>40</v>
      </c>
      <c r="E1850" t="s">
        <v>140</v>
      </c>
      <c r="F1850" t="s">
        <v>102</v>
      </c>
      <c r="G1850" s="33">
        <v>40</v>
      </c>
    </row>
    <row r="1851" spans="1:7">
      <c r="A1851" t="s">
        <v>22</v>
      </c>
      <c r="B1851" t="s">
        <v>192</v>
      </c>
      <c r="C1851" s="32">
        <v>465</v>
      </c>
      <c r="D1851" s="33">
        <v>41</v>
      </c>
      <c r="E1851" t="s">
        <v>141</v>
      </c>
      <c r="F1851" t="s">
        <v>90</v>
      </c>
      <c r="G1851" s="33">
        <v>39</v>
      </c>
    </row>
    <row r="1852" spans="1:7">
      <c r="A1852" t="s">
        <v>22</v>
      </c>
      <c r="B1852" t="s">
        <v>192</v>
      </c>
      <c r="C1852" s="32">
        <v>465.1</v>
      </c>
      <c r="D1852" s="33">
        <v>42</v>
      </c>
      <c r="E1852" t="s">
        <v>142</v>
      </c>
      <c r="F1852" t="s">
        <v>93</v>
      </c>
      <c r="G1852" s="33">
        <v>40</v>
      </c>
    </row>
    <row r="1853" spans="1:7">
      <c r="A1853" t="s">
        <v>22</v>
      </c>
      <c r="B1853" t="s">
        <v>192</v>
      </c>
      <c r="C1853" s="32">
        <v>465.2</v>
      </c>
      <c r="D1853" s="33">
        <v>43</v>
      </c>
      <c r="E1853" t="s">
        <v>143</v>
      </c>
      <c r="F1853" t="s">
        <v>90</v>
      </c>
      <c r="G1853" s="33">
        <v>39</v>
      </c>
    </row>
    <row r="1854" spans="1:7">
      <c r="A1854" t="s">
        <v>22</v>
      </c>
      <c r="B1854" t="s">
        <v>192</v>
      </c>
      <c r="C1854" s="32">
        <v>465.3</v>
      </c>
      <c r="D1854" s="33">
        <v>44</v>
      </c>
      <c r="E1854" t="s">
        <v>144</v>
      </c>
      <c r="F1854" t="s">
        <v>96</v>
      </c>
      <c r="G1854" s="33">
        <v>40</v>
      </c>
    </row>
    <row r="1855" spans="1:7">
      <c r="A1855" t="s">
        <v>22</v>
      </c>
      <c r="B1855" t="s">
        <v>192</v>
      </c>
      <c r="C1855" s="32">
        <v>465.4</v>
      </c>
      <c r="D1855" s="33">
        <v>45</v>
      </c>
      <c r="E1855" t="s">
        <v>145</v>
      </c>
      <c r="F1855" t="s">
        <v>90</v>
      </c>
      <c r="G1855" s="33">
        <v>39</v>
      </c>
    </row>
    <row r="1856" spans="1:7">
      <c r="A1856" t="s">
        <v>22</v>
      </c>
      <c r="B1856" t="s">
        <v>192</v>
      </c>
      <c r="C1856" s="32">
        <v>465.5</v>
      </c>
      <c r="D1856" s="33">
        <v>46</v>
      </c>
      <c r="E1856" t="s">
        <v>146</v>
      </c>
      <c r="F1856" t="s">
        <v>93</v>
      </c>
      <c r="G1856" s="33">
        <v>40</v>
      </c>
    </row>
    <row r="1857" spans="1:7">
      <c r="A1857" t="s">
        <v>22</v>
      </c>
      <c r="B1857" t="s">
        <v>192</v>
      </c>
      <c r="C1857" s="32">
        <v>465.6</v>
      </c>
      <c r="D1857" s="33">
        <v>47</v>
      </c>
      <c r="E1857" t="s">
        <v>148</v>
      </c>
      <c r="F1857" t="s">
        <v>90</v>
      </c>
      <c r="G1857" s="33">
        <v>39</v>
      </c>
    </row>
    <row r="1858" spans="1:7">
      <c r="A1858" t="s">
        <v>22</v>
      </c>
      <c r="B1858" t="s">
        <v>192</v>
      </c>
      <c r="C1858" s="32">
        <v>465.7</v>
      </c>
      <c r="D1858" s="33">
        <v>48</v>
      </c>
      <c r="E1858" t="s">
        <v>149</v>
      </c>
      <c r="F1858" t="s">
        <v>90</v>
      </c>
      <c r="G1858" s="33">
        <v>40</v>
      </c>
    </row>
    <row r="1859" spans="1:7">
      <c r="A1859" t="s">
        <v>22</v>
      </c>
      <c r="B1859" t="s">
        <v>192</v>
      </c>
      <c r="C1859" s="32">
        <v>465.8</v>
      </c>
      <c r="D1859" s="33">
        <v>49</v>
      </c>
      <c r="E1859" t="s">
        <v>150</v>
      </c>
      <c r="F1859" t="s">
        <v>93</v>
      </c>
      <c r="G1859" s="33">
        <v>40</v>
      </c>
    </row>
    <row r="1860" spans="1:7">
      <c r="A1860" t="s">
        <v>22</v>
      </c>
      <c r="B1860" t="s">
        <v>192</v>
      </c>
      <c r="C1860" s="32">
        <v>465.9</v>
      </c>
      <c r="D1860" s="33">
        <v>50</v>
      </c>
      <c r="E1860" t="s">
        <v>151</v>
      </c>
      <c r="F1860" t="s">
        <v>90</v>
      </c>
      <c r="G1860" s="33">
        <v>39</v>
      </c>
    </row>
    <row r="1861" spans="1:7">
      <c r="A1861" t="s">
        <v>22</v>
      </c>
      <c r="B1861" t="s">
        <v>192</v>
      </c>
      <c r="C1861" s="32">
        <v>466</v>
      </c>
      <c r="D1861" s="33">
        <v>51</v>
      </c>
      <c r="E1861" t="s">
        <v>152</v>
      </c>
      <c r="F1861" t="s">
        <v>90</v>
      </c>
      <c r="G1861" s="33">
        <v>40</v>
      </c>
    </row>
    <row r="1862" spans="1:7">
      <c r="A1862" t="s">
        <v>22</v>
      </c>
      <c r="B1862" t="s">
        <v>192</v>
      </c>
      <c r="C1862" s="32">
        <v>466.1</v>
      </c>
      <c r="D1862" s="33">
        <v>52</v>
      </c>
      <c r="E1862" t="s">
        <v>153</v>
      </c>
      <c r="F1862" t="s">
        <v>96</v>
      </c>
      <c r="G1862" s="33">
        <v>39</v>
      </c>
    </row>
    <row r="1863" spans="1:7">
      <c r="A1863" t="s">
        <v>22</v>
      </c>
      <c r="B1863" t="s">
        <v>192</v>
      </c>
      <c r="C1863" s="32">
        <v>466.2</v>
      </c>
      <c r="D1863" s="33">
        <v>53</v>
      </c>
      <c r="E1863" t="s">
        <v>120</v>
      </c>
      <c r="F1863" t="s">
        <v>102</v>
      </c>
      <c r="G1863" s="33">
        <v>40</v>
      </c>
    </row>
    <row r="1864" spans="1:7">
      <c r="A1864" t="s">
        <v>22</v>
      </c>
      <c r="B1864" t="s">
        <v>192</v>
      </c>
      <c r="C1864" s="32">
        <v>466.3</v>
      </c>
      <c r="D1864" s="33">
        <v>54</v>
      </c>
      <c r="E1864" t="s">
        <v>115</v>
      </c>
      <c r="F1864" t="s">
        <v>93</v>
      </c>
      <c r="G1864" s="33">
        <v>39</v>
      </c>
    </row>
    <row r="1865" spans="1:7">
      <c r="A1865" t="s">
        <v>22</v>
      </c>
      <c r="B1865" t="s">
        <v>192</v>
      </c>
      <c r="C1865" s="32">
        <v>466.4</v>
      </c>
      <c r="D1865" s="33">
        <v>55</v>
      </c>
      <c r="E1865" t="s">
        <v>116</v>
      </c>
      <c r="F1865" t="s">
        <v>90</v>
      </c>
      <c r="G1865" s="33">
        <v>40</v>
      </c>
    </row>
    <row r="1866" spans="1:7">
      <c r="A1866" t="s">
        <v>22</v>
      </c>
      <c r="B1866" t="s">
        <v>192</v>
      </c>
      <c r="C1866" s="32">
        <v>466.5</v>
      </c>
      <c r="D1866" s="33">
        <v>56</v>
      </c>
      <c r="E1866" t="s">
        <v>117</v>
      </c>
      <c r="F1866" t="s">
        <v>90</v>
      </c>
      <c r="G1866" s="33">
        <v>40</v>
      </c>
    </row>
    <row r="1867" spans="1:7">
      <c r="A1867" t="s">
        <v>22</v>
      </c>
      <c r="B1867" t="s">
        <v>192</v>
      </c>
      <c r="C1867" s="32">
        <v>466.6</v>
      </c>
      <c r="D1867" s="33">
        <v>57</v>
      </c>
      <c r="E1867" t="s">
        <v>118</v>
      </c>
      <c r="F1867" t="s">
        <v>93</v>
      </c>
      <c r="G1867" s="33">
        <v>39</v>
      </c>
    </row>
    <row r="1868" spans="1:7">
      <c r="A1868" t="s">
        <v>22</v>
      </c>
      <c r="B1868" t="s">
        <v>192</v>
      </c>
      <c r="C1868" s="32">
        <v>466.7</v>
      </c>
      <c r="D1868" s="33">
        <v>58</v>
      </c>
      <c r="E1868" t="s">
        <v>122</v>
      </c>
      <c r="F1868" t="s">
        <v>90</v>
      </c>
      <c r="G1868" s="33">
        <v>40</v>
      </c>
    </row>
    <row r="1869" spans="1:7">
      <c r="A1869" t="s">
        <v>22</v>
      </c>
      <c r="B1869" t="s">
        <v>192</v>
      </c>
      <c r="C1869" s="32">
        <v>466.8</v>
      </c>
      <c r="D1869" s="33">
        <v>59</v>
      </c>
      <c r="E1869" t="s">
        <v>124</v>
      </c>
      <c r="F1869" t="s">
        <v>96</v>
      </c>
      <c r="G1869" s="33">
        <v>39</v>
      </c>
    </row>
    <row r="1870" spans="1:7">
      <c r="A1870" t="s">
        <v>22</v>
      </c>
      <c r="B1870" t="s">
        <v>192</v>
      </c>
      <c r="C1870" s="32">
        <v>466.9</v>
      </c>
      <c r="D1870" s="33">
        <v>60</v>
      </c>
      <c r="E1870" t="s">
        <v>125</v>
      </c>
      <c r="F1870" t="s">
        <v>90</v>
      </c>
      <c r="G1870" s="33">
        <v>40</v>
      </c>
    </row>
    <row r="1871" spans="1:7">
      <c r="A1871" t="s">
        <v>22</v>
      </c>
      <c r="B1871" t="s">
        <v>192</v>
      </c>
      <c r="C1871" s="32">
        <v>467</v>
      </c>
      <c r="D1871" s="33">
        <v>61</v>
      </c>
      <c r="E1871" t="s">
        <v>127</v>
      </c>
      <c r="F1871" t="s">
        <v>93</v>
      </c>
      <c r="G1871" s="33">
        <v>39</v>
      </c>
    </row>
    <row r="1872" spans="1:7">
      <c r="A1872" t="s">
        <v>22</v>
      </c>
      <c r="B1872" t="s">
        <v>192</v>
      </c>
      <c r="C1872" s="32">
        <v>467.1</v>
      </c>
      <c r="D1872" s="33">
        <v>62</v>
      </c>
      <c r="E1872" t="s">
        <v>128</v>
      </c>
      <c r="F1872" t="s">
        <v>90</v>
      </c>
      <c r="G1872" s="33">
        <v>40</v>
      </c>
    </row>
    <row r="1873" spans="1:7">
      <c r="A1873" t="s">
        <v>22</v>
      </c>
      <c r="B1873" t="s">
        <v>192</v>
      </c>
      <c r="C1873" s="32">
        <v>467.2</v>
      </c>
      <c r="D1873" s="33">
        <v>63</v>
      </c>
      <c r="E1873" t="s">
        <v>129</v>
      </c>
      <c r="F1873" t="s">
        <v>90</v>
      </c>
      <c r="G1873" s="33">
        <v>39</v>
      </c>
    </row>
    <row r="1874" spans="1:7">
      <c r="A1874" t="s">
        <v>22</v>
      </c>
      <c r="B1874" t="s">
        <v>192</v>
      </c>
      <c r="C1874" s="32">
        <v>467.3</v>
      </c>
      <c r="D1874" s="33">
        <v>64</v>
      </c>
      <c r="E1874" t="s">
        <v>130</v>
      </c>
      <c r="F1874" t="s">
        <v>93</v>
      </c>
      <c r="G1874" s="33">
        <v>40</v>
      </c>
    </row>
    <row r="1875" spans="1:7">
      <c r="A1875" t="s">
        <v>22</v>
      </c>
      <c r="B1875" t="s">
        <v>192</v>
      </c>
      <c r="C1875" s="32">
        <v>467.4</v>
      </c>
      <c r="D1875" s="33">
        <v>65</v>
      </c>
      <c r="E1875" t="s">
        <v>131</v>
      </c>
      <c r="F1875" t="s">
        <v>90</v>
      </c>
      <c r="G1875" s="33">
        <v>40</v>
      </c>
    </row>
    <row r="1876" spans="1:7">
      <c r="A1876" t="s">
        <v>22</v>
      </c>
      <c r="B1876" t="s">
        <v>192</v>
      </c>
      <c r="C1876" s="32">
        <v>467.5</v>
      </c>
      <c r="D1876" s="33">
        <v>66</v>
      </c>
      <c r="E1876" t="s">
        <v>133</v>
      </c>
      <c r="F1876" t="s">
        <v>102</v>
      </c>
      <c r="G1876" s="33">
        <v>39</v>
      </c>
    </row>
    <row r="1877" spans="1:7">
      <c r="A1877" t="s">
        <v>22</v>
      </c>
      <c r="B1877" t="s">
        <v>192</v>
      </c>
      <c r="C1877" s="32">
        <v>467.6</v>
      </c>
      <c r="D1877" s="33">
        <v>67</v>
      </c>
      <c r="E1877" t="s">
        <v>134</v>
      </c>
      <c r="F1877" t="s">
        <v>93</v>
      </c>
      <c r="G1877" s="33">
        <v>40</v>
      </c>
    </row>
    <row r="1878" spans="1:7">
      <c r="A1878" t="s">
        <v>22</v>
      </c>
      <c r="B1878" t="s">
        <v>192</v>
      </c>
      <c r="C1878" s="32">
        <v>467.7</v>
      </c>
      <c r="D1878" s="33">
        <v>68</v>
      </c>
      <c r="E1878" t="s">
        <v>135</v>
      </c>
      <c r="F1878" t="s">
        <v>90</v>
      </c>
      <c r="G1878" s="33">
        <v>39</v>
      </c>
    </row>
    <row r="1879" spans="1:7">
      <c r="A1879" t="s">
        <v>22</v>
      </c>
      <c r="B1879" t="s">
        <v>192</v>
      </c>
      <c r="C1879" s="32">
        <v>467.8</v>
      </c>
      <c r="D1879" s="33">
        <v>69</v>
      </c>
      <c r="E1879" t="s">
        <v>136</v>
      </c>
      <c r="F1879" t="s">
        <v>96</v>
      </c>
      <c r="G1879" s="33">
        <v>40</v>
      </c>
    </row>
    <row r="1880" spans="1:7">
      <c r="A1880" t="s">
        <v>22</v>
      </c>
      <c r="B1880" t="s">
        <v>192</v>
      </c>
      <c r="C1880" s="32">
        <v>467.9</v>
      </c>
      <c r="D1880" s="33">
        <v>70</v>
      </c>
      <c r="E1880" t="s">
        <v>137</v>
      </c>
      <c r="F1880" t="s">
        <v>90</v>
      </c>
      <c r="G1880" s="33">
        <v>39</v>
      </c>
    </row>
    <row r="1881" spans="1:7">
      <c r="A1881" t="s">
        <v>22</v>
      </c>
      <c r="B1881" t="s">
        <v>192</v>
      </c>
      <c r="C1881" s="32">
        <v>468</v>
      </c>
      <c r="D1881" s="33">
        <v>71</v>
      </c>
      <c r="E1881" t="s">
        <v>138</v>
      </c>
      <c r="F1881" t="s">
        <v>93</v>
      </c>
      <c r="G1881" s="33">
        <v>40</v>
      </c>
    </row>
    <row r="1882" spans="1:7">
      <c r="A1882" t="s">
        <v>22</v>
      </c>
      <c r="B1882" t="s">
        <v>192</v>
      </c>
      <c r="C1882" s="32">
        <v>468.1</v>
      </c>
      <c r="D1882" s="33">
        <v>72</v>
      </c>
      <c r="E1882" t="s">
        <v>140</v>
      </c>
      <c r="F1882" t="s">
        <v>90</v>
      </c>
      <c r="G1882" s="33">
        <v>40</v>
      </c>
    </row>
    <row r="1883" spans="1:7">
      <c r="A1883" t="s">
        <v>22</v>
      </c>
      <c r="B1883" t="s">
        <v>192</v>
      </c>
      <c r="C1883" s="32">
        <v>468.2</v>
      </c>
      <c r="D1883" s="33">
        <v>73</v>
      </c>
      <c r="E1883" t="s">
        <v>141</v>
      </c>
      <c r="F1883" t="s">
        <v>90</v>
      </c>
      <c r="G1883" s="33">
        <v>39</v>
      </c>
    </row>
    <row r="1884" spans="1:7">
      <c r="A1884" t="s">
        <v>22</v>
      </c>
      <c r="B1884" t="s">
        <v>192</v>
      </c>
      <c r="C1884" s="32">
        <v>468.3</v>
      </c>
      <c r="D1884" s="33">
        <v>74</v>
      </c>
      <c r="E1884" t="s">
        <v>142</v>
      </c>
      <c r="F1884" t="s">
        <v>93</v>
      </c>
      <c r="G1884" s="33">
        <v>40</v>
      </c>
    </row>
    <row r="1885" spans="1:7">
      <c r="A1885" t="s">
        <v>22</v>
      </c>
      <c r="B1885" t="s">
        <v>192</v>
      </c>
      <c r="C1885" s="32">
        <v>468.4</v>
      </c>
      <c r="D1885" s="33">
        <v>75</v>
      </c>
      <c r="E1885" t="s">
        <v>143</v>
      </c>
      <c r="F1885" t="s">
        <v>90</v>
      </c>
      <c r="G1885" s="33">
        <v>39</v>
      </c>
    </row>
    <row r="1886" spans="1:7">
      <c r="A1886" t="s">
        <v>22</v>
      </c>
      <c r="B1886" t="s">
        <v>192</v>
      </c>
      <c r="C1886" s="32">
        <v>468.5</v>
      </c>
      <c r="D1886" s="33">
        <v>76</v>
      </c>
      <c r="E1886" t="s">
        <v>144</v>
      </c>
      <c r="F1886" t="s">
        <v>96</v>
      </c>
      <c r="G1886" s="33">
        <v>40</v>
      </c>
    </row>
    <row r="1887" spans="1:7">
      <c r="A1887" t="s">
        <v>22</v>
      </c>
      <c r="B1887" t="s">
        <v>192</v>
      </c>
      <c r="C1887" s="32">
        <v>468.6</v>
      </c>
      <c r="D1887" s="33">
        <v>77</v>
      </c>
      <c r="E1887" t="s">
        <v>145</v>
      </c>
      <c r="F1887" t="s">
        <v>90</v>
      </c>
      <c r="G1887" s="33">
        <v>39</v>
      </c>
    </row>
    <row r="1888" spans="1:7">
      <c r="A1888" t="s">
        <v>22</v>
      </c>
      <c r="B1888" t="s">
        <v>192</v>
      </c>
      <c r="C1888" s="32">
        <v>468.7</v>
      </c>
      <c r="D1888" s="33">
        <v>78</v>
      </c>
      <c r="E1888" t="s">
        <v>146</v>
      </c>
      <c r="F1888" t="s">
        <v>90</v>
      </c>
      <c r="G1888" s="33">
        <v>40</v>
      </c>
    </row>
    <row r="1889" spans="1:7">
      <c r="A1889" t="s">
        <v>22</v>
      </c>
      <c r="B1889" t="s">
        <v>192</v>
      </c>
      <c r="C1889" s="32">
        <v>468.8</v>
      </c>
      <c r="D1889" s="33">
        <v>79</v>
      </c>
      <c r="E1889" t="s">
        <v>148</v>
      </c>
      <c r="F1889" t="s">
        <v>93</v>
      </c>
      <c r="G1889" s="33">
        <v>39</v>
      </c>
    </row>
    <row r="1890" spans="1:7">
      <c r="A1890" t="s">
        <v>22</v>
      </c>
      <c r="B1890" t="s">
        <v>192</v>
      </c>
      <c r="C1890" s="32">
        <v>468.9</v>
      </c>
      <c r="D1890" s="33">
        <v>80</v>
      </c>
      <c r="E1890" t="s">
        <v>149</v>
      </c>
      <c r="F1890" t="s">
        <v>102</v>
      </c>
      <c r="G1890" s="33">
        <v>40</v>
      </c>
    </row>
    <row r="1891" spans="1:7">
      <c r="A1891" t="s">
        <v>22</v>
      </c>
      <c r="B1891" t="s">
        <v>192</v>
      </c>
      <c r="C1891" s="32">
        <v>469</v>
      </c>
      <c r="D1891" s="33">
        <v>81</v>
      </c>
      <c r="E1891" t="s">
        <v>150</v>
      </c>
      <c r="F1891" t="s">
        <v>90</v>
      </c>
      <c r="G1891" s="33">
        <v>40</v>
      </c>
    </row>
    <row r="1892" spans="1:7">
      <c r="A1892" t="s">
        <v>22</v>
      </c>
      <c r="B1892" t="s">
        <v>192</v>
      </c>
      <c r="C1892" s="32">
        <v>469.1</v>
      </c>
      <c r="D1892" s="33">
        <v>82</v>
      </c>
      <c r="E1892" t="s">
        <v>151</v>
      </c>
      <c r="F1892" t="s">
        <v>93</v>
      </c>
      <c r="G1892" s="33">
        <v>39</v>
      </c>
    </row>
    <row r="1893" spans="1:7">
      <c r="A1893" t="s">
        <v>22</v>
      </c>
      <c r="B1893" t="s">
        <v>192</v>
      </c>
      <c r="C1893" s="32">
        <v>469.2</v>
      </c>
      <c r="D1893" s="33">
        <v>83</v>
      </c>
      <c r="E1893" t="s">
        <v>152</v>
      </c>
      <c r="F1893" t="s">
        <v>90</v>
      </c>
      <c r="G1893" s="33">
        <v>40</v>
      </c>
    </row>
    <row r="1894" spans="1:7">
      <c r="A1894" t="s">
        <v>22</v>
      </c>
      <c r="B1894" t="s">
        <v>192</v>
      </c>
      <c r="C1894" s="32">
        <v>469.3</v>
      </c>
      <c r="D1894" s="33">
        <v>84</v>
      </c>
      <c r="E1894" t="s">
        <v>153</v>
      </c>
      <c r="F1894" t="s">
        <v>96</v>
      </c>
      <c r="G1894" s="33">
        <v>39</v>
      </c>
    </row>
    <row r="1895" spans="1:7">
      <c r="A1895" t="s">
        <v>22</v>
      </c>
      <c r="B1895" t="s">
        <v>192</v>
      </c>
      <c r="C1895" s="32">
        <v>469.4</v>
      </c>
      <c r="D1895" s="33">
        <v>85</v>
      </c>
      <c r="E1895" t="s">
        <v>120</v>
      </c>
      <c r="F1895" t="s">
        <v>90</v>
      </c>
      <c r="G1895" s="33">
        <v>40</v>
      </c>
    </row>
    <row r="1896" spans="1:7">
      <c r="A1896" t="s">
        <v>22</v>
      </c>
      <c r="B1896" t="s">
        <v>192</v>
      </c>
      <c r="C1896" s="32">
        <v>469.5</v>
      </c>
      <c r="D1896" s="33">
        <v>86</v>
      </c>
      <c r="E1896" t="s">
        <v>115</v>
      </c>
      <c r="F1896" t="s">
        <v>93</v>
      </c>
      <c r="G1896" s="33">
        <v>39</v>
      </c>
    </row>
    <row r="1897" spans="1:7">
      <c r="A1897" t="s">
        <v>22</v>
      </c>
      <c r="B1897" t="s">
        <v>192</v>
      </c>
      <c r="C1897" s="32">
        <v>469.6</v>
      </c>
      <c r="D1897" s="33">
        <v>87</v>
      </c>
      <c r="E1897" t="s">
        <v>116</v>
      </c>
      <c r="F1897" t="s">
        <v>90</v>
      </c>
      <c r="G1897" s="33">
        <v>40</v>
      </c>
    </row>
    <row r="1898" spans="1:7">
      <c r="A1898" t="s">
        <v>22</v>
      </c>
      <c r="B1898" t="s">
        <v>193</v>
      </c>
      <c r="C1898" s="32">
        <v>471</v>
      </c>
      <c r="D1898" s="33">
        <v>1</v>
      </c>
      <c r="E1898" t="s">
        <v>152</v>
      </c>
      <c r="F1898" t="s">
        <v>90</v>
      </c>
      <c r="G1898" s="33">
        <v>41</v>
      </c>
    </row>
    <row r="1899" spans="1:7">
      <c r="A1899" t="s">
        <v>22</v>
      </c>
      <c r="B1899" t="s">
        <v>193</v>
      </c>
      <c r="C1899" s="32">
        <v>471.1</v>
      </c>
      <c r="D1899" s="33">
        <v>2</v>
      </c>
      <c r="E1899" t="s">
        <v>153</v>
      </c>
      <c r="F1899" t="s">
        <v>93</v>
      </c>
      <c r="G1899" s="33">
        <v>40</v>
      </c>
    </row>
    <row r="1900" spans="1:7">
      <c r="A1900" t="s">
        <v>22</v>
      </c>
      <c r="B1900" t="s">
        <v>193</v>
      </c>
      <c r="C1900" s="32">
        <v>471.19</v>
      </c>
      <c r="D1900" s="33">
        <v>3</v>
      </c>
      <c r="E1900" t="s">
        <v>120</v>
      </c>
      <c r="F1900" t="s">
        <v>90</v>
      </c>
      <c r="G1900" s="33">
        <v>41</v>
      </c>
    </row>
    <row r="1901" spans="1:7">
      <c r="A1901" t="s">
        <v>22</v>
      </c>
      <c r="B1901" t="s">
        <v>193</v>
      </c>
      <c r="C1901" s="32">
        <v>471.29</v>
      </c>
      <c r="D1901" s="33">
        <v>4</v>
      </c>
      <c r="E1901" t="s">
        <v>115</v>
      </c>
      <c r="F1901" t="s">
        <v>96</v>
      </c>
      <c r="G1901" s="33">
        <v>40</v>
      </c>
    </row>
    <row r="1902" spans="1:7">
      <c r="A1902" t="s">
        <v>22</v>
      </c>
      <c r="B1902" t="s">
        <v>193</v>
      </c>
      <c r="C1902" s="32">
        <v>471.39</v>
      </c>
      <c r="D1902" s="33">
        <v>5</v>
      </c>
      <c r="E1902" t="s">
        <v>116</v>
      </c>
      <c r="F1902" t="s">
        <v>90</v>
      </c>
      <c r="G1902" s="33">
        <v>41</v>
      </c>
    </row>
    <row r="1903" spans="1:7">
      <c r="A1903" t="s">
        <v>22</v>
      </c>
      <c r="B1903" t="s">
        <v>193</v>
      </c>
      <c r="C1903" s="32">
        <v>471.48</v>
      </c>
      <c r="D1903" s="33">
        <v>6</v>
      </c>
      <c r="E1903" t="s">
        <v>117</v>
      </c>
      <c r="F1903" t="s">
        <v>93</v>
      </c>
      <c r="G1903" s="33">
        <v>41</v>
      </c>
    </row>
    <row r="1904" spans="1:7">
      <c r="A1904" t="s">
        <v>22</v>
      </c>
      <c r="B1904" t="s">
        <v>193</v>
      </c>
      <c r="C1904" s="32">
        <v>471.58</v>
      </c>
      <c r="D1904" s="33">
        <v>7</v>
      </c>
      <c r="E1904" t="s">
        <v>118</v>
      </c>
      <c r="F1904" t="s">
        <v>90</v>
      </c>
      <c r="G1904" s="33">
        <v>40</v>
      </c>
    </row>
    <row r="1905" spans="1:7">
      <c r="A1905" t="s">
        <v>22</v>
      </c>
      <c r="B1905" t="s">
        <v>193</v>
      </c>
      <c r="C1905" s="32">
        <v>471.68</v>
      </c>
      <c r="D1905" s="33">
        <v>8</v>
      </c>
      <c r="E1905" t="s">
        <v>122</v>
      </c>
      <c r="F1905" t="s">
        <v>90</v>
      </c>
      <c r="G1905" s="33">
        <v>41</v>
      </c>
    </row>
    <row r="1906" spans="1:7">
      <c r="A1906" t="s">
        <v>22</v>
      </c>
      <c r="B1906" t="s">
        <v>193</v>
      </c>
      <c r="C1906" s="32">
        <v>471.77</v>
      </c>
      <c r="D1906" s="33">
        <v>9</v>
      </c>
      <c r="E1906" t="s">
        <v>124</v>
      </c>
      <c r="F1906" t="s">
        <v>93</v>
      </c>
      <c r="G1906" s="33">
        <v>40</v>
      </c>
    </row>
    <row r="1907" spans="1:7">
      <c r="A1907" t="s">
        <v>22</v>
      </c>
      <c r="B1907" t="s">
        <v>193</v>
      </c>
      <c r="C1907" s="32">
        <v>471.87</v>
      </c>
      <c r="D1907" s="33">
        <v>10</v>
      </c>
      <c r="E1907" t="s">
        <v>125</v>
      </c>
      <c r="F1907" t="s">
        <v>90</v>
      </c>
      <c r="G1907" s="33">
        <v>41</v>
      </c>
    </row>
    <row r="1908" spans="1:7">
      <c r="A1908" t="s">
        <v>22</v>
      </c>
      <c r="B1908" t="s">
        <v>193</v>
      </c>
      <c r="C1908" s="32">
        <v>471.97</v>
      </c>
      <c r="D1908" s="33">
        <v>11</v>
      </c>
      <c r="E1908" t="s">
        <v>127</v>
      </c>
      <c r="F1908" t="s">
        <v>96</v>
      </c>
      <c r="G1908" s="33">
        <v>40</v>
      </c>
    </row>
    <row r="1909" spans="1:7">
      <c r="A1909" t="s">
        <v>22</v>
      </c>
      <c r="B1909" t="s">
        <v>193</v>
      </c>
      <c r="C1909" s="32">
        <v>472.06</v>
      </c>
      <c r="D1909" s="33">
        <v>12</v>
      </c>
      <c r="E1909" t="s">
        <v>128</v>
      </c>
      <c r="F1909" t="s">
        <v>90</v>
      </c>
      <c r="G1909" s="33">
        <v>41</v>
      </c>
    </row>
    <row r="1910" spans="1:7">
      <c r="A1910" t="s">
        <v>22</v>
      </c>
      <c r="B1910" t="s">
        <v>193</v>
      </c>
      <c r="C1910" s="32">
        <v>472.16</v>
      </c>
      <c r="D1910" s="33">
        <v>13</v>
      </c>
      <c r="E1910" t="s">
        <v>129</v>
      </c>
      <c r="F1910" t="s">
        <v>93</v>
      </c>
      <c r="G1910" s="33">
        <v>41</v>
      </c>
    </row>
    <row r="1911" spans="1:7">
      <c r="A1911" t="s">
        <v>22</v>
      </c>
      <c r="B1911" t="s">
        <v>193</v>
      </c>
      <c r="C1911" s="32">
        <v>472.26</v>
      </c>
      <c r="D1911" s="33">
        <v>14</v>
      </c>
      <c r="E1911" t="s">
        <v>130</v>
      </c>
      <c r="F1911" t="s">
        <v>102</v>
      </c>
      <c r="G1911" s="33">
        <v>40</v>
      </c>
    </row>
    <row r="1912" spans="1:7">
      <c r="A1912" t="s">
        <v>22</v>
      </c>
      <c r="B1912" t="s">
        <v>193</v>
      </c>
      <c r="C1912" s="32">
        <v>472.35</v>
      </c>
      <c r="D1912" s="33">
        <v>15</v>
      </c>
      <c r="E1912" t="s">
        <v>131</v>
      </c>
      <c r="F1912" t="s">
        <v>90</v>
      </c>
      <c r="G1912" s="33">
        <v>41</v>
      </c>
    </row>
    <row r="1913" spans="1:7">
      <c r="A1913" t="s">
        <v>22</v>
      </c>
      <c r="B1913" t="s">
        <v>193</v>
      </c>
      <c r="C1913" s="32">
        <v>472.45</v>
      </c>
      <c r="D1913" s="33">
        <v>16</v>
      </c>
      <c r="E1913" t="s">
        <v>133</v>
      </c>
      <c r="F1913" t="s">
        <v>93</v>
      </c>
      <c r="G1913" s="33">
        <v>40</v>
      </c>
    </row>
    <row r="1914" spans="1:7">
      <c r="A1914" t="s">
        <v>22</v>
      </c>
      <c r="B1914" t="s">
        <v>193</v>
      </c>
      <c r="C1914" s="32">
        <v>472.55</v>
      </c>
      <c r="D1914" s="33">
        <v>17</v>
      </c>
      <c r="E1914" t="s">
        <v>134</v>
      </c>
      <c r="F1914" t="s">
        <v>90</v>
      </c>
      <c r="G1914" s="33">
        <v>41</v>
      </c>
    </row>
    <row r="1915" spans="1:7">
      <c r="A1915" t="s">
        <v>22</v>
      </c>
      <c r="B1915" t="s">
        <v>193</v>
      </c>
      <c r="C1915" s="32">
        <v>472.64</v>
      </c>
      <c r="D1915" s="33">
        <v>18</v>
      </c>
      <c r="E1915" t="s">
        <v>135</v>
      </c>
      <c r="F1915" t="s">
        <v>90</v>
      </c>
      <c r="G1915" s="33">
        <v>41</v>
      </c>
    </row>
    <row r="1916" spans="1:7">
      <c r="A1916" t="s">
        <v>22</v>
      </c>
      <c r="B1916" t="s">
        <v>193</v>
      </c>
      <c r="C1916" s="32">
        <v>472.74</v>
      </c>
      <c r="D1916" s="33">
        <v>19</v>
      </c>
      <c r="E1916" t="s">
        <v>136</v>
      </c>
      <c r="F1916" t="s">
        <v>96</v>
      </c>
      <c r="G1916" s="33">
        <v>40</v>
      </c>
    </row>
    <row r="1917" spans="1:7">
      <c r="A1917" t="s">
        <v>22</v>
      </c>
      <c r="B1917" t="s">
        <v>193</v>
      </c>
      <c r="C1917" s="32">
        <v>472.84</v>
      </c>
      <c r="D1917" s="33">
        <v>20</v>
      </c>
      <c r="E1917" t="s">
        <v>137</v>
      </c>
      <c r="F1917" t="s">
        <v>90</v>
      </c>
      <c r="G1917" s="33">
        <v>41</v>
      </c>
    </row>
    <row r="1918" spans="1:7">
      <c r="A1918" t="s">
        <v>22</v>
      </c>
      <c r="B1918" t="s">
        <v>193</v>
      </c>
      <c r="C1918" s="32">
        <v>472.93</v>
      </c>
      <c r="D1918" s="33">
        <v>21</v>
      </c>
      <c r="E1918" t="s">
        <v>138</v>
      </c>
      <c r="F1918" t="s">
        <v>93</v>
      </c>
      <c r="G1918" s="33">
        <v>40</v>
      </c>
    </row>
    <row r="1919" spans="1:7">
      <c r="A1919" t="s">
        <v>22</v>
      </c>
      <c r="B1919" t="s">
        <v>193</v>
      </c>
      <c r="C1919" s="32">
        <v>473.03</v>
      </c>
      <c r="D1919" s="33">
        <v>22</v>
      </c>
      <c r="E1919" t="s">
        <v>140</v>
      </c>
      <c r="F1919" t="s">
        <v>90</v>
      </c>
      <c r="G1919" s="33">
        <v>41</v>
      </c>
    </row>
    <row r="1920" spans="1:7">
      <c r="A1920" t="s">
        <v>22</v>
      </c>
      <c r="B1920" t="s">
        <v>193</v>
      </c>
      <c r="C1920" s="32">
        <v>473.13</v>
      </c>
      <c r="D1920" s="33">
        <v>23</v>
      </c>
      <c r="E1920" t="s">
        <v>141</v>
      </c>
      <c r="F1920" t="s">
        <v>93</v>
      </c>
      <c r="G1920" s="33">
        <v>41</v>
      </c>
    </row>
    <row r="1921" spans="1:7">
      <c r="A1921" t="s">
        <v>22</v>
      </c>
      <c r="B1921" t="s">
        <v>193</v>
      </c>
      <c r="C1921" s="32">
        <v>473.22</v>
      </c>
      <c r="D1921" s="33">
        <v>24</v>
      </c>
      <c r="E1921" t="s">
        <v>142</v>
      </c>
      <c r="F1921" t="s">
        <v>90</v>
      </c>
      <c r="G1921" s="33">
        <v>40</v>
      </c>
    </row>
    <row r="1922" spans="1:7">
      <c r="A1922" t="s">
        <v>22</v>
      </c>
      <c r="B1922" t="s">
        <v>193</v>
      </c>
      <c r="C1922" s="32">
        <v>473.32</v>
      </c>
      <c r="D1922" s="33">
        <v>25</v>
      </c>
      <c r="E1922" t="s">
        <v>143</v>
      </c>
      <c r="F1922" t="s">
        <v>90</v>
      </c>
      <c r="G1922" s="33">
        <v>41</v>
      </c>
    </row>
    <row r="1923" spans="1:7">
      <c r="A1923" t="s">
        <v>22</v>
      </c>
      <c r="B1923" t="s">
        <v>193</v>
      </c>
      <c r="C1923" s="32">
        <v>473.42</v>
      </c>
      <c r="D1923" s="33">
        <v>26</v>
      </c>
      <c r="E1923" t="s">
        <v>144</v>
      </c>
      <c r="F1923" t="s">
        <v>96</v>
      </c>
      <c r="G1923" s="33">
        <v>40</v>
      </c>
    </row>
    <row r="1924" spans="1:7">
      <c r="A1924" t="s">
        <v>22</v>
      </c>
      <c r="B1924" t="s">
        <v>193</v>
      </c>
      <c r="C1924" s="32">
        <v>473.51</v>
      </c>
      <c r="D1924" s="33">
        <v>27</v>
      </c>
      <c r="E1924" t="s">
        <v>145</v>
      </c>
      <c r="F1924" t="s">
        <v>102</v>
      </c>
      <c r="G1924" s="33">
        <v>41</v>
      </c>
    </row>
    <row r="1925" spans="1:7">
      <c r="A1925" t="s">
        <v>22</v>
      </c>
      <c r="B1925" t="s">
        <v>193</v>
      </c>
      <c r="C1925" s="32">
        <v>473.61</v>
      </c>
      <c r="D1925" s="33">
        <v>28</v>
      </c>
      <c r="E1925" t="s">
        <v>146</v>
      </c>
      <c r="F1925" t="s">
        <v>93</v>
      </c>
      <c r="G1925" s="33">
        <v>40</v>
      </c>
    </row>
    <row r="1926" spans="1:7">
      <c r="A1926" t="s">
        <v>22</v>
      </c>
      <c r="B1926" t="s">
        <v>193</v>
      </c>
      <c r="C1926" s="32">
        <v>473.71</v>
      </c>
      <c r="D1926" s="33">
        <v>29</v>
      </c>
      <c r="E1926" t="s">
        <v>148</v>
      </c>
      <c r="F1926" t="s">
        <v>90</v>
      </c>
      <c r="G1926" s="33">
        <v>41</v>
      </c>
    </row>
    <row r="1927" spans="1:7">
      <c r="A1927" t="s">
        <v>22</v>
      </c>
      <c r="B1927" t="s">
        <v>193</v>
      </c>
      <c r="C1927" s="32">
        <v>473.8</v>
      </c>
      <c r="D1927" s="33">
        <v>30</v>
      </c>
      <c r="E1927" t="s">
        <v>149</v>
      </c>
      <c r="F1927" t="s">
        <v>93</v>
      </c>
      <c r="G1927" s="33">
        <v>41</v>
      </c>
    </row>
    <row r="1928" spans="1:7">
      <c r="A1928" t="s">
        <v>22</v>
      </c>
      <c r="B1928" t="s">
        <v>193</v>
      </c>
      <c r="C1928" s="32">
        <v>473.9</v>
      </c>
      <c r="D1928" s="33">
        <v>31</v>
      </c>
      <c r="E1928" t="s">
        <v>150</v>
      </c>
      <c r="F1928" t="s">
        <v>90</v>
      </c>
      <c r="G1928" s="33">
        <v>40</v>
      </c>
    </row>
    <row r="1929" spans="1:7">
      <c r="A1929" t="s">
        <v>22</v>
      </c>
      <c r="B1929" t="s">
        <v>193</v>
      </c>
      <c r="C1929" s="32">
        <v>474</v>
      </c>
      <c r="D1929" s="33">
        <v>32</v>
      </c>
      <c r="E1929" t="s">
        <v>151</v>
      </c>
      <c r="F1929" t="s">
        <v>90</v>
      </c>
      <c r="G1929" s="33">
        <v>41</v>
      </c>
    </row>
    <row r="1930" spans="1:7">
      <c r="A1930" t="s">
        <v>22</v>
      </c>
      <c r="B1930" t="s">
        <v>193</v>
      </c>
      <c r="C1930" s="32">
        <v>474.09</v>
      </c>
      <c r="D1930" s="33">
        <v>33</v>
      </c>
      <c r="E1930" t="s">
        <v>152</v>
      </c>
      <c r="F1930" t="s">
        <v>96</v>
      </c>
      <c r="G1930" s="33">
        <v>40</v>
      </c>
    </row>
    <row r="1931" spans="1:7">
      <c r="A1931" t="s">
        <v>22</v>
      </c>
      <c r="B1931" t="s">
        <v>193</v>
      </c>
      <c r="C1931" s="32">
        <v>474.19</v>
      </c>
      <c r="D1931" s="33">
        <v>34</v>
      </c>
      <c r="E1931" t="s">
        <v>153</v>
      </c>
      <c r="F1931" t="s">
        <v>90</v>
      </c>
      <c r="G1931" s="33">
        <v>41</v>
      </c>
    </row>
    <row r="1932" spans="1:7">
      <c r="A1932" t="s">
        <v>22</v>
      </c>
      <c r="B1932" t="s">
        <v>193</v>
      </c>
      <c r="C1932" s="32">
        <v>474.29</v>
      </c>
      <c r="D1932" s="33">
        <v>35</v>
      </c>
      <c r="E1932" t="s">
        <v>120</v>
      </c>
      <c r="F1932" t="s">
        <v>93</v>
      </c>
      <c r="G1932" s="33">
        <v>41</v>
      </c>
    </row>
    <row r="1933" spans="1:7">
      <c r="A1933" t="s">
        <v>22</v>
      </c>
      <c r="B1933" t="s">
        <v>193</v>
      </c>
      <c r="C1933" s="32">
        <v>474.38</v>
      </c>
      <c r="D1933" s="33">
        <v>36</v>
      </c>
      <c r="E1933" t="s">
        <v>115</v>
      </c>
      <c r="F1933" t="s">
        <v>90</v>
      </c>
      <c r="G1933" s="33">
        <v>40</v>
      </c>
    </row>
    <row r="1934" spans="1:7">
      <c r="A1934" t="s">
        <v>22</v>
      </c>
      <c r="B1934" t="s">
        <v>193</v>
      </c>
      <c r="C1934" s="32">
        <v>474.48</v>
      </c>
      <c r="D1934" s="33">
        <v>37</v>
      </c>
      <c r="E1934" t="s">
        <v>116</v>
      </c>
      <c r="F1934" t="s">
        <v>102</v>
      </c>
      <c r="G1934" s="33">
        <v>41</v>
      </c>
    </row>
    <row r="1935" spans="1:7">
      <c r="A1935" t="s">
        <v>22</v>
      </c>
      <c r="B1935" t="s">
        <v>193</v>
      </c>
      <c r="C1935" s="32">
        <v>474.58</v>
      </c>
      <c r="D1935" s="33">
        <v>38</v>
      </c>
      <c r="E1935" t="s">
        <v>117</v>
      </c>
      <c r="F1935" t="s">
        <v>90</v>
      </c>
      <c r="G1935" s="33">
        <v>40</v>
      </c>
    </row>
    <row r="1936" spans="1:7">
      <c r="A1936" t="s">
        <v>22</v>
      </c>
      <c r="B1936" t="s">
        <v>193</v>
      </c>
      <c r="C1936" s="32">
        <v>474.67</v>
      </c>
      <c r="D1936" s="33">
        <v>39</v>
      </c>
      <c r="E1936" t="s">
        <v>118</v>
      </c>
      <c r="F1936" t="s">
        <v>93</v>
      </c>
      <c r="G1936" s="33">
        <v>41</v>
      </c>
    </row>
    <row r="1937" spans="1:7">
      <c r="A1937" t="s">
        <v>22</v>
      </c>
      <c r="B1937" t="s">
        <v>193</v>
      </c>
      <c r="C1937" s="32">
        <v>474.77</v>
      </c>
      <c r="D1937" s="33">
        <v>40</v>
      </c>
      <c r="E1937" t="s">
        <v>122</v>
      </c>
      <c r="F1937" t="s">
        <v>90</v>
      </c>
      <c r="G1937" s="33">
        <v>41</v>
      </c>
    </row>
    <row r="1938" spans="1:7">
      <c r="A1938" t="s">
        <v>22</v>
      </c>
      <c r="B1938" t="s">
        <v>193</v>
      </c>
      <c r="C1938" s="32">
        <v>474.87</v>
      </c>
      <c r="D1938" s="33">
        <v>41</v>
      </c>
      <c r="E1938" t="s">
        <v>124</v>
      </c>
      <c r="F1938" t="s">
        <v>102</v>
      </c>
      <c r="G1938" s="33">
        <v>40</v>
      </c>
    </row>
    <row r="1939" spans="1:7">
      <c r="A1939" t="s">
        <v>22</v>
      </c>
      <c r="B1939" t="s">
        <v>193</v>
      </c>
      <c r="C1939" s="32">
        <v>474.96</v>
      </c>
      <c r="D1939" s="33">
        <v>42</v>
      </c>
      <c r="E1939" t="s">
        <v>125</v>
      </c>
      <c r="F1939" t="s">
        <v>93</v>
      </c>
      <c r="G1939" s="33">
        <v>41</v>
      </c>
    </row>
    <row r="1940" spans="1:7">
      <c r="A1940" t="s">
        <v>22</v>
      </c>
      <c r="B1940" t="s">
        <v>193</v>
      </c>
      <c r="C1940" s="32">
        <v>475.06</v>
      </c>
      <c r="D1940" s="33">
        <v>43</v>
      </c>
      <c r="E1940" t="s">
        <v>127</v>
      </c>
      <c r="F1940" t="s">
        <v>90</v>
      </c>
      <c r="G1940" s="33">
        <v>40</v>
      </c>
    </row>
    <row r="1941" spans="1:7">
      <c r="A1941" t="s">
        <v>22</v>
      </c>
      <c r="B1941" t="s">
        <v>193</v>
      </c>
      <c r="C1941" s="32">
        <v>475.16</v>
      </c>
      <c r="D1941" s="33">
        <v>44</v>
      </c>
      <c r="E1941" t="s">
        <v>128</v>
      </c>
      <c r="F1941" t="s">
        <v>96</v>
      </c>
      <c r="G1941" s="33">
        <v>41</v>
      </c>
    </row>
    <row r="1942" spans="1:7">
      <c r="A1942" t="s">
        <v>22</v>
      </c>
      <c r="B1942" t="s">
        <v>193</v>
      </c>
      <c r="C1942" s="32">
        <v>475.25</v>
      </c>
      <c r="D1942" s="33">
        <v>45</v>
      </c>
      <c r="E1942" t="s">
        <v>129</v>
      </c>
      <c r="F1942" t="s">
        <v>90</v>
      </c>
      <c r="G1942" s="33">
        <v>40</v>
      </c>
    </row>
    <row r="1943" spans="1:7">
      <c r="A1943" t="s">
        <v>22</v>
      </c>
      <c r="B1943" t="s">
        <v>193</v>
      </c>
      <c r="C1943" s="32">
        <v>475.35</v>
      </c>
      <c r="D1943" s="33">
        <v>46</v>
      </c>
      <c r="E1943" t="s">
        <v>130</v>
      </c>
      <c r="F1943" t="s">
        <v>93</v>
      </c>
      <c r="G1943" s="33">
        <v>41</v>
      </c>
    </row>
    <row r="1944" spans="1:7">
      <c r="A1944" t="s">
        <v>22</v>
      </c>
      <c r="B1944" t="s">
        <v>193</v>
      </c>
      <c r="C1944" s="32">
        <v>475.44</v>
      </c>
      <c r="D1944" s="33">
        <v>47</v>
      </c>
      <c r="E1944" t="s">
        <v>131</v>
      </c>
      <c r="F1944" t="s">
        <v>90</v>
      </c>
      <c r="G1944" s="33">
        <v>41</v>
      </c>
    </row>
    <row r="1945" spans="1:7">
      <c r="A1945" t="s">
        <v>22</v>
      </c>
      <c r="B1945" t="s">
        <v>193</v>
      </c>
      <c r="C1945" s="32">
        <v>475.54</v>
      </c>
      <c r="D1945" s="33">
        <v>48</v>
      </c>
      <c r="E1945" t="s">
        <v>133</v>
      </c>
      <c r="F1945" t="s">
        <v>90</v>
      </c>
      <c r="G1945" s="33">
        <v>40</v>
      </c>
    </row>
    <row r="1946" spans="1:7">
      <c r="A1946" t="s">
        <v>22</v>
      </c>
      <c r="B1946" t="s">
        <v>193</v>
      </c>
      <c r="C1946" s="32">
        <v>475.64</v>
      </c>
      <c r="D1946" s="33">
        <v>49</v>
      </c>
      <c r="E1946" t="s">
        <v>134</v>
      </c>
      <c r="F1946" t="s">
        <v>93</v>
      </c>
      <c r="G1946" s="33">
        <v>41</v>
      </c>
    </row>
    <row r="1947" spans="1:7">
      <c r="A1947" t="s">
        <v>22</v>
      </c>
      <c r="B1947" t="s">
        <v>193</v>
      </c>
      <c r="C1947" s="32">
        <v>475.73</v>
      </c>
      <c r="D1947" s="33">
        <v>50</v>
      </c>
      <c r="E1947" t="s">
        <v>135</v>
      </c>
      <c r="F1947" t="s">
        <v>90</v>
      </c>
      <c r="G1947" s="33">
        <v>40</v>
      </c>
    </row>
    <row r="1948" spans="1:7">
      <c r="A1948" t="s">
        <v>22</v>
      </c>
      <c r="B1948" t="s">
        <v>193</v>
      </c>
      <c r="C1948" s="32">
        <v>475.83</v>
      </c>
      <c r="D1948" s="33">
        <v>51</v>
      </c>
      <c r="E1948" t="s">
        <v>136</v>
      </c>
      <c r="F1948" t="s">
        <v>96</v>
      </c>
      <c r="G1948" s="33">
        <v>41</v>
      </c>
    </row>
    <row r="1949" spans="1:7">
      <c r="A1949" t="s">
        <v>22</v>
      </c>
      <c r="B1949" t="s">
        <v>193</v>
      </c>
      <c r="C1949" s="32">
        <v>475.93</v>
      </c>
      <c r="D1949" s="33">
        <v>52</v>
      </c>
      <c r="E1949" t="s">
        <v>137</v>
      </c>
      <c r="F1949" t="s">
        <v>90</v>
      </c>
      <c r="G1949" s="33">
        <v>41</v>
      </c>
    </row>
    <row r="1950" spans="1:7">
      <c r="A1950" t="s">
        <v>22</v>
      </c>
      <c r="B1950" t="s">
        <v>193</v>
      </c>
      <c r="C1950" s="32">
        <v>476.02</v>
      </c>
      <c r="D1950" s="33">
        <v>53</v>
      </c>
      <c r="E1950" t="s">
        <v>138</v>
      </c>
      <c r="F1950" t="s">
        <v>93</v>
      </c>
      <c r="G1950" s="33">
        <v>40</v>
      </c>
    </row>
    <row r="1951" spans="1:7">
      <c r="A1951" t="s">
        <v>22</v>
      </c>
      <c r="B1951" t="s">
        <v>193</v>
      </c>
      <c r="C1951" s="32">
        <v>476.12</v>
      </c>
      <c r="D1951" s="33">
        <v>54</v>
      </c>
      <c r="E1951" t="s">
        <v>140</v>
      </c>
      <c r="F1951" t="s">
        <v>90</v>
      </c>
      <c r="G1951" s="33">
        <v>41</v>
      </c>
    </row>
    <row r="1952" spans="1:7">
      <c r="A1952" t="s">
        <v>22</v>
      </c>
      <c r="B1952" t="s">
        <v>193</v>
      </c>
      <c r="C1952" s="32">
        <v>476.22</v>
      </c>
      <c r="D1952" s="33">
        <v>55</v>
      </c>
      <c r="E1952" t="s">
        <v>141</v>
      </c>
      <c r="F1952" t="s">
        <v>102</v>
      </c>
      <c r="G1952" s="33">
        <v>40</v>
      </c>
    </row>
    <row r="1953" spans="1:7">
      <c r="A1953" t="s">
        <v>22</v>
      </c>
      <c r="B1953" t="s">
        <v>193</v>
      </c>
      <c r="C1953" s="32">
        <v>476.31</v>
      </c>
      <c r="D1953" s="33">
        <v>56</v>
      </c>
      <c r="E1953" t="s">
        <v>142</v>
      </c>
      <c r="F1953" t="s">
        <v>93</v>
      </c>
      <c r="G1953" s="33">
        <v>41</v>
      </c>
    </row>
    <row r="1954" spans="1:7">
      <c r="A1954" t="s">
        <v>22</v>
      </c>
      <c r="B1954" t="s">
        <v>193</v>
      </c>
      <c r="C1954" s="32">
        <v>476.41</v>
      </c>
      <c r="D1954" s="33">
        <v>57</v>
      </c>
      <c r="E1954" t="s">
        <v>143</v>
      </c>
      <c r="F1954" t="s">
        <v>90</v>
      </c>
      <c r="G1954" s="33">
        <v>41</v>
      </c>
    </row>
    <row r="1955" spans="1:7">
      <c r="A1955" t="s">
        <v>22</v>
      </c>
      <c r="B1955" t="s">
        <v>193</v>
      </c>
      <c r="C1955" s="32">
        <v>476.51</v>
      </c>
      <c r="D1955" s="33">
        <v>58</v>
      </c>
      <c r="E1955" t="s">
        <v>144</v>
      </c>
      <c r="F1955" t="s">
        <v>96</v>
      </c>
      <c r="G1955" s="33">
        <v>40</v>
      </c>
    </row>
    <row r="1956" spans="1:7">
      <c r="A1956" t="s">
        <v>22</v>
      </c>
      <c r="B1956" t="s">
        <v>193</v>
      </c>
      <c r="C1956" s="32">
        <v>476.6</v>
      </c>
      <c r="D1956" s="33">
        <v>59</v>
      </c>
      <c r="E1956" t="s">
        <v>145</v>
      </c>
      <c r="F1956" t="s">
        <v>90</v>
      </c>
      <c r="G1956" s="33">
        <v>41</v>
      </c>
    </row>
    <row r="1957" spans="1:7">
      <c r="A1957" t="s">
        <v>22</v>
      </c>
      <c r="B1957" t="s">
        <v>193</v>
      </c>
      <c r="C1957" s="32">
        <v>476.7</v>
      </c>
      <c r="D1957" s="33">
        <v>60</v>
      </c>
      <c r="E1957" t="s">
        <v>146</v>
      </c>
      <c r="F1957" t="s">
        <v>93</v>
      </c>
      <c r="G1957" s="33">
        <v>40</v>
      </c>
    </row>
    <row r="1958" spans="1:7">
      <c r="A1958" t="s">
        <v>22</v>
      </c>
      <c r="B1958" t="s">
        <v>193</v>
      </c>
      <c r="C1958" s="32">
        <v>476.8</v>
      </c>
      <c r="D1958" s="33">
        <v>61</v>
      </c>
      <c r="E1958" t="s">
        <v>148</v>
      </c>
      <c r="F1958" t="s">
        <v>90</v>
      </c>
      <c r="G1958" s="33">
        <v>41</v>
      </c>
    </row>
    <row r="1959" spans="1:7">
      <c r="A1959" t="s">
        <v>22</v>
      </c>
      <c r="B1959" t="s">
        <v>193</v>
      </c>
      <c r="C1959" s="32">
        <v>476.89</v>
      </c>
      <c r="D1959" s="33">
        <v>62</v>
      </c>
      <c r="E1959" t="s">
        <v>149</v>
      </c>
      <c r="F1959" t="s">
        <v>90</v>
      </c>
      <c r="G1959" s="33">
        <v>41</v>
      </c>
    </row>
    <row r="1960" spans="1:7">
      <c r="A1960" t="s">
        <v>22</v>
      </c>
      <c r="B1960" t="s">
        <v>193</v>
      </c>
      <c r="C1960" s="32">
        <v>476.99</v>
      </c>
      <c r="D1960" s="33">
        <v>63</v>
      </c>
      <c r="E1960" t="s">
        <v>150</v>
      </c>
      <c r="F1960" t="s">
        <v>93</v>
      </c>
      <c r="G1960" s="33">
        <v>40</v>
      </c>
    </row>
    <row r="1961" spans="1:7">
      <c r="A1961" t="s">
        <v>22</v>
      </c>
      <c r="B1961" t="s">
        <v>193</v>
      </c>
      <c r="C1961" s="32">
        <v>477.09</v>
      </c>
      <c r="D1961" s="33">
        <v>64</v>
      </c>
      <c r="E1961" t="s">
        <v>151</v>
      </c>
      <c r="F1961" t="s">
        <v>90</v>
      </c>
      <c r="G1961" s="33">
        <v>41</v>
      </c>
    </row>
    <row r="1962" spans="1:7">
      <c r="A1962" t="s">
        <v>22</v>
      </c>
      <c r="B1962" t="s">
        <v>193</v>
      </c>
      <c r="C1962" s="32">
        <v>477.18</v>
      </c>
      <c r="D1962" s="33">
        <v>65</v>
      </c>
      <c r="E1962" t="s">
        <v>152</v>
      </c>
      <c r="F1962" t="s">
        <v>96</v>
      </c>
      <c r="G1962" s="33">
        <v>40</v>
      </c>
    </row>
    <row r="1963" spans="1:7">
      <c r="A1963" t="s">
        <v>22</v>
      </c>
      <c r="B1963" t="s">
        <v>193</v>
      </c>
      <c r="C1963" s="32">
        <v>477.28</v>
      </c>
      <c r="D1963" s="33">
        <v>66</v>
      </c>
      <c r="E1963" t="s">
        <v>153</v>
      </c>
      <c r="F1963" t="s">
        <v>90</v>
      </c>
      <c r="G1963" s="33">
        <v>41</v>
      </c>
    </row>
    <row r="1964" spans="1:7">
      <c r="A1964" t="s">
        <v>22</v>
      </c>
      <c r="B1964" t="s">
        <v>193</v>
      </c>
      <c r="C1964" s="32">
        <v>477.38</v>
      </c>
      <c r="D1964" s="33">
        <v>67</v>
      </c>
      <c r="E1964" t="s">
        <v>120</v>
      </c>
      <c r="F1964" t="s">
        <v>90</v>
      </c>
      <c r="G1964" s="33">
        <v>40</v>
      </c>
    </row>
    <row r="1965" spans="1:7">
      <c r="A1965" t="s">
        <v>22</v>
      </c>
      <c r="B1965" t="s">
        <v>193</v>
      </c>
      <c r="C1965" s="32">
        <v>477.47</v>
      </c>
      <c r="D1965" s="33">
        <v>68</v>
      </c>
      <c r="E1965" t="s">
        <v>115</v>
      </c>
      <c r="F1965" t="s">
        <v>93</v>
      </c>
      <c r="G1965" s="33">
        <v>41</v>
      </c>
    </row>
    <row r="1966" spans="1:7">
      <c r="A1966" t="s">
        <v>22</v>
      </c>
      <c r="B1966" t="s">
        <v>193</v>
      </c>
      <c r="C1966" s="32">
        <v>477.57</v>
      </c>
      <c r="D1966" s="33">
        <v>69</v>
      </c>
      <c r="E1966" t="s">
        <v>116</v>
      </c>
      <c r="F1966" t="s">
        <v>102</v>
      </c>
      <c r="G1966" s="33">
        <v>41</v>
      </c>
    </row>
    <row r="1967" spans="1:7">
      <c r="A1967" t="s">
        <v>22</v>
      </c>
      <c r="B1967" t="s">
        <v>193</v>
      </c>
      <c r="C1967" s="32">
        <v>477.67</v>
      </c>
      <c r="D1967" s="33">
        <v>70</v>
      </c>
      <c r="E1967" t="s">
        <v>117</v>
      </c>
      <c r="F1967" t="s">
        <v>90</v>
      </c>
      <c r="G1967" s="33">
        <v>40</v>
      </c>
    </row>
    <row r="1968" spans="1:7">
      <c r="A1968" t="s">
        <v>22</v>
      </c>
      <c r="B1968" t="s">
        <v>193</v>
      </c>
      <c r="C1968" s="32">
        <v>477.76</v>
      </c>
      <c r="D1968" s="33">
        <v>71</v>
      </c>
      <c r="E1968" t="s">
        <v>118</v>
      </c>
      <c r="F1968" t="s">
        <v>93</v>
      </c>
      <c r="G1968" s="33">
        <v>41</v>
      </c>
    </row>
    <row r="1969" spans="1:7">
      <c r="A1969" t="s">
        <v>22</v>
      </c>
      <c r="B1969" t="s">
        <v>193</v>
      </c>
      <c r="C1969" s="32">
        <v>477.86</v>
      </c>
      <c r="D1969" s="33">
        <v>72</v>
      </c>
      <c r="E1969" t="s">
        <v>122</v>
      </c>
      <c r="F1969" t="s">
        <v>90</v>
      </c>
      <c r="G1969" s="33">
        <v>40</v>
      </c>
    </row>
    <row r="1970" spans="1:7">
      <c r="A1970" t="s">
        <v>22</v>
      </c>
      <c r="B1970" t="s">
        <v>193</v>
      </c>
      <c r="C1970" s="32">
        <v>477.96</v>
      </c>
      <c r="D1970" s="33">
        <v>73</v>
      </c>
      <c r="E1970" t="s">
        <v>124</v>
      </c>
      <c r="F1970" t="s">
        <v>96</v>
      </c>
      <c r="G1970" s="33">
        <v>41</v>
      </c>
    </row>
    <row r="1971" spans="1:7">
      <c r="A1971" t="s">
        <v>22</v>
      </c>
      <c r="B1971" t="s">
        <v>193</v>
      </c>
      <c r="C1971" s="32">
        <v>478.05</v>
      </c>
      <c r="D1971" s="33">
        <v>74</v>
      </c>
      <c r="E1971" t="s">
        <v>125</v>
      </c>
      <c r="F1971" t="s">
        <v>90</v>
      </c>
      <c r="G1971" s="33">
        <v>41</v>
      </c>
    </row>
    <row r="1972" spans="1:7">
      <c r="A1972" t="s">
        <v>22</v>
      </c>
      <c r="B1972" t="s">
        <v>193</v>
      </c>
      <c r="C1972" s="32">
        <v>478.15</v>
      </c>
      <c r="D1972" s="33">
        <v>75</v>
      </c>
      <c r="E1972" t="s">
        <v>127</v>
      </c>
      <c r="F1972" t="s">
        <v>93</v>
      </c>
      <c r="G1972" s="33">
        <v>40</v>
      </c>
    </row>
    <row r="1973" spans="1:7">
      <c r="A1973" t="s">
        <v>22</v>
      </c>
      <c r="B1973" t="s">
        <v>193</v>
      </c>
      <c r="C1973" s="32">
        <v>478.25</v>
      </c>
      <c r="D1973" s="33">
        <v>76</v>
      </c>
      <c r="E1973" t="s">
        <v>128</v>
      </c>
      <c r="F1973" t="s">
        <v>90</v>
      </c>
      <c r="G1973" s="33">
        <v>41</v>
      </c>
    </row>
    <row r="1974" spans="1:7">
      <c r="A1974" t="s">
        <v>22</v>
      </c>
      <c r="B1974" t="s">
        <v>193</v>
      </c>
      <c r="C1974" s="32">
        <v>478.34</v>
      </c>
      <c r="D1974" s="33">
        <v>77</v>
      </c>
      <c r="E1974" t="s">
        <v>129</v>
      </c>
      <c r="F1974" t="s">
        <v>90</v>
      </c>
      <c r="G1974" s="33">
        <v>40</v>
      </c>
    </row>
    <row r="1975" spans="1:7">
      <c r="A1975" t="s">
        <v>22</v>
      </c>
      <c r="B1975" t="s">
        <v>193</v>
      </c>
      <c r="C1975" s="32">
        <v>478.44</v>
      </c>
      <c r="D1975" s="33">
        <v>78</v>
      </c>
      <c r="E1975" t="s">
        <v>130</v>
      </c>
      <c r="F1975" t="s">
        <v>93</v>
      </c>
      <c r="G1975" s="33">
        <v>41</v>
      </c>
    </row>
    <row r="1976" spans="1:7">
      <c r="A1976" t="s">
        <v>22</v>
      </c>
      <c r="B1976" t="s">
        <v>193</v>
      </c>
      <c r="C1976" s="32">
        <v>478.54</v>
      </c>
      <c r="D1976" s="33">
        <v>79</v>
      </c>
      <c r="E1976" t="s">
        <v>131</v>
      </c>
      <c r="F1976" t="s">
        <v>90</v>
      </c>
      <c r="G1976" s="33">
        <v>41</v>
      </c>
    </row>
    <row r="1977" spans="1:7">
      <c r="A1977" t="s">
        <v>22</v>
      </c>
      <c r="B1977" t="s">
        <v>193</v>
      </c>
      <c r="C1977" s="32">
        <v>478.63</v>
      </c>
      <c r="D1977" s="33">
        <v>80</v>
      </c>
      <c r="E1977" t="s">
        <v>133</v>
      </c>
      <c r="F1977" t="s">
        <v>96</v>
      </c>
      <c r="G1977" s="33">
        <v>40</v>
      </c>
    </row>
    <row r="1978" spans="1:7">
      <c r="A1978" t="s">
        <v>22</v>
      </c>
      <c r="B1978" t="s">
        <v>193</v>
      </c>
      <c r="C1978" s="32">
        <v>478.73</v>
      </c>
      <c r="D1978" s="33">
        <v>81</v>
      </c>
      <c r="E1978" t="s">
        <v>134</v>
      </c>
      <c r="F1978" t="s">
        <v>90</v>
      </c>
      <c r="G1978" s="33">
        <v>41</v>
      </c>
    </row>
    <row r="1979" spans="1:7">
      <c r="A1979" t="s">
        <v>22</v>
      </c>
      <c r="B1979" t="s">
        <v>193</v>
      </c>
      <c r="C1979" s="32">
        <v>478.83</v>
      </c>
      <c r="D1979" s="33">
        <v>82</v>
      </c>
      <c r="E1979" t="s">
        <v>135</v>
      </c>
      <c r="F1979" t="s">
        <v>93</v>
      </c>
      <c r="G1979" s="33">
        <v>40</v>
      </c>
    </row>
    <row r="1980" spans="1:7">
      <c r="A1980" t="s">
        <v>22</v>
      </c>
      <c r="B1980" t="s">
        <v>193</v>
      </c>
      <c r="C1980" s="32">
        <v>478.92</v>
      </c>
      <c r="D1980" s="33">
        <v>83</v>
      </c>
      <c r="E1980" t="s">
        <v>136</v>
      </c>
      <c r="F1980" t="s">
        <v>102</v>
      </c>
      <c r="G1980" s="33">
        <v>41</v>
      </c>
    </row>
    <row r="1981" spans="1:7">
      <c r="A1981" t="s">
        <v>22</v>
      </c>
      <c r="B1981" t="s">
        <v>193</v>
      </c>
      <c r="C1981" s="32">
        <v>479.02</v>
      </c>
      <c r="D1981" s="33">
        <v>84</v>
      </c>
      <c r="E1981" t="s">
        <v>137</v>
      </c>
      <c r="F1981" t="s">
        <v>90</v>
      </c>
      <c r="G1981" s="33">
        <v>40</v>
      </c>
    </row>
    <row r="1982" spans="1:7">
      <c r="A1982" t="s">
        <v>22</v>
      </c>
      <c r="B1982" t="s">
        <v>193</v>
      </c>
      <c r="C1982" s="32">
        <v>479.12</v>
      </c>
      <c r="D1982" s="33">
        <v>85</v>
      </c>
      <c r="E1982" t="s">
        <v>138</v>
      </c>
      <c r="F1982" t="s">
        <v>93</v>
      </c>
      <c r="G1982" s="33">
        <v>41</v>
      </c>
    </row>
    <row r="1983" spans="1:7">
      <c r="A1983" t="s">
        <v>22</v>
      </c>
      <c r="B1983" t="s">
        <v>193</v>
      </c>
      <c r="C1983" s="32">
        <v>479.21</v>
      </c>
      <c r="D1983" s="33">
        <v>86</v>
      </c>
      <c r="E1983" t="s">
        <v>140</v>
      </c>
      <c r="F1983" t="s">
        <v>90</v>
      </c>
      <c r="G1983" s="33">
        <v>41</v>
      </c>
    </row>
    <row r="1984" spans="1:7">
      <c r="A1984" t="s">
        <v>22</v>
      </c>
      <c r="B1984" t="s">
        <v>193</v>
      </c>
      <c r="C1984" s="32">
        <v>479.31</v>
      </c>
      <c r="D1984" s="33">
        <v>87</v>
      </c>
      <c r="E1984" t="s">
        <v>141</v>
      </c>
      <c r="F1984" t="s">
        <v>96</v>
      </c>
      <c r="G1984" s="33">
        <v>40</v>
      </c>
    </row>
    <row r="1985" spans="1:7">
      <c r="A1985" t="s">
        <v>22</v>
      </c>
      <c r="B1985" t="s">
        <v>193</v>
      </c>
      <c r="C1985" s="32">
        <v>479.41</v>
      </c>
      <c r="D1985" s="33">
        <v>88</v>
      </c>
      <c r="E1985" t="s">
        <v>142</v>
      </c>
      <c r="F1985" t="s">
        <v>90</v>
      </c>
      <c r="G1985" s="33">
        <v>41</v>
      </c>
    </row>
    <row r="1986" spans="1:7">
      <c r="A1986" t="s">
        <v>22</v>
      </c>
      <c r="B1986" t="s">
        <v>193</v>
      </c>
      <c r="C1986" s="32">
        <v>479.5</v>
      </c>
      <c r="D1986" s="33">
        <v>89</v>
      </c>
      <c r="E1986" t="s">
        <v>143</v>
      </c>
      <c r="F1986" t="s">
        <v>93</v>
      </c>
      <c r="G1986" s="33">
        <v>40</v>
      </c>
    </row>
    <row r="1987" spans="1:7">
      <c r="A1987" t="s">
        <v>22</v>
      </c>
      <c r="B1987" t="s">
        <v>193</v>
      </c>
      <c r="C1987" s="32">
        <v>479.6</v>
      </c>
      <c r="D1987" s="33">
        <v>90</v>
      </c>
      <c r="E1987" t="s">
        <v>144</v>
      </c>
      <c r="F1987" t="s">
        <v>90</v>
      </c>
      <c r="G1987" s="33">
        <v>41</v>
      </c>
    </row>
    <row r="1988" spans="1:7">
      <c r="A1988" t="s">
        <v>22</v>
      </c>
      <c r="B1988" t="s">
        <v>194</v>
      </c>
      <c r="C1988" s="32">
        <v>481</v>
      </c>
      <c r="D1988" s="33">
        <v>1</v>
      </c>
      <c r="E1988" t="s">
        <v>140</v>
      </c>
      <c r="F1988" t="s">
        <v>90</v>
      </c>
      <c r="G1988" s="33">
        <v>42</v>
      </c>
    </row>
    <row r="1989" spans="1:7">
      <c r="A1989" t="s">
        <v>22</v>
      </c>
      <c r="B1989" t="s">
        <v>194</v>
      </c>
      <c r="C1989" s="32">
        <v>481.09</v>
      </c>
      <c r="D1989" s="33">
        <v>2</v>
      </c>
      <c r="E1989" t="s">
        <v>141</v>
      </c>
      <c r="F1989" t="s">
        <v>93</v>
      </c>
      <c r="G1989" s="33">
        <v>41</v>
      </c>
    </row>
    <row r="1990" spans="1:7">
      <c r="A1990" t="s">
        <v>22</v>
      </c>
      <c r="B1990" t="s">
        <v>194</v>
      </c>
      <c r="C1990" s="32">
        <v>481.19</v>
      </c>
      <c r="D1990" s="33">
        <v>3</v>
      </c>
      <c r="E1990" t="s">
        <v>142</v>
      </c>
      <c r="F1990" t="s">
        <v>90</v>
      </c>
      <c r="G1990" s="33">
        <v>42</v>
      </c>
    </row>
    <row r="1991" spans="1:7">
      <c r="A1991" t="s">
        <v>22</v>
      </c>
      <c r="B1991" t="s">
        <v>194</v>
      </c>
      <c r="C1991" s="32">
        <v>481.28</v>
      </c>
      <c r="D1991" s="33">
        <v>4</v>
      </c>
      <c r="E1991" t="s">
        <v>143</v>
      </c>
      <c r="F1991" t="s">
        <v>96</v>
      </c>
      <c r="G1991" s="33">
        <v>41</v>
      </c>
    </row>
    <row r="1992" spans="1:7">
      <c r="A1992" t="s">
        <v>22</v>
      </c>
      <c r="B1992" t="s">
        <v>194</v>
      </c>
      <c r="C1992" s="32">
        <v>481.37</v>
      </c>
      <c r="D1992" s="33">
        <v>5</v>
      </c>
      <c r="E1992" t="s">
        <v>144</v>
      </c>
      <c r="F1992" t="s">
        <v>90</v>
      </c>
      <c r="G1992" s="33">
        <v>42</v>
      </c>
    </row>
    <row r="1993" spans="1:7">
      <c r="A1993" t="s">
        <v>22</v>
      </c>
      <c r="B1993" t="s">
        <v>194</v>
      </c>
      <c r="C1993" s="32">
        <v>481.47</v>
      </c>
      <c r="D1993" s="33">
        <v>6</v>
      </c>
      <c r="E1993" t="s">
        <v>145</v>
      </c>
      <c r="F1993" t="s">
        <v>93</v>
      </c>
      <c r="G1993" s="33">
        <v>42</v>
      </c>
    </row>
    <row r="1994" spans="1:7">
      <c r="A1994" t="s">
        <v>22</v>
      </c>
      <c r="B1994" t="s">
        <v>194</v>
      </c>
      <c r="C1994" s="32">
        <v>481.56</v>
      </c>
      <c r="D1994" s="33">
        <v>7</v>
      </c>
      <c r="E1994" t="s">
        <v>146</v>
      </c>
      <c r="F1994" t="s">
        <v>90</v>
      </c>
      <c r="G1994" s="33">
        <v>41</v>
      </c>
    </row>
    <row r="1995" spans="1:7">
      <c r="A1995" t="s">
        <v>22</v>
      </c>
      <c r="B1995" t="s">
        <v>194</v>
      </c>
      <c r="C1995" s="32">
        <v>481.65</v>
      </c>
      <c r="D1995" s="33">
        <v>8</v>
      </c>
      <c r="E1995" t="s">
        <v>148</v>
      </c>
      <c r="F1995" t="s">
        <v>90</v>
      </c>
      <c r="G1995" s="33">
        <v>42</v>
      </c>
    </row>
    <row r="1996" spans="1:7">
      <c r="A1996" t="s">
        <v>22</v>
      </c>
      <c r="B1996" t="s">
        <v>194</v>
      </c>
      <c r="C1996" s="32">
        <v>481.75</v>
      </c>
      <c r="D1996" s="33">
        <v>9</v>
      </c>
      <c r="E1996" t="s">
        <v>149</v>
      </c>
      <c r="F1996" t="s">
        <v>93</v>
      </c>
      <c r="G1996" s="33">
        <v>42</v>
      </c>
    </row>
    <row r="1997" spans="1:7">
      <c r="A1997" t="s">
        <v>22</v>
      </c>
      <c r="B1997" t="s">
        <v>194</v>
      </c>
      <c r="C1997" s="32">
        <v>481.84</v>
      </c>
      <c r="D1997" s="33">
        <v>10</v>
      </c>
      <c r="E1997" t="s">
        <v>150</v>
      </c>
      <c r="F1997" t="s">
        <v>90</v>
      </c>
      <c r="G1997" s="33">
        <v>41</v>
      </c>
    </row>
    <row r="1998" spans="1:7">
      <c r="A1998" t="s">
        <v>22</v>
      </c>
      <c r="B1998" t="s">
        <v>194</v>
      </c>
      <c r="C1998" s="32">
        <v>481.93</v>
      </c>
      <c r="D1998" s="33">
        <v>11</v>
      </c>
      <c r="E1998" t="s">
        <v>151</v>
      </c>
      <c r="F1998" t="s">
        <v>90</v>
      </c>
      <c r="G1998" s="33">
        <v>42</v>
      </c>
    </row>
    <row r="1999" spans="1:7">
      <c r="A1999" t="s">
        <v>22</v>
      </c>
      <c r="B1999" t="s">
        <v>194</v>
      </c>
      <c r="C1999" s="32">
        <v>482.03</v>
      </c>
      <c r="D1999" s="33">
        <v>12</v>
      </c>
      <c r="E1999" t="s">
        <v>152</v>
      </c>
      <c r="F1999" t="s">
        <v>96</v>
      </c>
      <c r="G1999" s="33">
        <v>41</v>
      </c>
    </row>
    <row r="2000" spans="1:7">
      <c r="A2000" t="s">
        <v>22</v>
      </c>
      <c r="B2000" t="s">
        <v>194</v>
      </c>
      <c r="C2000" s="32">
        <v>482.12</v>
      </c>
      <c r="D2000" s="33">
        <v>13</v>
      </c>
      <c r="E2000" t="s">
        <v>153</v>
      </c>
      <c r="F2000" t="s">
        <v>102</v>
      </c>
      <c r="G2000" s="33">
        <v>42</v>
      </c>
    </row>
    <row r="2001" spans="1:7">
      <c r="A2001" t="s">
        <v>22</v>
      </c>
      <c r="B2001" t="s">
        <v>194</v>
      </c>
      <c r="C2001" s="32">
        <v>482.22</v>
      </c>
      <c r="D2001" s="33">
        <v>14</v>
      </c>
      <c r="E2001" t="s">
        <v>120</v>
      </c>
      <c r="F2001" t="s">
        <v>93</v>
      </c>
      <c r="G2001" s="33">
        <v>42</v>
      </c>
    </row>
    <row r="2002" spans="1:7">
      <c r="A2002" t="s">
        <v>22</v>
      </c>
      <c r="B2002" t="s">
        <v>194</v>
      </c>
      <c r="C2002" s="32">
        <v>482.31</v>
      </c>
      <c r="D2002" s="33">
        <v>15</v>
      </c>
      <c r="E2002" t="s">
        <v>115</v>
      </c>
      <c r="F2002" t="s">
        <v>90</v>
      </c>
      <c r="G2002" s="33">
        <v>41</v>
      </c>
    </row>
    <row r="2003" spans="1:7">
      <c r="A2003" t="s">
        <v>22</v>
      </c>
      <c r="B2003" t="s">
        <v>194</v>
      </c>
      <c r="C2003" s="32">
        <v>482.4</v>
      </c>
      <c r="D2003" s="33">
        <v>16</v>
      </c>
      <c r="E2003" t="s">
        <v>116</v>
      </c>
      <c r="F2003" t="s">
        <v>93</v>
      </c>
      <c r="G2003" s="33">
        <v>42</v>
      </c>
    </row>
    <row r="2004" spans="1:7">
      <c r="A2004" t="s">
        <v>22</v>
      </c>
      <c r="B2004" t="s">
        <v>194</v>
      </c>
      <c r="C2004" s="32">
        <v>482.5</v>
      </c>
      <c r="D2004" s="33">
        <v>17</v>
      </c>
      <c r="E2004" t="s">
        <v>117</v>
      </c>
      <c r="F2004" t="s">
        <v>90</v>
      </c>
      <c r="G2004" s="33">
        <v>42</v>
      </c>
    </row>
    <row r="2005" spans="1:7">
      <c r="A2005" t="s">
        <v>22</v>
      </c>
      <c r="B2005" t="s">
        <v>194</v>
      </c>
      <c r="C2005" s="32">
        <v>482.59</v>
      </c>
      <c r="D2005" s="33">
        <v>18</v>
      </c>
      <c r="E2005" t="s">
        <v>118</v>
      </c>
      <c r="F2005" t="s">
        <v>90</v>
      </c>
      <c r="G2005" s="33">
        <v>41</v>
      </c>
    </row>
    <row r="2006" spans="1:7">
      <c r="A2006" t="s">
        <v>22</v>
      </c>
      <c r="B2006" t="s">
        <v>194</v>
      </c>
      <c r="C2006" s="32">
        <v>482.68</v>
      </c>
      <c r="D2006" s="33">
        <v>19</v>
      </c>
      <c r="E2006" t="s">
        <v>122</v>
      </c>
      <c r="F2006" t="s">
        <v>96</v>
      </c>
      <c r="G2006" s="33">
        <v>42</v>
      </c>
    </row>
    <row r="2007" spans="1:7">
      <c r="A2007" t="s">
        <v>22</v>
      </c>
      <c r="B2007" t="s">
        <v>194</v>
      </c>
      <c r="C2007" s="32">
        <v>482.78</v>
      </c>
      <c r="D2007" s="33">
        <v>20</v>
      </c>
      <c r="E2007" t="s">
        <v>124</v>
      </c>
      <c r="F2007" t="s">
        <v>90</v>
      </c>
      <c r="G2007" s="33">
        <v>41</v>
      </c>
    </row>
    <row r="2008" spans="1:7">
      <c r="A2008" t="s">
        <v>22</v>
      </c>
      <c r="B2008" t="s">
        <v>194</v>
      </c>
      <c r="C2008" s="32">
        <v>482.87</v>
      </c>
      <c r="D2008" s="33">
        <v>21</v>
      </c>
      <c r="E2008" t="s">
        <v>125</v>
      </c>
      <c r="F2008" t="s">
        <v>93</v>
      </c>
      <c r="G2008" s="33">
        <v>42</v>
      </c>
    </row>
    <row r="2009" spans="1:7">
      <c r="A2009" t="s">
        <v>22</v>
      </c>
      <c r="B2009" t="s">
        <v>194</v>
      </c>
      <c r="C2009" s="32">
        <v>482.96</v>
      </c>
      <c r="D2009" s="33">
        <v>22</v>
      </c>
      <c r="E2009" t="s">
        <v>127</v>
      </c>
      <c r="F2009" t="s">
        <v>90</v>
      </c>
      <c r="G2009" s="33">
        <v>42</v>
      </c>
    </row>
    <row r="2010" spans="1:7">
      <c r="A2010" t="s">
        <v>22</v>
      </c>
      <c r="B2010" t="s">
        <v>194</v>
      </c>
      <c r="C2010" s="32">
        <v>483.06</v>
      </c>
      <c r="D2010" s="33">
        <v>23</v>
      </c>
      <c r="E2010" t="s">
        <v>128</v>
      </c>
      <c r="F2010" t="s">
        <v>90</v>
      </c>
      <c r="G2010" s="33">
        <v>41</v>
      </c>
    </row>
    <row r="2011" spans="1:7">
      <c r="A2011" t="s">
        <v>22</v>
      </c>
      <c r="B2011" t="s">
        <v>194</v>
      </c>
      <c r="C2011" s="32">
        <v>483.15</v>
      </c>
      <c r="D2011" s="33">
        <v>24</v>
      </c>
      <c r="E2011" t="s">
        <v>129</v>
      </c>
      <c r="F2011" t="s">
        <v>93</v>
      </c>
      <c r="G2011" s="33">
        <v>42</v>
      </c>
    </row>
    <row r="2012" spans="1:7">
      <c r="A2012" t="s">
        <v>22</v>
      </c>
      <c r="B2012" t="s">
        <v>194</v>
      </c>
      <c r="C2012" s="32">
        <v>483.24</v>
      </c>
      <c r="D2012" s="33">
        <v>25</v>
      </c>
      <c r="E2012" t="s">
        <v>130</v>
      </c>
      <c r="F2012" t="s">
        <v>90</v>
      </c>
      <c r="G2012" s="33">
        <v>42</v>
      </c>
    </row>
    <row r="2013" spans="1:7">
      <c r="A2013" t="s">
        <v>22</v>
      </c>
      <c r="B2013" t="s">
        <v>194</v>
      </c>
      <c r="C2013" s="32">
        <v>483.34</v>
      </c>
      <c r="D2013" s="33">
        <v>26</v>
      </c>
      <c r="E2013" t="s">
        <v>131</v>
      </c>
      <c r="F2013" t="s">
        <v>102</v>
      </c>
      <c r="G2013" s="33">
        <v>41</v>
      </c>
    </row>
    <row r="2014" spans="1:7">
      <c r="A2014" t="s">
        <v>22</v>
      </c>
      <c r="B2014" t="s">
        <v>194</v>
      </c>
      <c r="C2014" s="32">
        <v>483.43</v>
      </c>
      <c r="D2014" s="33">
        <v>27</v>
      </c>
      <c r="E2014" t="s">
        <v>133</v>
      </c>
      <c r="F2014" t="s">
        <v>93</v>
      </c>
      <c r="G2014" s="33">
        <v>42</v>
      </c>
    </row>
    <row r="2015" spans="1:7">
      <c r="A2015" t="s">
        <v>22</v>
      </c>
      <c r="B2015" t="s">
        <v>194</v>
      </c>
      <c r="C2015" s="32">
        <v>483.52</v>
      </c>
      <c r="D2015" s="33">
        <v>28</v>
      </c>
      <c r="E2015" t="s">
        <v>134</v>
      </c>
      <c r="F2015" t="s">
        <v>96</v>
      </c>
      <c r="G2015" s="33">
        <v>41</v>
      </c>
    </row>
    <row r="2016" spans="1:7">
      <c r="A2016" t="s">
        <v>22</v>
      </c>
      <c r="B2016" t="s">
        <v>194</v>
      </c>
      <c r="C2016" s="32">
        <v>483.62</v>
      </c>
      <c r="D2016" s="33">
        <v>29</v>
      </c>
      <c r="E2016" t="s">
        <v>135</v>
      </c>
      <c r="F2016" t="s">
        <v>90</v>
      </c>
      <c r="G2016" s="33">
        <v>42</v>
      </c>
    </row>
    <row r="2017" spans="1:7">
      <c r="A2017" t="s">
        <v>22</v>
      </c>
      <c r="B2017" t="s">
        <v>194</v>
      </c>
      <c r="C2017" s="32">
        <v>483.71</v>
      </c>
      <c r="D2017" s="33">
        <v>30</v>
      </c>
      <c r="E2017" t="s">
        <v>136</v>
      </c>
      <c r="F2017" t="s">
        <v>90</v>
      </c>
      <c r="G2017" s="33">
        <v>42</v>
      </c>
    </row>
    <row r="2018" spans="1:7">
      <c r="A2018" t="s">
        <v>22</v>
      </c>
      <c r="B2018" t="s">
        <v>194</v>
      </c>
      <c r="C2018" s="32">
        <v>483.8</v>
      </c>
      <c r="D2018" s="33">
        <v>31</v>
      </c>
      <c r="E2018" t="s">
        <v>137</v>
      </c>
      <c r="F2018" t="s">
        <v>93</v>
      </c>
      <c r="G2018" s="33">
        <v>41</v>
      </c>
    </row>
    <row r="2019" spans="1:7">
      <c r="A2019" t="s">
        <v>22</v>
      </c>
      <c r="B2019" t="s">
        <v>194</v>
      </c>
      <c r="C2019" s="32">
        <v>483.9</v>
      </c>
      <c r="D2019" s="33">
        <v>32</v>
      </c>
      <c r="E2019" t="s">
        <v>138</v>
      </c>
      <c r="F2019" t="s">
        <v>90</v>
      </c>
      <c r="G2019" s="33">
        <v>42</v>
      </c>
    </row>
    <row r="2020" spans="1:7">
      <c r="A2020" t="s">
        <v>22</v>
      </c>
      <c r="B2020" t="s">
        <v>194</v>
      </c>
      <c r="C2020" s="32">
        <v>483.99</v>
      </c>
      <c r="D2020" s="33">
        <v>33</v>
      </c>
      <c r="E2020" t="s">
        <v>140</v>
      </c>
      <c r="F2020" t="s">
        <v>90</v>
      </c>
      <c r="G2020" s="33">
        <v>42</v>
      </c>
    </row>
    <row r="2021" spans="1:7">
      <c r="A2021" t="s">
        <v>22</v>
      </c>
      <c r="B2021" t="s">
        <v>194</v>
      </c>
      <c r="C2021" s="32">
        <v>484.08</v>
      </c>
      <c r="D2021" s="33">
        <v>34</v>
      </c>
      <c r="E2021" t="s">
        <v>141</v>
      </c>
      <c r="F2021" t="s">
        <v>93</v>
      </c>
      <c r="G2021" s="33">
        <v>41</v>
      </c>
    </row>
    <row r="2022" spans="1:7">
      <c r="A2022" t="s">
        <v>22</v>
      </c>
      <c r="B2022" t="s">
        <v>194</v>
      </c>
      <c r="C2022" s="32">
        <v>484.18</v>
      </c>
      <c r="D2022" s="33">
        <v>35</v>
      </c>
      <c r="E2022" t="s">
        <v>142</v>
      </c>
      <c r="F2022" t="s">
        <v>90</v>
      </c>
      <c r="G2022" s="33">
        <v>42</v>
      </c>
    </row>
    <row r="2023" spans="1:7">
      <c r="A2023" t="s">
        <v>22</v>
      </c>
      <c r="B2023" t="s">
        <v>194</v>
      </c>
      <c r="C2023" s="32">
        <v>484.27</v>
      </c>
      <c r="D2023" s="33">
        <v>36</v>
      </c>
      <c r="E2023" t="s">
        <v>143</v>
      </c>
      <c r="F2023" t="s">
        <v>96</v>
      </c>
      <c r="G2023" s="33">
        <v>41</v>
      </c>
    </row>
    <row r="2024" spans="1:7">
      <c r="A2024" t="s">
        <v>22</v>
      </c>
      <c r="B2024" t="s">
        <v>194</v>
      </c>
      <c r="C2024" s="32">
        <v>484.37</v>
      </c>
      <c r="D2024" s="33">
        <v>37</v>
      </c>
      <c r="E2024" t="s">
        <v>144</v>
      </c>
      <c r="F2024" t="s">
        <v>90</v>
      </c>
      <c r="G2024" s="33">
        <v>42</v>
      </c>
    </row>
    <row r="2025" spans="1:7">
      <c r="A2025" t="s">
        <v>22</v>
      </c>
      <c r="B2025" t="s">
        <v>194</v>
      </c>
      <c r="C2025" s="32">
        <v>484.46</v>
      </c>
      <c r="D2025" s="33">
        <v>38</v>
      </c>
      <c r="E2025" t="s">
        <v>145</v>
      </c>
      <c r="F2025" t="s">
        <v>93</v>
      </c>
      <c r="G2025" s="33">
        <v>42</v>
      </c>
    </row>
    <row r="2026" spans="1:7">
      <c r="A2026" t="s">
        <v>22</v>
      </c>
      <c r="B2026" t="s">
        <v>194</v>
      </c>
      <c r="C2026" s="32">
        <v>484.55</v>
      </c>
      <c r="D2026" s="33">
        <v>39</v>
      </c>
      <c r="E2026" t="s">
        <v>146</v>
      </c>
      <c r="F2026" t="s">
        <v>90</v>
      </c>
      <c r="G2026" s="33">
        <v>41</v>
      </c>
    </row>
    <row r="2027" spans="1:7">
      <c r="A2027" t="s">
        <v>22</v>
      </c>
      <c r="B2027" t="s">
        <v>194</v>
      </c>
      <c r="C2027" s="32">
        <v>484.65</v>
      </c>
      <c r="D2027" s="33">
        <v>40</v>
      </c>
      <c r="E2027" t="s">
        <v>148</v>
      </c>
      <c r="F2027" t="s">
        <v>102</v>
      </c>
      <c r="G2027" s="33">
        <v>42</v>
      </c>
    </row>
    <row r="2028" spans="1:7">
      <c r="A2028" t="s">
        <v>22</v>
      </c>
      <c r="B2028" t="s">
        <v>194</v>
      </c>
      <c r="C2028" s="32">
        <v>484.74</v>
      </c>
      <c r="D2028" s="33">
        <v>41</v>
      </c>
      <c r="E2028" t="s">
        <v>149</v>
      </c>
      <c r="F2028" t="s">
        <v>93</v>
      </c>
      <c r="G2028" s="33">
        <v>42</v>
      </c>
    </row>
    <row r="2029" spans="1:7">
      <c r="A2029" t="s">
        <v>22</v>
      </c>
      <c r="B2029" t="s">
        <v>194</v>
      </c>
      <c r="C2029" s="32">
        <v>484.83</v>
      </c>
      <c r="D2029" s="33">
        <v>42</v>
      </c>
      <c r="E2029" t="s">
        <v>150</v>
      </c>
      <c r="F2029" t="s">
        <v>90</v>
      </c>
      <c r="G2029" s="33">
        <v>41</v>
      </c>
    </row>
    <row r="2030" spans="1:7">
      <c r="A2030" t="s">
        <v>22</v>
      </c>
      <c r="B2030" t="s">
        <v>194</v>
      </c>
      <c r="C2030" s="32">
        <v>484.93</v>
      </c>
      <c r="D2030" s="33">
        <v>43</v>
      </c>
      <c r="E2030" t="s">
        <v>151</v>
      </c>
      <c r="F2030" t="s">
        <v>96</v>
      </c>
      <c r="G2030" s="33">
        <v>42</v>
      </c>
    </row>
    <row r="2031" spans="1:7">
      <c r="A2031" t="s">
        <v>22</v>
      </c>
      <c r="B2031" t="s">
        <v>194</v>
      </c>
      <c r="C2031" s="32">
        <v>485.02</v>
      </c>
      <c r="D2031" s="33">
        <v>44</v>
      </c>
      <c r="E2031" t="s">
        <v>152</v>
      </c>
      <c r="F2031" t="s">
        <v>90</v>
      </c>
      <c r="G2031" s="33">
        <v>41</v>
      </c>
    </row>
    <row r="2032" spans="1:7">
      <c r="A2032" t="s">
        <v>22</v>
      </c>
      <c r="B2032" t="s">
        <v>194</v>
      </c>
      <c r="C2032" s="32">
        <v>485.11</v>
      </c>
      <c r="D2032" s="33">
        <v>45</v>
      </c>
      <c r="E2032" t="s">
        <v>153</v>
      </c>
      <c r="F2032" t="s">
        <v>90</v>
      </c>
      <c r="G2032" s="33">
        <v>42</v>
      </c>
    </row>
    <row r="2033" spans="1:7">
      <c r="A2033" t="s">
        <v>22</v>
      </c>
      <c r="B2033" t="s">
        <v>194</v>
      </c>
      <c r="C2033" s="32">
        <v>485.21</v>
      </c>
      <c r="D2033" s="33">
        <v>46</v>
      </c>
      <c r="E2033" t="s">
        <v>120</v>
      </c>
      <c r="F2033" t="s">
        <v>93</v>
      </c>
      <c r="G2033" s="33">
        <v>42</v>
      </c>
    </row>
    <row r="2034" spans="1:7">
      <c r="A2034" t="s">
        <v>22</v>
      </c>
      <c r="B2034" t="s">
        <v>194</v>
      </c>
      <c r="C2034" s="32">
        <v>485.3</v>
      </c>
      <c r="D2034" s="33">
        <v>47</v>
      </c>
      <c r="E2034" t="s">
        <v>115</v>
      </c>
      <c r="F2034" t="s">
        <v>90</v>
      </c>
      <c r="G2034" s="33">
        <v>41</v>
      </c>
    </row>
    <row r="2035" spans="1:7">
      <c r="A2035" t="s">
        <v>22</v>
      </c>
      <c r="B2035" t="s">
        <v>194</v>
      </c>
      <c r="C2035" s="32">
        <v>485.39</v>
      </c>
      <c r="D2035" s="33">
        <v>48</v>
      </c>
      <c r="E2035" t="s">
        <v>116</v>
      </c>
      <c r="F2035" t="s">
        <v>93</v>
      </c>
      <c r="G2035" s="33">
        <v>42</v>
      </c>
    </row>
    <row r="2036" spans="1:7">
      <c r="A2036" t="s">
        <v>22</v>
      </c>
      <c r="B2036" t="s">
        <v>194</v>
      </c>
      <c r="C2036" s="32">
        <v>485.49</v>
      </c>
      <c r="D2036" s="33">
        <v>49</v>
      </c>
      <c r="E2036" t="s">
        <v>117</v>
      </c>
      <c r="F2036" t="s">
        <v>90</v>
      </c>
      <c r="G2036" s="33">
        <v>42</v>
      </c>
    </row>
    <row r="2037" spans="1:7">
      <c r="A2037" t="s">
        <v>22</v>
      </c>
      <c r="B2037" t="s">
        <v>194</v>
      </c>
      <c r="C2037" s="32">
        <v>485.58</v>
      </c>
      <c r="D2037" s="33">
        <v>50</v>
      </c>
      <c r="E2037" t="s">
        <v>118</v>
      </c>
      <c r="F2037" t="s">
        <v>90</v>
      </c>
      <c r="G2037" s="33">
        <v>41</v>
      </c>
    </row>
    <row r="2038" spans="1:7">
      <c r="A2038" t="s">
        <v>22</v>
      </c>
      <c r="B2038" t="s">
        <v>194</v>
      </c>
      <c r="C2038" s="32">
        <v>485.67</v>
      </c>
      <c r="D2038" s="33">
        <v>51</v>
      </c>
      <c r="E2038" t="s">
        <v>122</v>
      </c>
      <c r="F2038" t="s">
        <v>96</v>
      </c>
      <c r="G2038" s="33">
        <v>42</v>
      </c>
    </row>
    <row r="2039" spans="1:7">
      <c r="A2039" t="s">
        <v>22</v>
      </c>
      <c r="B2039" t="s">
        <v>194</v>
      </c>
      <c r="C2039" s="32">
        <v>485.77</v>
      </c>
      <c r="D2039" s="33">
        <v>52</v>
      </c>
      <c r="E2039" t="s">
        <v>124</v>
      </c>
      <c r="F2039" t="s">
        <v>90</v>
      </c>
      <c r="G2039" s="33">
        <v>41</v>
      </c>
    </row>
    <row r="2040" spans="1:7">
      <c r="A2040" t="s">
        <v>22</v>
      </c>
      <c r="B2040" t="s">
        <v>194</v>
      </c>
      <c r="C2040" s="32">
        <v>485.86</v>
      </c>
      <c r="D2040" s="33">
        <v>53</v>
      </c>
      <c r="E2040" t="s">
        <v>125</v>
      </c>
      <c r="F2040" t="s">
        <v>93</v>
      </c>
      <c r="G2040" s="33">
        <v>42</v>
      </c>
    </row>
    <row r="2041" spans="1:7">
      <c r="A2041" t="s">
        <v>22</v>
      </c>
      <c r="B2041" t="s">
        <v>194</v>
      </c>
      <c r="C2041" s="32">
        <v>485.95</v>
      </c>
      <c r="D2041" s="33">
        <v>54</v>
      </c>
      <c r="E2041" t="s">
        <v>127</v>
      </c>
      <c r="F2041" t="s">
        <v>102</v>
      </c>
      <c r="G2041" s="33">
        <v>42</v>
      </c>
    </row>
    <row r="2042" spans="1:7">
      <c r="A2042" t="s">
        <v>22</v>
      </c>
      <c r="B2042" t="s">
        <v>194</v>
      </c>
      <c r="C2042" s="32">
        <v>486.05</v>
      </c>
      <c r="D2042" s="33">
        <v>55</v>
      </c>
      <c r="E2042" t="s">
        <v>128</v>
      </c>
      <c r="F2042" t="s">
        <v>90</v>
      </c>
      <c r="G2042" s="33">
        <v>41</v>
      </c>
    </row>
    <row r="2043" spans="1:7">
      <c r="A2043" t="s">
        <v>22</v>
      </c>
      <c r="B2043" t="s">
        <v>194</v>
      </c>
      <c r="C2043" s="32">
        <v>486.14</v>
      </c>
      <c r="D2043" s="33">
        <v>56</v>
      </c>
      <c r="E2043" t="s">
        <v>129</v>
      </c>
      <c r="F2043" t="s">
        <v>93</v>
      </c>
      <c r="G2043" s="33">
        <v>42</v>
      </c>
    </row>
    <row r="2044" spans="1:7">
      <c r="A2044" t="s">
        <v>22</v>
      </c>
      <c r="B2044" t="s">
        <v>194</v>
      </c>
      <c r="C2044" s="32">
        <v>486.23</v>
      </c>
      <c r="D2044" s="33">
        <v>57</v>
      </c>
      <c r="E2044" t="s">
        <v>130</v>
      </c>
      <c r="F2044" t="s">
        <v>90</v>
      </c>
      <c r="G2044" s="33">
        <v>42</v>
      </c>
    </row>
    <row r="2045" spans="1:7">
      <c r="A2045" t="s">
        <v>22</v>
      </c>
      <c r="B2045" t="s">
        <v>194</v>
      </c>
      <c r="C2045" s="32">
        <v>486.33</v>
      </c>
      <c r="D2045" s="33">
        <v>58</v>
      </c>
      <c r="E2045" t="s">
        <v>131</v>
      </c>
      <c r="F2045" t="s">
        <v>96</v>
      </c>
      <c r="G2045" s="33">
        <v>41</v>
      </c>
    </row>
    <row r="2046" spans="1:7">
      <c r="A2046" t="s">
        <v>22</v>
      </c>
      <c r="B2046" t="s">
        <v>194</v>
      </c>
      <c r="C2046" s="32">
        <v>486.42</v>
      </c>
      <c r="D2046" s="33">
        <v>59</v>
      </c>
      <c r="E2046" t="s">
        <v>133</v>
      </c>
      <c r="F2046" t="s">
        <v>90</v>
      </c>
      <c r="G2046" s="33">
        <v>42</v>
      </c>
    </row>
    <row r="2047" spans="1:7">
      <c r="A2047" t="s">
        <v>22</v>
      </c>
      <c r="B2047" t="s">
        <v>194</v>
      </c>
      <c r="C2047" s="32">
        <v>486.52</v>
      </c>
      <c r="D2047" s="33">
        <v>60</v>
      </c>
      <c r="E2047" t="s">
        <v>134</v>
      </c>
      <c r="F2047" t="s">
        <v>93</v>
      </c>
      <c r="G2047" s="33">
        <v>41</v>
      </c>
    </row>
    <row r="2048" spans="1:7">
      <c r="A2048" t="s">
        <v>22</v>
      </c>
      <c r="B2048" t="s">
        <v>194</v>
      </c>
      <c r="C2048" s="32">
        <v>486.61</v>
      </c>
      <c r="D2048" s="33">
        <v>61</v>
      </c>
      <c r="E2048" t="s">
        <v>135</v>
      </c>
      <c r="F2048" t="s">
        <v>90</v>
      </c>
      <c r="G2048" s="33">
        <v>42</v>
      </c>
    </row>
    <row r="2049" spans="1:7">
      <c r="A2049" t="s">
        <v>22</v>
      </c>
      <c r="B2049" t="s">
        <v>194</v>
      </c>
      <c r="C2049" s="32">
        <v>486.7</v>
      </c>
      <c r="D2049" s="33">
        <v>62</v>
      </c>
      <c r="E2049" t="s">
        <v>136</v>
      </c>
      <c r="F2049" t="s">
        <v>90</v>
      </c>
      <c r="G2049" s="33">
        <v>42</v>
      </c>
    </row>
    <row r="2050" spans="1:7">
      <c r="A2050" t="s">
        <v>22</v>
      </c>
      <c r="B2050" t="s">
        <v>194</v>
      </c>
      <c r="C2050" s="32">
        <v>486.8</v>
      </c>
      <c r="D2050" s="33">
        <v>63</v>
      </c>
      <c r="E2050" t="s">
        <v>137</v>
      </c>
      <c r="F2050" t="s">
        <v>93</v>
      </c>
      <c r="G2050" s="33">
        <v>41</v>
      </c>
    </row>
    <row r="2051" spans="1:7">
      <c r="A2051" t="s">
        <v>22</v>
      </c>
      <c r="B2051" t="s">
        <v>194</v>
      </c>
      <c r="C2051" s="32">
        <v>486.89</v>
      </c>
      <c r="D2051" s="33">
        <v>64</v>
      </c>
      <c r="E2051" t="s">
        <v>138</v>
      </c>
      <c r="F2051" t="s">
        <v>90</v>
      </c>
      <c r="G2051" s="33">
        <v>42</v>
      </c>
    </row>
    <row r="2052" spans="1:7">
      <c r="A2052" t="s">
        <v>22</v>
      </c>
      <c r="B2052" t="s">
        <v>194</v>
      </c>
      <c r="C2052" s="32">
        <v>486.98</v>
      </c>
      <c r="D2052" s="33">
        <v>65</v>
      </c>
      <c r="E2052" t="s">
        <v>140</v>
      </c>
      <c r="F2052" t="s">
        <v>90</v>
      </c>
      <c r="G2052" s="33">
        <v>42</v>
      </c>
    </row>
    <row r="2053" spans="1:7">
      <c r="A2053" t="s">
        <v>22</v>
      </c>
      <c r="B2053" t="s">
        <v>194</v>
      </c>
      <c r="C2053" s="32">
        <v>487.08</v>
      </c>
      <c r="D2053" s="33">
        <v>66</v>
      </c>
      <c r="E2053" t="s">
        <v>141</v>
      </c>
      <c r="F2053" t="s">
        <v>96</v>
      </c>
      <c r="G2053" s="33">
        <v>41</v>
      </c>
    </row>
    <row r="2054" spans="1:7">
      <c r="A2054" t="s">
        <v>22</v>
      </c>
      <c r="B2054" t="s">
        <v>194</v>
      </c>
      <c r="C2054" s="32">
        <v>487.17</v>
      </c>
      <c r="D2054" s="33">
        <v>67</v>
      </c>
      <c r="E2054" t="s">
        <v>142</v>
      </c>
      <c r="F2054" t="s">
        <v>93</v>
      </c>
      <c r="G2054" s="33">
        <v>42</v>
      </c>
    </row>
    <row r="2055" spans="1:7">
      <c r="A2055" t="s">
        <v>22</v>
      </c>
      <c r="B2055" t="s">
        <v>194</v>
      </c>
      <c r="C2055" s="32">
        <v>487.26</v>
      </c>
      <c r="D2055" s="33">
        <v>68</v>
      </c>
      <c r="E2055" t="s">
        <v>143</v>
      </c>
      <c r="F2055" t="s">
        <v>102</v>
      </c>
      <c r="G2055" s="33">
        <v>41</v>
      </c>
    </row>
    <row r="2056" spans="1:7">
      <c r="A2056" t="s">
        <v>22</v>
      </c>
      <c r="B2056" t="s">
        <v>194</v>
      </c>
      <c r="C2056" s="32">
        <v>487.36</v>
      </c>
      <c r="D2056" s="33">
        <v>69</v>
      </c>
      <c r="E2056" t="s">
        <v>144</v>
      </c>
      <c r="F2056" t="s">
        <v>90</v>
      </c>
      <c r="G2056" s="33">
        <v>42</v>
      </c>
    </row>
    <row r="2057" spans="1:7">
      <c r="A2057" t="s">
        <v>22</v>
      </c>
      <c r="B2057" t="s">
        <v>194</v>
      </c>
      <c r="C2057" s="32">
        <v>487.45</v>
      </c>
      <c r="D2057" s="33">
        <v>70</v>
      </c>
      <c r="E2057" t="s">
        <v>145</v>
      </c>
      <c r="F2057" t="s">
        <v>93</v>
      </c>
      <c r="G2057" s="33">
        <v>42</v>
      </c>
    </row>
    <row r="2058" spans="1:7">
      <c r="A2058" t="s">
        <v>22</v>
      </c>
      <c r="B2058" t="s">
        <v>194</v>
      </c>
      <c r="C2058" s="32">
        <v>487.54</v>
      </c>
      <c r="D2058" s="33">
        <v>71</v>
      </c>
      <c r="E2058" t="s">
        <v>146</v>
      </c>
      <c r="F2058" t="s">
        <v>90</v>
      </c>
      <c r="G2058" s="33">
        <v>41</v>
      </c>
    </row>
    <row r="2059" spans="1:7">
      <c r="A2059" t="s">
        <v>22</v>
      </c>
      <c r="B2059" t="s">
        <v>194</v>
      </c>
      <c r="C2059" s="32">
        <v>487.64</v>
      </c>
      <c r="D2059" s="33">
        <v>72</v>
      </c>
      <c r="E2059" t="s">
        <v>148</v>
      </c>
      <c r="F2059" t="s">
        <v>90</v>
      </c>
      <c r="G2059" s="33">
        <v>42</v>
      </c>
    </row>
    <row r="2060" spans="1:7">
      <c r="A2060" t="s">
        <v>22</v>
      </c>
      <c r="B2060" t="s">
        <v>194</v>
      </c>
      <c r="C2060" s="32">
        <v>487.73</v>
      </c>
      <c r="D2060" s="33">
        <v>73</v>
      </c>
      <c r="E2060" t="s">
        <v>149</v>
      </c>
      <c r="F2060" t="s">
        <v>96</v>
      </c>
      <c r="G2060" s="33">
        <v>42</v>
      </c>
    </row>
    <row r="2061" spans="1:7">
      <c r="A2061" t="s">
        <v>22</v>
      </c>
      <c r="B2061" t="s">
        <v>194</v>
      </c>
      <c r="C2061" s="32">
        <v>487.82</v>
      </c>
      <c r="D2061" s="33">
        <v>74</v>
      </c>
      <c r="E2061" t="s">
        <v>150</v>
      </c>
      <c r="F2061" t="s">
        <v>90</v>
      </c>
      <c r="G2061" s="33">
        <v>41</v>
      </c>
    </row>
    <row r="2062" spans="1:7">
      <c r="A2062" t="s">
        <v>22</v>
      </c>
      <c r="B2062" t="s">
        <v>194</v>
      </c>
      <c r="C2062" s="32">
        <v>487.92</v>
      </c>
      <c r="D2062" s="33">
        <v>75</v>
      </c>
      <c r="E2062" t="s">
        <v>151</v>
      </c>
      <c r="F2062" t="s">
        <v>93</v>
      </c>
      <c r="G2062" s="33">
        <v>42</v>
      </c>
    </row>
    <row r="2063" spans="1:7">
      <c r="A2063" t="s">
        <v>22</v>
      </c>
      <c r="B2063" t="s">
        <v>194</v>
      </c>
      <c r="C2063" s="32">
        <v>488.01</v>
      </c>
      <c r="D2063" s="33">
        <v>76</v>
      </c>
      <c r="E2063" t="s">
        <v>152</v>
      </c>
      <c r="F2063" t="s">
        <v>90</v>
      </c>
      <c r="G2063" s="33">
        <v>41</v>
      </c>
    </row>
    <row r="2064" spans="1:7">
      <c r="A2064" t="s">
        <v>22</v>
      </c>
      <c r="B2064" t="s">
        <v>194</v>
      </c>
      <c r="C2064" s="32">
        <v>488.1</v>
      </c>
      <c r="D2064" s="33">
        <v>77</v>
      </c>
      <c r="E2064" t="s">
        <v>153</v>
      </c>
      <c r="F2064" t="s">
        <v>90</v>
      </c>
      <c r="G2064" s="33">
        <v>42</v>
      </c>
    </row>
    <row r="2065" spans="1:7">
      <c r="A2065" t="s">
        <v>22</v>
      </c>
      <c r="B2065" t="s">
        <v>194</v>
      </c>
      <c r="C2065" s="32">
        <v>488.2</v>
      </c>
      <c r="D2065" s="33">
        <v>78</v>
      </c>
      <c r="E2065" t="s">
        <v>120</v>
      </c>
      <c r="F2065" t="s">
        <v>93</v>
      </c>
      <c r="G2065" s="33">
        <v>42</v>
      </c>
    </row>
    <row r="2066" spans="1:7">
      <c r="A2066" t="s">
        <v>22</v>
      </c>
      <c r="B2066" t="s">
        <v>194</v>
      </c>
      <c r="C2066" s="32">
        <v>488.29</v>
      </c>
      <c r="D2066" s="33">
        <v>79</v>
      </c>
      <c r="E2066" t="s">
        <v>115</v>
      </c>
      <c r="F2066" t="s">
        <v>90</v>
      </c>
      <c r="G2066" s="33">
        <v>41</v>
      </c>
    </row>
    <row r="2067" spans="1:7">
      <c r="A2067" t="s">
        <v>22</v>
      </c>
      <c r="B2067" t="s">
        <v>194</v>
      </c>
      <c r="C2067" s="32">
        <v>488.38</v>
      </c>
      <c r="D2067" s="33">
        <v>80</v>
      </c>
      <c r="E2067" t="s">
        <v>116</v>
      </c>
      <c r="F2067" t="s">
        <v>93</v>
      </c>
      <c r="G2067" s="33">
        <v>42</v>
      </c>
    </row>
    <row r="2068" spans="1:7">
      <c r="A2068" t="s">
        <v>22</v>
      </c>
      <c r="B2068" t="s">
        <v>194</v>
      </c>
      <c r="C2068" s="32">
        <v>488.48</v>
      </c>
      <c r="D2068" s="33">
        <v>81</v>
      </c>
      <c r="E2068" t="s">
        <v>117</v>
      </c>
      <c r="F2068" t="s">
        <v>102</v>
      </c>
      <c r="G2068" s="33">
        <v>42</v>
      </c>
    </row>
    <row r="2069" spans="1:7">
      <c r="A2069" t="s">
        <v>22</v>
      </c>
      <c r="B2069" t="s">
        <v>194</v>
      </c>
      <c r="C2069" s="32">
        <v>488.57</v>
      </c>
      <c r="D2069" s="33">
        <v>82</v>
      </c>
      <c r="E2069" t="s">
        <v>118</v>
      </c>
      <c r="F2069" t="s">
        <v>96</v>
      </c>
      <c r="G2069" s="33">
        <v>41</v>
      </c>
    </row>
    <row r="2070" spans="1:7">
      <c r="A2070" t="s">
        <v>22</v>
      </c>
      <c r="B2070" t="s">
        <v>194</v>
      </c>
      <c r="C2070" s="32">
        <v>488.67</v>
      </c>
      <c r="D2070" s="33">
        <v>83</v>
      </c>
      <c r="E2070" t="s">
        <v>122</v>
      </c>
      <c r="F2070" t="s">
        <v>90</v>
      </c>
      <c r="G2070" s="33">
        <v>42</v>
      </c>
    </row>
    <row r="2071" spans="1:7">
      <c r="A2071" t="s">
        <v>22</v>
      </c>
      <c r="B2071" t="s">
        <v>194</v>
      </c>
      <c r="C2071" s="32">
        <v>488.76</v>
      </c>
      <c r="D2071" s="33">
        <v>84</v>
      </c>
      <c r="E2071" t="s">
        <v>124</v>
      </c>
      <c r="F2071" t="s">
        <v>90</v>
      </c>
      <c r="G2071" s="33">
        <v>41</v>
      </c>
    </row>
    <row r="2072" spans="1:7">
      <c r="A2072" t="s">
        <v>22</v>
      </c>
      <c r="B2072" t="s">
        <v>194</v>
      </c>
      <c r="C2072" s="32">
        <v>488.85</v>
      </c>
      <c r="D2072" s="33">
        <v>85</v>
      </c>
      <c r="E2072" t="s">
        <v>125</v>
      </c>
      <c r="F2072" t="s">
        <v>93</v>
      </c>
      <c r="G2072" s="33">
        <v>42</v>
      </c>
    </row>
    <row r="2073" spans="1:7">
      <c r="A2073" t="s">
        <v>22</v>
      </c>
      <c r="B2073" t="s">
        <v>194</v>
      </c>
      <c r="C2073" s="32">
        <v>488.95</v>
      </c>
      <c r="D2073" s="33">
        <v>86</v>
      </c>
      <c r="E2073" t="s">
        <v>127</v>
      </c>
      <c r="F2073" t="s">
        <v>90</v>
      </c>
      <c r="G2073" s="33">
        <v>42</v>
      </c>
    </row>
    <row r="2074" spans="1:7">
      <c r="A2074" t="s">
        <v>22</v>
      </c>
      <c r="B2074" t="s">
        <v>194</v>
      </c>
      <c r="C2074" s="32">
        <v>489.04</v>
      </c>
      <c r="D2074" s="33">
        <v>87</v>
      </c>
      <c r="E2074" t="s">
        <v>128</v>
      </c>
      <c r="F2074" t="s">
        <v>90</v>
      </c>
      <c r="G2074" s="33">
        <v>41</v>
      </c>
    </row>
    <row r="2075" spans="1:7">
      <c r="A2075" t="s">
        <v>22</v>
      </c>
      <c r="B2075" t="s">
        <v>194</v>
      </c>
      <c r="C2075" s="32">
        <v>489.13</v>
      </c>
      <c r="D2075" s="33">
        <v>88</v>
      </c>
      <c r="E2075" t="s">
        <v>129</v>
      </c>
      <c r="F2075" t="s">
        <v>93</v>
      </c>
      <c r="G2075" s="33">
        <v>42</v>
      </c>
    </row>
    <row r="2076" spans="1:7">
      <c r="A2076" t="s">
        <v>22</v>
      </c>
      <c r="B2076" t="s">
        <v>194</v>
      </c>
      <c r="C2076" s="32">
        <v>489.23</v>
      </c>
      <c r="D2076" s="33">
        <v>89</v>
      </c>
      <c r="E2076" t="s">
        <v>130</v>
      </c>
      <c r="F2076" t="s">
        <v>90</v>
      </c>
      <c r="G2076" s="33">
        <v>42</v>
      </c>
    </row>
    <row r="2077" spans="1:7">
      <c r="A2077" t="s">
        <v>22</v>
      </c>
      <c r="B2077" t="s">
        <v>194</v>
      </c>
      <c r="C2077" s="32">
        <v>489.32</v>
      </c>
      <c r="D2077" s="33">
        <v>90</v>
      </c>
      <c r="E2077" t="s">
        <v>131</v>
      </c>
      <c r="F2077" t="s">
        <v>96</v>
      </c>
      <c r="G2077" s="33">
        <v>41</v>
      </c>
    </row>
    <row r="2078" spans="1:7">
      <c r="A2078" t="s">
        <v>22</v>
      </c>
      <c r="B2078" t="s">
        <v>194</v>
      </c>
      <c r="C2078" s="32">
        <v>489.41</v>
      </c>
      <c r="D2078" s="33">
        <v>91</v>
      </c>
      <c r="E2078" t="s">
        <v>133</v>
      </c>
      <c r="F2078" t="s">
        <v>90</v>
      </c>
      <c r="G2078" s="33">
        <v>42</v>
      </c>
    </row>
    <row r="2079" spans="1:7">
      <c r="A2079" t="s">
        <v>22</v>
      </c>
      <c r="B2079" t="s">
        <v>194</v>
      </c>
      <c r="C2079" s="32">
        <v>489.51</v>
      </c>
      <c r="D2079" s="33">
        <v>92</v>
      </c>
      <c r="E2079" t="s">
        <v>134</v>
      </c>
      <c r="F2079" t="s">
        <v>93</v>
      </c>
      <c r="G2079" s="33">
        <v>41</v>
      </c>
    </row>
    <row r="2080" spans="1:7">
      <c r="A2080" t="s">
        <v>22</v>
      </c>
      <c r="B2080" t="s">
        <v>194</v>
      </c>
      <c r="C2080" s="32">
        <v>489.6</v>
      </c>
      <c r="D2080" s="33">
        <v>93</v>
      </c>
      <c r="E2080" t="s">
        <v>135</v>
      </c>
      <c r="F2080" t="s">
        <v>90</v>
      </c>
      <c r="G2080" s="33">
        <v>42</v>
      </c>
    </row>
    <row r="2081" spans="1:7">
      <c r="A2081" t="s">
        <v>22</v>
      </c>
      <c r="B2081" t="s">
        <v>195</v>
      </c>
      <c r="C2081" s="32">
        <v>491</v>
      </c>
      <c r="D2081" s="33">
        <v>1</v>
      </c>
      <c r="E2081" t="s">
        <v>130</v>
      </c>
      <c r="F2081" t="s">
        <v>90</v>
      </c>
      <c r="G2081" s="33">
        <v>43</v>
      </c>
    </row>
    <row r="2082" spans="1:7">
      <c r="A2082" t="s">
        <v>22</v>
      </c>
      <c r="B2082" t="s">
        <v>195</v>
      </c>
      <c r="C2082" s="32">
        <v>491.09</v>
      </c>
      <c r="D2082" s="33">
        <v>2</v>
      </c>
      <c r="E2082" t="s">
        <v>131</v>
      </c>
      <c r="F2082" t="s">
        <v>93</v>
      </c>
      <c r="G2082" s="33">
        <v>42</v>
      </c>
    </row>
    <row r="2083" spans="1:7">
      <c r="A2083" t="s">
        <v>22</v>
      </c>
      <c r="B2083" t="s">
        <v>195</v>
      </c>
      <c r="C2083" s="32">
        <v>491.18</v>
      </c>
      <c r="D2083" s="33">
        <v>3</v>
      </c>
      <c r="E2083" t="s">
        <v>133</v>
      </c>
      <c r="F2083" t="s">
        <v>90</v>
      </c>
      <c r="G2083" s="33">
        <v>43</v>
      </c>
    </row>
    <row r="2084" spans="1:7">
      <c r="A2084" t="s">
        <v>22</v>
      </c>
      <c r="B2084" t="s">
        <v>195</v>
      </c>
      <c r="C2084" s="32">
        <v>491.27</v>
      </c>
      <c r="D2084" s="33">
        <v>4</v>
      </c>
      <c r="E2084" t="s">
        <v>134</v>
      </c>
      <c r="F2084" t="s">
        <v>96</v>
      </c>
      <c r="G2084" s="33">
        <v>43</v>
      </c>
    </row>
    <row r="2085" spans="1:7">
      <c r="A2085" t="s">
        <v>22</v>
      </c>
      <c r="B2085" t="s">
        <v>195</v>
      </c>
      <c r="C2085" s="32">
        <v>491.37</v>
      </c>
      <c r="D2085" s="33">
        <v>5</v>
      </c>
      <c r="E2085" t="s">
        <v>135</v>
      </c>
      <c r="F2085" t="s">
        <v>90</v>
      </c>
      <c r="G2085" s="33">
        <v>42</v>
      </c>
    </row>
    <row r="2086" spans="1:7">
      <c r="A2086" t="s">
        <v>22</v>
      </c>
      <c r="B2086" t="s">
        <v>195</v>
      </c>
      <c r="C2086" s="32">
        <v>491.46</v>
      </c>
      <c r="D2086" s="33">
        <v>6</v>
      </c>
      <c r="E2086" t="s">
        <v>136</v>
      </c>
      <c r="F2086" t="s">
        <v>93</v>
      </c>
      <c r="G2086" s="33">
        <v>43</v>
      </c>
    </row>
    <row r="2087" spans="1:7">
      <c r="A2087" t="s">
        <v>22</v>
      </c>
      <c r="B2087" t="s">
        <v>195</v>
      </c>
      <c r="C2087" s="32">
        <v>491.55</v>
      </c>
      <c r="D2087" s="33">
        <v>7</v>
      </c>
      <c r="E2087" t="s">
        <v>137</v>
      </c>
      <c r="F2087" t="s">
        <v>90</v>
      </c>
      <c r="G2087" s="33">
        <v>43</v>
      </c>
    </row>
    <row r="2088" spans="1:7">
      <c r="A2088" t="s">
        <v>22</v>
      </c>
      <c r="B2088" t="s">
        <v>195</v>
      </c>
      <c r="C2088" s="32">
        <v>491.64</v>
      </c>
      <c r="D2088" s="33">
        <v>8</v>
      </c>
      <c r="E2088" t="s">
        <v>138</v>
      </c>
      <c r="F2088" t="s">
        <v>90</v>
      </c>
      <c r="G2088" s="33">
        <v>42</v>
      </c>
    </row>
    <row r="2089" spans="1:7">
      <c r="A2089" t="s">
        <v>22</v>
      </c>
      <c r="B2089" t="s">
        <v>195</v>
      </c>
      <c r="C2089" s="32">
        <v>491.73</v>
      </c>
      <c r="D2089" s="33">
        <v>9</v>
      </c>
      <c r="E2089" t="s">
        <v>140</v>
      </c>
      <c r="F2089" t="s">
        <v>93</v>
      </c>
      <c r="G2089" s="33">
        <v>43</v>
      </c>
    </row>
    <row r="2090" spans="1:7">
      <c r="A2090" t="s">
        <v>22</v>
      </c>
      <c r="B2090" t="s">
        <v>195</v>
      </c>
      <c r="C2090" s="32">
        <v>491.82</v>
      </c>
      <c r="D2090" s="33">
        <v>10</v>
      </c>
      <c r="E2090" t="s">
        <v>141</v>
      </c>
      <c r="F2090" t="s">
        <v>90</v>
      </c>
      <c r="G2090" s="33">
        <v>43</v>
      </c>
    </row>
    <row r="2091" spans="1:7">
      <c r="A2091" t="s">
        <v>22</v>
      </c>
      <c r="B2091" t="s">
        <v>195</v>
      </c>
      <c r="C2091" s="32">
        <v>491.91</v>
      </c>
      <c r="D2091" s="33">
        <v>11</v>
      </c>
      <c r="E2091" t="s">
        <v>142</v>
      </c>
      <c r="F2091" t="s">
        <v>96</v>
      </c>
      <c r="G2091" s="33">
        <v>42</v>
      </c>
    </row>
    <row r="2092" spans="1:7">
      <c r="A2092" t="s">
        <v>22</v>
      </c>
      <c r="B2092" t="s">
        <v>195</v>
      </c>
      <c r="C2092" s="32">
        <v>492.01</v>
      </c>
      <c r="D2092" s="33">
        <v>12</v>
      </c>
      <c r="E2092" t="s">
        <v>143</v>
      </c>
      <c r="F2092" t="s">
        <v>90</v>
      </c>
      <c r="G2092" s="33">
        <v>43</v>
      </c>
    </row>
    <row r="2093" spans="1:7">
      <c r="A2093" t="s">
        <v>22</v>
      </c>
      <c r="B2093" t="s">
        <v>195</v>
      </c>
      <c r="C2093" s="32">
        <v>492.1</v>
      </c>
      <c r="D2093" s="33">
        <v>13</v>
      </c>
      <c r="E2093" t="s">
        <v>144</v>
      </c>
      <c r="F2093" t="s">
        <v>93</v>
      </c>
      <c r="G2093" s="33">
        <v>43</v>
      </c>
    </row>
    <row r="2094" spans="1:7">
      <c r="A2094" t="s">
        <v>22</v>
      </c>
      <c r="B2094" t="s">
        <v>195</v>
      </c>
      <c r="C2094" s="32">
        <v>492.19</v>
      </c>
      <c r="D2094" s="33">
        <v>14</v>
      </c>
      <c r="E2094" t="s">
        <v>145</v>
      </c>
      <c r="F2094" t="s">
        <v>102</v>
      </c>
      <c r="G2094" s="33">
        <v>42</v>
      </c>
    </row>
    <row r="2095" spans="1:7">
      <c r="A2095" t="s">
        <v>22</v>
      </c>
      <c r="B2095" t="s">
        <v>195</v>
      </c>
      <c r="C2095" s="32">
        <v>492.28</v>
      </c>
      <c r="D2095" s="33">
        <v>15</v>
      </c>
      <c r="E2095" t="s">
        <v>146</v>
      </c>
      <c r="F2095" t="s">
        <v>90</v>
      </c>
      <c r="G2095" s="33">
        <v>43</v>
      </c>
    </row>
    <row r="2096" spans="1:7">
      <c r="A2096" t="s">
        <v>22</v>
      </c>
      <c r="B2096" t="s">
        <v>195</v>
      </c>
      <c r="C2096" s="32">
        <v>492.37</v>
      </c>
      <c r="D2096" s="33">
        <v>16</v>
      </c>
      <c r="E2096" t="s">
        <v>148</v>
      </c>
      <c r="F2096" t="s">
        <v>93</v>
      </c>
      <c r="G2096" s="33">
        <v>43</v>
      </c>
    </row>
    <row r="2097" spans="1:7">
      <c r="A2097" t="s">
        <v>22</v>
      </c>
      <c r="B2097" t="s">
        <v>195</v>
      </c>
      <c r="C2097" s="32">
        <v>492.46</v>
      </c>
      <c r="D2097" s="33">
        <v>17</v>
      </c>
      <c r="E2097" t="s">
        <v>149</v>
      </c>
      <c r="F2097" t="s">
        <v>90</v>
      </c>
      <c r="G2097" s="33">
        <v>42</v>
      </c>
    </row>
    <row r="2098" spans="1:7">
      <c r="A2098" t="s">
        <v>22</v>
      </c>
      <c r="B2098" t="s">
        <v>195</v>
      </c>
      <c r="C2098" s="32">
        <v>492.56</v>
      </c>
      <c r="D2098" s="33">
        <v>18</v>
      </c>
      <c r="E2098" t="s">
        <v>150</v>
      </c>
      <c r="F2098" t="s">
        <v>96</v>
      </c>
      <c r="G2098" s="33">
        <v>43</v>
      </c>
    </row>
    <row r="2099" spans="1:7">
      <c r="A2099" t="s">
        <v>22</v>
      </c>
      <c r="B2099" t="s">
        <v>195</v>
      </c>
      <c r="C2099" s="32">
        <v>492.65</v>
      </c>
      <c r="D2099" s="33">
        <v>19</v>
      </c>
      <c r="E2099" t="s">
        <v>151</v>
      </c>
      <c r="F2099" t="s">
        <v>90</v>
      </c>
      <c r="G2099" s="33">
        <v>43</v>
      </c>
    </row>
    <row r="2100" spans="1:7">
      <c r="A2100" t="s">
        <v>22</v>
      </c>
      <c r="B2100" t="s">
        <v>195</v>
      </c>
      <c r="C2100" s="32">
        <v>492.74</v>
      </c>
      <c r="D2100" s="33">
        <v>20</v>
      </c>
      <c r="E2100" t="s">
        <v>152</v>
      </c>
      <c r="F2100" t="s">
        <v>93</v>
      </c>
      <c r="G2100" s="33">
        <v>42</v>
      </c>
    </row>
    <row r="2101" spans="1:7">
      <c r="A2101" t="s">
        <v>22</v>
      </c>
      <c r="B2101" t="s">
        <v>195</v>
      </c>
      <c r="C2101" s="32">
        <v>492.83</v>
      </c>
      <c r="D2101" s="33">
        <v>21</v>
      </c>
      <c r="E2101" t="s">
        <v>153</v>
      </c>
      <c r="F2101" t="s">
        <v>90</v>
      </c>
      <c r="G2101" s="33">
        <v>43</v>
      </c>
    </row>
    <row r="2102" spans="1:7">
      <c r="A2102" t="s">
        <v>22</v>
      </c>
      <c r="B2102" t="s">
        <v>195</v>
      </c>
      <c r="C2102" s="32">
        <v>492.92</v>
      </c>
      <c r="D2102" s="33">
        <v>22</v>
      </c>
      <c r="E2102" t="s">
        <v>120</v>
      </c>
      <c r="F2102" t="s">
        <v>90</v>
      </c>
      <c r="G2102" s="33">
        <v>43</v>
      </c>
    </row>
    <row r="2103" spans="1:7">
      <c r="A2103" t="s">
        <v>22</v>
      </c>
      <c r="B2103" t="s">
        <v>195</v>
      </c>
      <c r="C2103" s="32">
        <v>493.01</v>
      </c>
      <c r="D2103" s="33">
        <v>23</v>
      </c>
      <c r="E2103" t="s">
        <v>115</v>
      </c>
      <c r="F2103" t="s">
        <v>93</v>
      </c>
      <c r="G2103" s="33">
        <v>42</v>
      </c>
    </row>
    <row r="2104" spans="1:7">
      <c r="A2104" t="s">
        <v>22</v>
      </c>
      <c r="B2104" t="s">
        <v>195</v>
      </c>
      <c r="C2104" s="32">
        <v>493.1</v>
      </c>
      <c r="D2104" s="33">
        <v>24</v>
      </c>
      <c r="E2104" t="s">
        <v>116</v>
      </c>
      <c r="F2104" t="s">
        <v>90</v>
      </c>
      <c r="G2104" s="33">
        <v>43</v>
      </c>
    </row>
    <row r="2105" spans="1:7">
      <c r="A2105" t="s">
        <v>22</v>
      </c>
      <c r="B2105" t="s">
        <v>195</v>
      </c>
      <c r="C2105" s="32">
        <v>493.2</v>
      </c>
      <c r="D2105" s="33">
        <v>25</v>
      </c>
      <c r="E2105" t="s">
        <v>117</v>
      </c>
      <c r="F2105" t="s">
        <v>90</v>
      </c>
      <c r="G2105" s="33">
        <v>43</v>
      </c>
    </row>
    <row r="2106" spans="1:7">
      <c r="A2106" t="s">
        <v>22</v>
      </c>
      <c r="B2106" t="s">
        <v>195</v>
      </c>
      <c r="C2106" s="32">
        <v>493.29</v>
      </c>
      <c r="D2106" s="33">
        <v>26</v>
      </c>
      <c r="E2106" t="s">
        <v>118</v>
      </c>
      <c r="F2106" t="s">
        <v>96</v>
      </c>
      <c r="G2106" s="33">
        <v>42</v>
      </c>
    </row>
    <row r="2107" spans="1:7">
      <c r="A2107" t="s">
        <v>22</v>
      </c>
      <c r="B2107" t="s">
        <v>195</v>
      </c>
      <c r="C2107" s="32">
        <v>493.38</v>
      </c>
      <c r="D2107" s="33">
        <v>27</v>
      </c>
      <c r="E2107" t="s">
        <v>122</v>
      </c>
      <c r="F2107" t="s">
        <v>93</v>
      </c>
      <c r="G2107" s="33">
        <v>43</v>
      </c>
    </row>
    <row r="2108" spans="1:7">
      <c r="A2108" t="s">
        <v>22</v>
      </c>
      <c r="B2108" t="s">
        <v>195</v>
      </c>
      <c r="C2108" s="32">
        <v>493.47</v>
      </c>
      <c r="D2108" s="33">
        <v>28</v>
      </c>
      <c r="E2108" t="s">
        <v>124</v>
      </c>
      <c r="F2108" t="s">
        <v>102</v>
      </c>
      <c r="G2108" s="33">
        <v>43</v>
      </c>
    </row>
    <row r="2109" spans="1:7">
      <c r="A2109" t="s">
        <v>22</v>
      </c>
      <c r="B2109" t="s">
        <v>195</v>
      </c>
      <c r="C2109" s="32">
        <v>493.56</v>
      </c>
      <c r="D2109" s="33">
        <v>29</v>
      </c>
      <c r="E2109" t="s">
        <v>125</v>
      </c>
      <c r="F2109" t="s">
        <v>90</v>
      </c>
      <c r="G2109" s="33">
        <v>42</v>
      </c>
    </row>
    <row r="2110" spans="1:7">
      <c r="A2110" t="s">
        <v>22</v>
      </c>
      <c r="B2110" t="s">
        <v>195</v>
      </c>
      <c r="C2110" s="32">
        <v>493.65</v>
      </c>
      <c r="D2110" s="33">
        <v>30</v>
      </c>
      <c r="E2110" t="s">
        <v>127</v>
      </c>
      <c r="F2110" t="s">
        <v>93</v>
      </c>
      <c r="G2110" s="33">
        <v>43</v>
      </c>
    </row>
    <row r="2111" spans="1:7">
      <c r="A2111" t="s">
        <v>22</v>
      </c>
      <c r="B2111" t="s">
        <v>195</v>
      </c>
      <c r="C2111" s="32">
        <v>493.74</v>
      </c>
      <c r="D2111" s="33">
        <v>31</v>
      </c>
      <c r="E2111" t="s">
        <v>128</v>
      </c>
      <c r="F2111" t="s">
        <v>90</v>
      </c>
      <c r="G2111" s="33">
        <v>43</v>
      </c>
    </row>
    <row r="2112" spans="1:7">
      <c r="A2112" t="s">
        <v>22</v>
      </c>
      <c r="B2112" t="s">
        <v>195</v>
      </c>
      <c r="C2112" s="32">
        <v>493.84</v>
      </c>
      <c r="D2112" s="33">
        <v>32</v>
      </c>
      <c r="E2112" t="s">
        <v>129</v>
      </c>
      <c r="F2112" t="s">
        <v>90</v>
      </c>
      <c r="G2112" s="33">
        <v>42</v>
      </c>
    </row>
    <row r="2113" spans="1:7">
      <c r="A2113" t="s">
        <v>22</v>
      </c>
      <c r="B2113" t="s">
        <v>195</v>
      </c>
      <c r="C2113" s="32">
        <v>493.93</v>
      </c>
      <c r="D2113" s="33">
        <v>33</v>
      </c>
      <c r="E2113" t="s">
        <v>130</v>
      </c>
      <c r="F2113" t="s">
        <v>96</v>
      </c>
      <c r="G2113" s="33">
        <v>43</v>
      </c>
    </row>
    <row r="2114" spans="1:7">
      <c r="A2114" t="s">
        <v>22</v>
      </c>
      <c r="B2114" t="s">
        <v>195</v>
      </c>
      <c r="C2114" s="32">
        <v>494.02</v>
      </c>
      <c r="D2114" s="33">
        <v>34</v>
      </c>
      <c r="E2114" t="s">
        <v>131</v>
      </c>
      <c r="F2114" t="s">
        <v>90</v>
      </c>
      <c r="G2114" s="33">
        <v>43</v>
      </c>
    </row>
    <row r="2115" spans="1:7">
      <c r="A2115" t="s">
        <v>22</v>
      </c>
      <c r="B2115" t="s">
        <v>195</v>
      </c>
      <c r="C2115" s="32">
        <v>494.11</v>
      </c>
      <c r="D2115" s="33">
        <v>35</v>
      </c>
      <c r="E2115" t="s">
        <v>133</v>
      </c>
      <c r="F2115" t="s">
        <v>93</v>
      </c>
      <c r="G2115" s="33">
        <v>42</v>
      </c>
    </row>
    <row r="2116" spans="1:7">
      <c r="A2116" t="s">
        <v>22</v>
      </c>
      <c r="B2116" t="s">
        <v>195</v>
      </c>
      <c r="C2116" s="32">
        <v>494.2</v>
      </c>
      <c r="D2116" s="33">
        <v>36</v>
      </c>
      <c r="E2116" t="s">
        <v>134</v>
      </c>
      <c r="F2116" t="s">
        <v>90</v>
      </c>
      <c r="G2116" s="33">
        <v>43</v>
      </c>
    </row>
    <row r="2117" spans="1:7">
      <c r="A2117" t="s">
        <v>22</v>
      </c>
      <c r="B2117" t="s">
        <v>195</v>
      </c>
      <c r="C2117" s="32">
        <v>494.29</v>
      </c>
      <c r="D2117" s="33">
        <v>37</v>
      </c>
      <c r="E2117" t="s">
        <v>135</v>
      </c>
      <c r="F2117" t="s">
        <v>93</v>
      </c>
      <c r="G2117" s="33">
        <v>43</v>
      </c>
    </row>
    <row r="2118" spans="1:7">
      <c r="A2118" t="s">
        <v>22</v>
      </c>
      <c r="B2118" t="s">
        <v>195</v>
      </c>
      <c r="C2118" s="32">
        <v>494.39</v>
      </c>
      <c r="D2118" s="33">
        <v>38</v>
      </c>
      <c r="E2118" t="s">
        <v>136</v>
      </c>
      <c r="F2118" t="s">
        <v>90</v>
      </c>
      <c r="G2118" s="33">
        <v>42</v>
      </c>
    </row>
    <row r="2119" spans="1:7">
      <c r="A2119" t="s">
        <v>22</v>
      </c>
      <c r="B2119" t="s">
        <v>195</v>
      </c>
      <c r="C2119" s="32">
        <v>494.48</v>
      </c>
      <c r="D2119" s="33">
        <v>39</v>
      </c>
      <c r="E2119" t="s">
        <v>137</v>
      </c>
      <c r="F2119" t="s">
        <v>90</v>
      </c>
      <c r="G2119" s="33">
        <v>43</v>
      </c>
    </row>
    <row r="2120" spans="1:7">
      <c r="A2120" t="s">
        <v>22</v>
      </c>
      <c r="B2120" t="s">
        <v>195</v>
      </c>
      <c r="C2120" s="32">
        <v>494.57</v>
      </c>
      <c r="D2120" s="33">
        <v>40</v>
      </c>
      <c r="E2120" t="s">
        <v>138</v>
      </c>
      <c r="F2120" t="s">
        <v>96</v>
      </c>
      <c r="G2120" s="33">
        <v>43</v>
      </c>
    </row>
    <row r="2121" spans="1:7">
      <c r="A2121" t="s">
        <v>22</v>
      </c>
      <c r="B2121" t="s">
        <v>195</v>
      </c>
      <c r="C2121" s="32">
        <v>494.66</v>
      </c>
      <c r="D2121" s="33">
        <v>41</v>
      </c>
      <c r="E2121" t="s">
        <v>140</v>
      </c>
      <c r="F2121" t="s">
        <v>102</v>
      </c>
      <c r="G2121" s="33">
        <v>42</v>
      </c>
    </row>
    <row r="2122" spans="1:7">
      <c r="A2122" t="s">
        <v>22</v>
      </c>
      <c r="B2122" t="s">
        <v>195</v>
      </c>
      <c r="C2122" s="32">
        <v>494.75</v>
      </c>
      <c r="D2122" s="33">
        <v>42</v>
      </c>
      <c r="E2122" t="s">
        <v>141</v>
      </c>
      <c r="F2122" t="s">
        <v>93</v>
      </c>
      <c r="G2122" s="33">
        <v>43</v>
      </c>
    </row>
    <row r="2123" spans="1:7">
      <c r="A2123" t="s">
        <v>22</v>
      </c>
      <c r="B2123" t="s">
        <v>195</v>
      </c>
      <c r="C2123" s="32">
        <v>494.84</v>
      </c>
      <c r="D2123" s="33">
        <v>43</v>
      </c>
      <c r="E2123" t="s">
        <v>142</v>
      </c>
      <c r="F2123" t="s">
        <v>90</v>
      </c>
      <c r="G2123" s="33">
        <v>43</v>
      </c>
    </row>
    <row r="2124" spans="1:7">
      <c r="A2124" t="s">
        <v>22</v>
      </c>
      <c r="B2124" t="s">
        <v>195</v>
      </c>
      <c r="C2124" s="32">
        <v>494.93</v>
      </c>
      <c r="D2124" s="33">
        <v>44</v>
      </c>
      <c r="E2124" t="s">
        <v>143</v>
      </c>
      <c r="F2124" t="s">
        <v>93</v>
      </c>
      <c r="G2124" s="33">
        <v>42</v>
      </c>
    </row>
    <row r="2125" spans="1:7">
      <c r="A2125" t="s">
        <v>22</v>
      </c>
      <c r="B2125" t="s">
        <v>195</v>
      </c>
      <c r="C2125" s="32">
        <v>495.03</v>
      </c>
      <c r="D2125" s="33">
        <v>45</v>
      </c>
      <c r="E2125" t="s">
        <v>144</v>
      </c>
      <c r="F2125" t="s">
        <v>90</v>
      </c>
      <c r="G2125" s="33">
        <v>43</v>
      </c>
    </row>
    <row r="2126" spans="1:7">
      <c r="A2126" t="s">
        <v>22</v>
      </c>
      <c r="B2126" t="s">
        <v>195</v>
      </c>
      <c r="C2126" s="32">
        <v>495.12</v>
      </c>
      <c r="D2126" s="33">
        <v>46</v>
      </c>
      <c r="E2126" t="s">
        <v>145</v>
      </c>
      <c r="F2126" t="s">
        <v>90</v>
      </c>
      <c r="G2126" s="33">
        <v>43</v>
      </c>
    </row>
    <row r="2127" spans="1:7">
      <c r="A2127" t="s">
        <v>22</v>
      </c>
      <c r="B2127" t="s">
        <v>195</v>
      </c>
      <c r="C2127" s="32">
        <v>495.21</v>
      </c>
      <c r="D2127" s="33">
        <v>47</v>
      </c>
      <c r="E2127" t="s">
        <v>146</v>
      </c>
      <c r="F2127" t="s">
        <v>96</v>
      </c>
      <c r="G2127" s="33">
        <v>42</v>
      </c>
    </row>
    <row r="2128" spans="1:7">
      <c r="A2128" t="s">
        <v>22</v>
      </c>
      <c r="B2128" t="s">
        <v>195</v>
      </c>
      <c r="C2128" s="32">
        <v>495.3</v>
      </c>
      <c r="D2128" s="33">
        <v>48</v>
      </c>
      <c r="E2128" t="s">
        <v>148</v>
      </c>
      <c r="F2128" t="s">
        <v>90</v>
      </c>
      <c r="G2128" s="33">
        <v>43</v>
      </c>
    </row>
    <row r="2129" spans="1:7">
      <c r="A2129" t="s">
        <v>22</v>
      </c>
      <c r="B2129" t="s">
        <v>195</v>
      </c>
      <c r="C2129" s="32">
        <v>495.39</v>
      </c>
      <c r="D2129" s="33">
        <v>49</v>
      </c>
      <c r="E2129" t="s">
        <v>149</v>
      </c>
      <c r="F2129" t="s">
        <v>93</v>
      </c>
      <c r="G2129" s="33">
        <v>42</v>
      </c>
    </row>
    <row r="2130" spans="1:7">
      <c r="A2130" t="s">
        <v>22</v>
      </c>
      <c r="B2130" t="s">
        <v>195</v>
      </c>
      <c r="C2130" s="32">
        <v>495.48</v>
      </c>
      <c r="D2130" s="33">
        <v>50</v>
      </c>
      <c r="E2130" t="s">
        <v>150</v>
      </c>
      <c r="F2130" t="s">
        <v>90</v>
      </c>
      <c r="G2130" s="33">
        <v>43</v>
      </c>
    </row>
    <row r="2131" spans="1:7">
      <c r="A2131" t="s">
        <v>22</v>
      </c>
      <c r="B2131" t="s">
        <v>195</v>
      </c>
      <c r="C2131" s="32">
        <v>495.57</v>
      </c>
      <c r="D2131" s="33">
        <v>51</v>
      </c>
      <c r="E2131" t="s">
        <v>151</v>
      </c>
      <c r="F2131" t="s">
        <v>90</v>
      </c>
      <c r="G2131" s="33">
        <v>43</v>
      </c>
    </row>
    <row r="2132" spans="1:7">
      <c r="A2132" t="s">
        <v>22</v>
      </c>
      <c r="B2132" t="s">
        <v>195</v>
      </c>
      <c r="C2132" s="32">
        <v>495.67</v>
      </c>
      <c r="D2132" s="33">
        <v>52</v>
      </c>
      <c r="E2132" t="s">
        <v>152</v>
      </c>
      <c r="F2132" t="s">
        <v>93</v>
      </c>
      <c r="G2132" s="33">
        <v>42</v>
      </c>
    </row>
    <row r="2133" spans="1:7">
      <c r="A2133" t="s">
        <v>22</v>
      </c>
      <c r="B2133" t="s">
        <v>195</v>
      </c>
      <c r="C2133" s="32">
        <v>495.76</v>
      </c>
      <c r="D2133" s="33">
        <v>53</v>
      </c>
      <c r="E2133" t="s">
        <v>153</v>
      </c>
      <c r="F2133" t="s">
        <v>90</v>
      </c>
      <c r="G2133" s="33">
        <v>43</v>
      </c>
    </row>
    <row r="2134" spans="1:7">
      <c r="A2134" t="s">
        <v>22</v>
      </c>
      <c r="B2134" t="s">
        <v>195</v>
      </c>
      <c r="C2134" s="32">
        <v>495.85</v>
      </c>
      <c r="D2134" s="33">
        <v>54</v>
      </c>
      <c r="E2134" t="s">
        <v>120</v>
      </c>
      <c r="F2134" t="s">
        <v>96</v>
      </c>
      <c r="G2134" s="33">
        <v>43</v>
      </c>
    </row>
    <row r="2135" spans="1:7">
      <c r="A2135" t="s">
        <v>22</v>
      </c>
      <c r="B2135" t="s">
        <v>195</v>
      </c>
      <c r="C2135" s="32">
        <v>495.94</v>
      </c>
      <c r="D2135" s="33">
        <v>55</v>
      </c>
      <c r="E2135" t="s">
        <v>115</v>
      </c>
      <c r="F2135" t="s">
        <v>102</v>
      </c>
      <c r="G2135" s="33">
        <v>42</v>
      </c>
    </row>
    <row r="2136" spans="1:7">
      <c r="A2136" t="s">
        <v>22</v>
      </c>
      <c r="B2136" t="s">
        <v>195</v>
      </c>
      <c r="C2136" s="32">
        <v>496.03</v>
      </c>
      <c r="D2136" s="33">
        <v>56</v>
      </c>
      <c r="E2136" t="s">
        <v>116</v>
      </c>
      <c r="F2136" t="s">
        <v>93</v>
      </c>
      <c r="G2136" s="33">
        <v>43</v>
      </c>
    </row>
    <row r="2137" spans="1:7">
      <c r="A2137" t="s">
        <v>22</v>
      </c>
      <c r="B2137" t="s">
        <v>195</v>
      </c>
      <c r="C2137" s="32">
        <v>496.12</v>
      </c>
      <c r="D2137" s="33">
        <v>57</v>
      </c>
      <c r="E2137" t="s">
        <v>117</v>
      </c>
      <c r="F2137" t="s">
        <v>90</v>
      </c>
      <c r="G2137" s="33">
        <v>43</v>
      </c>
    </row>
    <row r="2138" spans="1:7">
      <c r="A2138" t="s">
        <v>22</v>
      </c>
      <c r="B2138" t="s">
        <v>195</v>
      </c>
      <c r="C2138" s="32">
        <v>496.21</v>
      </c>
      <c r="D2138" s="33">
        <v>58</v>
      </c>
      <c r="E2138" t="s">
        <v>118</v>
      </c>
      <c r="F2138" t="s">
        <v>90</v>
      </c>
      <c r="G2138" s="33">
        <v>42</v>
      </c>
    </row>
    <row r="2139" spans="1:7">
      <c r="A2139" t="s">
        <v>22</v>
      </c>
      <c r="B2139" t="s">
        <v>195</v>
      </c>
      <c r="C2139" s="32">
        <v>496.31</v>
      </c>
      <c r="D2139" s="33">
        <v>59</v>
      </c>
      <c r="E2139" t="s">
        <v>122</v>
      </c>
      <c r="F2139" t="s">
        <v>93</v>
      </c>
      <c r="G2139" s="33">
        <v>43</v>
      </c>
    </row>
    <row r="2140" spans="1:7">
      <c r="A2140" t="s">
        <v>22</v>
      </c>
      <c r="B2140" t="s">
        <v>195</v>
      </c>
      <c r="C2140" s="32">
        <v>496.4</v>
      </c>
      <c r="D2140" s="33">
        <v>60</v>
      </c>
      <c r="E2140" t="s">
        <v>124</v>
      </c>
      <c r="F2140" t="s">
        <v>90</v>
      </c>
      <c r="G2140" s="33">
        <v>43</v>
      </c>
    </row>
    <row r="2141" spans="1:7">
      <c r="A2141" t="s">
        <v>22</v>
      </c>
      <c r="B2141" t="s">
        <v>195</v>
      </c>
      <c r="C2141" s="32">
        <v>496.49</v>
      </c>
      <c r="D2141" s="33">
        <v>61</v>
      </c>
      <c r="E2141" t="s">
        <v>125</v>
      </c>
      <c r="F2141" t="s">
        <v>96</v>
      </c>
      <c r="G2141" s="33">
        <v>42</v>
      </c>
    </row>
    <row r="2142" spans="1:7">
      <c r="A2142" t="s">
        <v>22</v>
      </c>
      <c r="B2142" t="s">
        <v>195</v>
      </c>
      <c r="C2142" s="32">
        <v>496.58</v>
      </c>
      <c r="D2142" s="33">
        <v>62</v>
      </c>
      <c r="E2142" t="s">
        <v>127</v>
      </c>
      <c r="F2142" t="s">
        <v>90</v>
      </c>
      <c r="G2142" s="33">
        <v>43</v>
      </c>
    </row>
    <row r="2143" spans="1:7">
      <c r="A2143" t="s">
        <v>22</v>
      </c>
      <c r="B2143" t="s">
        <v>195</v>
      </c>
      <c r="C2143" s="32">
        <v>496.67</v>
      </c>
      <c r="D2143" s="33">
        <v>63</v>
      </c>
      <c r="E2143" t="s">
        <v>128</v>
      </c>
      <c r="F2143" t="s">
        <v>93</v>
      </c>
      <c r="G2143" s="33">
        <v>43</v>
      </c>
    </row>
    <row r="2144" spans="1:7">
      <c r="A2144" t="s">
        <v>22</v>
      </c>
      <c r="B2144" t="s">
        <v>195</v>
      </c>
      <c r="C2144" s="32">
        <v>496.76</v>
      </c>
      <c r="D2144" s="33">
        <v>64</v>
      </c>
      <c r="E2144" t="s">
        <v>129</v>
      </c>
      <c r="F2144" t="s">
        <v>90</v>
      </c>
      <c r="G2144" s="33">
        <v>42</v>
      </c>
    </row>
    <row r="2145" spans="1:7">
      <c r="A2145" t="s">
        <v>22</v>
      </c>
      <c r="B2145" t="s">
        <v>195</v>
      </c>
      <c r="C2145" s="32">
        <v>496.86</v>
      </c>
      <c r="D2145" s="33">
        <v>65</v>
      </c>
      <c r="E2145" t="s">
        <v>130</v>
      </c>
      <c r="F2145" t="s">
        <v>90</v>
      </c>
      <c r="G2145" s="33">
        <v>43</v>
      </c>
    </row>
    <row r="2146" spans="1:7">
      <c r="A2146" t="s">
        <v>22</v>
      </c>
      <c r="B2146" t="s">
        <v>195</v>
      </c>
      <c r="C2146" s="32">
        <v>496.95</v>
      </c>
      <c r="D2146" s="33">
        <v>66</v>
      </c>
      <c r="E2146" t="s">
        <v>131</v>
      </c>
      <c r="F2146" t="s">
        <v>93</v>
      </c>
      <c r="G2146" s="33">
        <v>43</v>
      </c>
    </row>
    <row r="2147" spans="1:7">
      <c r="A2147" t="s">
        <v>22</v>
      </c>
      <c r="B2147" t="s">
        <v>195</v>
      </c>
      <c r="C2147" s="32">
        <v>497.04</v>
      </c>
      <c r="D2147" s="33">
        <v>67</v>
      </c>
      <c r="E2147" t="s">
        <v>133</v>
      </c>
      <c r="F2147" t="s">
        <v>90</v>
      </c>
      <c r="G2147" s="33">
        <v>42</v>
      </c>
    </row>
    <row r="2148" spans="1:7">
      <c r="A2148" t="s">
        <v>22</v>
      </c>
      <c r="B2148" t="s">
        <v>195</v>
      </c>
      <c r="C2148" s="32">
        <v>497.13</v>
      </c>
      <c r="D2148" s="33">
        <v>68</v>
      </c>
      <c r="E2148" t="s">
        <v>134</v>
      </c>
      <c r="F2148" t="s">
        <v>102</v>
      </c>
      <c r="G2148" s="33">
        <v>43</v>
      </c>
    </row>
    <row r="2149" spans="1:7">
      <c r="A2149" t="s">
        <v>22</v>
      </c>
      <c r="B2149" t="s">
        <v>195</v>
      </c>
      <c r="C2149" s="32">
        <v>497.22</v>
      </c>
      <c r="D2149" s="33">
        <v>69</v>
      </c>
      <c r="E2149" t="s">
        <v>135</v>
      </c>
      <c r="F2149" t="s">
        <v>93</v>
      </c>
      <c r="G2149" s="33">
        <v>43</v>
      </c>
    </row>
    <row r="2150" spans="1:7">
      <c r="A2150" t="s">
        <v>22</v>
      </c>
      <c r="B2150" t="s">
        <v>195</v>
      </c>
      <c r="C2150" s="32">
        <v>497.31</v>
      </c>
      <c r="D2150" s="33">
        <v>70</v>
      </c>
      <c r="E2150" t="s">
        <v>136</v>
      </c>
      <c r="F2150" t="s">
        <v>96</v>
      </c>
      <c r="G2150" s="33">
        <v>42</v>
      </c>
    </row>
    <row r="2151" spans="1:7">
      <c r="A2151" t="s">
        <v>22</v>
      </c>
      <c r="B2151" t="s">
        <v>195</v>
      </c>
      <c r="C2151" s="32">
        <v>497.4</v>
      </c>
      <c r="D2151" s="33">
        <v>71</v>
      </c>
      <c r="E2151" t="s">
        <v>137</v>
      </c>
      <c r="F2151" t="s">
        <v>90</v>
      </c>
      <c r="G2151" s="33">
        <v>43</v>
      </c>
    </row>
    <row r="2152" spans="1:7">
      <c r="A2152" t="s">
        <v>22</v>
      </c>
      <c r="B2152" t="s">
        <v>195</v>
      </c>
      <c r="C2152" s="32">
        <v>497.5</v>
      </c>
      <c r="D2152" s="33">
        <v>72</v>
      </c>
      <c r="E2152" t="s">
        <v>138</v>
      </c>
      <c r="F2152" t="s">
        <v>90</v>
      </c>
      <c r="G2152" s="33">
        <v>43</v>
      </c>
    </row>
    <row r="2153" spans="1:7">
      <c r="A2153" t="s">
        <v>22</v>
      </c>
      <c r="B2153" t="s">
        <v>195</v>
      </c>
      <c r="C2153" s="32">
        <v>497.59</v>
      </c>
      <c r="D2153" s="33">
        <v>73</v>
      </c>
      <c r="E2153" t="s">
        <v>140</v>
      </c>
      <c r="F2153" t="s">
        <v>93</v>
      </c>
      <c r="G2153" s="33">
        <v>42</v>
      </c>
    </row>
    <row r="2154" spans="1:7">
      <c r="A2154" t="s">
        <v>22</v>
      </c>
      <c r="B2154" t="s">
        <v>195</v>
      </c>
      <c r="C2154" s="32">
        <v>497.68</v>
      </c>
      <c r="D2154" s="33">
        <v>74</v>
      </c>
      <c r="E2154" t="s">
        <v>141</v>
      </c>
      <c r="F2154" t="s">
        <v>90</v>
      </c>
      <c r="G2154" s="33">
        <v>43</v>
      </c>
    </row>
    <row r="2155" spans="1:7">
      <c r="A2155" t="s">
        <v>22</v>
      </c>
      <c r="B2155" t="s">
        <v>195</v>
      </c>
      <c r="C2155" s="32">
        <v>497.77</v>
      </c>
      <c r="D2155" s="33">
        <v>75</v>
      </c>
      <c r="E2155" t="s">
        <v>142</v>
      </c>
      <c r="F2155" t="s">
        <v>90</v>
      </c>
      <c r="G2155" s="33">
        <v>43</v>
      </c>
    </row>
    <row r="2156" spans="1:7">
      <c r="A2156" t="s">
        <v>22</v>
      </c>
      <c r="B2156" t="s">
        <v>195</v>
      </c>
      <c r="C2156" s="32">
        <v>497.86</v>
      </c>
      <c r="D2156" s="33">
        <v>76</v>
      </c>
      <c r="E2156" t="s">
        <v>143</v>
      </c>
      <c r="F2156" t="s">
        <v>93</v>
      </c>
      <c r="G2156" s="33">
        <v>42</v>
      </c>
    </row>
    <row r="2157" spans="1:7">
      <c r="A2157" t="s">
        <v>22</v>
      </c>
      <c r="B2157" t="s">
        <v>195</v>
      </c>
      <c r="C2157" s="32">
        <v>497.95</v>
      </c>
      <c r="D2157" s="33">
        <v>77</v>
      </c>
      <c r="E2157" t="s">
        <v>144</v>
      </c>
      <c r="F2157" t="s">
        <v>90</v>
      </c>
      <c r="G2157" s="33">
        <v>43</v>
      </c>
    </row>
    <row r="2158" spans="1:7">
      <c r="A2158" t="s">
        <v>22</v>
      </c>
      <c r="B2158" t="s">
        <v>195</v>
      </c>
      <c r="C2158" s="32">
        <v>498.04</v>
      </c>
      <c r="D2158" s="33">
        <v>78</v>
      </c>
      <c r="E2158" t="s">
        <v>145</v>
      </c>
      <c r="F2158" t="s">
        <v>96</v>
      </c>
      <c r="G2158" s="33">
        <v>43</v>
      </c>
    </row>
    <row r="2159" spans="1:7">
      <c r="A2159" t="s">
        <v>22</v>
      </c>
      <c r="B2159" t="s">
        <v>195</v>
      </c>
      <c r="C2159" s="32">
        <v>498.14</v>
      </c>
      <c r="D2159" s="33">
        <v>79</v>
      </c>
      <c r="E2159" t="s">
        <v>146</v>
      </c>
      <c r="F2159" t="s">
        <v>90</v>
      </c>
      <c r="G2159" s="33">
        <v>42</v>
      </c>
    </row>
    <row r="2160" spans="1:7">
      <c r="A2160" t="s">
        <v>22</v>
      </c>
      <c r="B2160" t="s">
        <v>195</v>
      </c>
      <c r="C2160" s="32">
        <v>498.23</v>
      </c>
      <c r="D2160" s="33">
        <v>80</v>
      </c>
      <c r="E2160" t="s">
        <v>148</v>
      </c>
      <c r="F2160" t="s">
        <v>93</v>
      </c>
      <c r="G2160" s="33">
        <v>43</v>
      </c>
    </row>
    <row r="2161" spans="1:7">
      <c r="A2161" t="s">
        <v>22</v>
      </c>
      <c r="B2161" t="s">
        <v>195</v>
      </c>
      <c r="C2161" s="32">
        <v>498.32</v>
      </c>
      <c r="D2161" s="33">
        <v>81</v>
      </c>
      <c r="E2161" t="s">
        <v>149</v>
      </c>
      <c r="F2161" t="s">
        <v>90</v>
      </c>
      <c r="G2161" s="33">
        <v>43</v>
      </c>
    </row>
    <row r="2162" spans="1:7">
      <c r="A2162" t="s">
        <v>22</v>
      </c>
      <c r="B2162" t="s">
        <v>195</v>
      </c>
      <c r="C2162" s="32">
        <v>498.41</v>
      </c>
      <c r="D2162" s="33">
        <v>82</v>
      </c>
      <c r="E2162" t="s">
        <v>150</v>
      </c>
      <c r="F2162" t="s">
        <v>102</v>
      </c>
      <c r="G2162" s="33">
        <v>42</v>
      </c>
    </row>
    <row r="2163" spans="1:7">
      <c r="A2163" t="s">
        <v>22</v>
      </c>
      <c r="B2163" t="s">
        <v>195</v>
      </c>
      <c r="C2163" s="32">
        <v>498.5</v>
      </c>
      <c r="D2163" s="33">
        <v>83</v>
      </c>
      <c r="E2163" t="s">
        <v>151</v>
      </c>
      <c r="F2163" t="s">
        <v>93</v>
      </c>
      <c r="G2163" s="33">
        <v>43</v>
      </c>
    </row>
    <row r="2164" spans="1:7">
      <c r="A2164" t="s">
        <v>22</v>
      </c>
      <c r="B2164" t="s">
        <v>195</v>
      </c>
      <c r="C2164" s="32">
        <v>498.59</v>
      </c>
      <c r="D2164" s="33">
        <v>84</v>
      </c>
      <c r="E2164" t="s">
        <v>152</v>
      </c>
      <c r="F2164" t="s">
        <v>90</v>
      </c>
      <c r="G2164" s="33">
        <v>43</v>
      </c>
    </row>
    <row r="2165" spans="1:7">
      <c r="A2165" t="s">
        <v>22</v>
      </c>
      <c r="B2165" t="s">
        <v>195</v>
      </c>
      <c r="C2165" s="32">
        <v>498.69</v>
      </c>
      <c r="D2165" s="33">
        <v>85</v>
      </c>
      <c r="E2165" t="s">
        <v>153</v>
      </c>
      <c r="F2165" t="s">
        <v>96</v>
      </c>
      <c r="G2165" s="33">
        <v>42</v>
      </c>
    </row>
    <row r="2166" spans="1:7">
      <c r="A2166" t="s">
        <v>22</v>
      </c>
      <c r="B2166" t="s">
        <v>195</v>
      </c>
      <c r="C2166" s="32">
        <v>498.78</v>
      </c>
      <c r="D2166" s="33">
        <v>86</v>
      </c>
      <c r="E2166" t="s">
        <v>120</v>
      </c>
      <c r="F2166" t="s">
        <v>90</v>
      </c>
      <c r="G2166" s="33">
        <v>43</v>
      </c>
    </row>
    <row r="2167" spans="1:7">
      <c r="A2167" t="s">
        <v>22</v>
      </c>
      <c r="B2167" t="s">
        <v>195</v>
      </c>
      <c r="C2167" s="32">
        <v>498.87</v>
      </c>
      <c r="D2167" s="33">
        <v>87</v>
      </c>
      <c r="E2167" t="s">
        <v>115</v>
      </c>
      <c r="F2167" t="s">
        <v>93</v>
      </c>
      <c r="G2167" s="33">
        <v>43</v>
      </c>
    </row>
    <row r="2168" spans="1:7">
      <c r="A2168" t="s">
        <v>22</v>
      </c>
      <c r="B2168" t="s">
        <v>195</v>
      </c>
      <c r="C2168" s="32">
        <v>498.96</v>
      </c>
      <c r="D2168" s="33">
        <v>88</v>
      </c>
      <c r="E2168" t="s">
        <v>116</v>
      </c>
      <c r="F2168" t="s">
        <v>90</v>
      </c>
      <c r="G2168" s="33">
        <v>42</v>
      </c>
    </row>
    <row r="2169" spans="1:7">
      <c r="A2169" t="s">
        <v>22</v>
      </c>
      <c r="B2169" t="s">
        <v>195</v>
      </c>
      <c r="C2169" s="32">
        <v>499.05</v>
      </c>
      <c r="D2169" s="33">
        <v>89</v>
      </c>
      <c r="E2169" t="s">
        <v>117</v>
      </c>
      <c r="F2169" t="s">
        <v>90</v>
      </c>
      <c r="G2169" s="33">
        <v>43</v>
      </c>
    </row>
    <row r="2170" spans="1:7">
      <c r="A2170" t="s">
        <v>22</v>
      </c>
      <c r="B2170" t="s">
        <v>195</v>
      </c>
      <c r="C2170" s="32">
        <v>499.14</v>
      </c>
      <c r="D2170" s="33">
        <v>90</v>
      </c>
      <c r="E2170" t="s">
        <v>118</v>
      </c>
      <c r="F2170" t="s">
        <v>93</v>
      </c>
      <c r="G2170" s="33">
        <v>43</v>
      </c>
    </row>
    <row r="2171" spans="1:7">
      <c r="A2171" t="s">
        <v>22</v>
      </c>
      <c r="B2171" t="s">
        <v>195</v>
      </c>
      <c r="C2171" s="32">
        <v>499.23</v>
      </c>
      <c r="D2171" s="33">
        <v>91</v>
      </c>
      <c r="E2171" t="s">
        <v>122</v>
      </c>
      <c r="F2171" t="s">
        <v>90</v>
      </c>
      <c r="G2171" s="33">
        <v>42</v>
      </c>
    </row>
    <row r="2172" spans="1:7">
      <c r="A2172" t="s">
        <v>22</v>
      </c>
      <c r="B2172" t="s">
        <v>195</v>
      </c>
      <c r="C2172" s="32">
        <v>499.33</v>
      </c>
      <c r="D2172" s="33">
        <v>92</v>
      </c>
      <c r="E2172" t="s">
        <v>124</v>
      </c>
      <c r="F2172" t="s">
        <v>96</v>
      </c>
      <c r="G2172" s="33">
        <v>43</v>
      </c>
    </row>
    <row r="2173" spans="1:7">
      <c r="A2173" t="s">
        <v>22</v>
      </c>
      <c r="B2173" t="s">
        <v>195</v>
      </c>
      <c r="C2173" s="32">
        <v>499.42</v>
      </c>
      <c r="D2173" s="33">
        <v>93</v>
      </c>
      <c r="E2173" t="s">
        <v>125</v>
      </c>
      <c r="F2173" t="s">
        <v>90</v>
      </c>
      <c r="G2173" s="33">
        <v>43</v>
      </c>
    </row>
    <row r="2174" spans="1:7">
      <c r="A2174" t="s">
        <v>22</v>
      </c>
      <c r="B2174" t="s">
        <v>195</v>
      </c>
      <c r="C2174" s="32">
        <v>499.51</v>
      </c>
      <c r="D2174" s="33">
        <v>94</v>
      </c>
      <c r="E2174" t="s">
        <v>127</v>
      </c>
      <c r="F2174" t="s">
        <v>93</v>
      </c>
      <c r="G2174" s="33">
        <v>42</v>
      </c>
    </row>
    <row r="2175" spans="1:7">
      <c r="A2175" t="s">
        <v>22</v>
      </c>
      <c r="B2175" t="s">
        <v>195</v>
      </c>
      <c r="C2175" s="32">
        <v>499.6</v>
      </c>
      <c r="D2175" s="33">
        <v>95</v>
      </c>
      <c r="E2175" t="s">
        <v>128</v>
      </c>
      <c r="F2175" t="s">
        <v>90</v>
      </c>
      <c r="G2175" s="33">
        <v>43</v>
      </c>
    </row>
    <row r="2176" spans="1:7">
      <c r="A2176" t="s">
        <v>22</v>
      </c>
      <c r="B2176" t="s">
        <v>196</v>
      </c>
      <c r="C2176" s="32">
        <v>501</v>
      </c>
      <c r="D2176" s="33">
        <v>1</v>
      </c>
      <c r="E2176" t="s">
        <v>122</v>
      </c>
      <c r="F2176" t="s">
        <v>90</v>
      </c>
      <c r="G2176" s="33">
        <v>44</v>
      </c>
    </row>
    <row r="2177" spans="1:7">
      <c r="A2177" t="s">
        <v>22</v>
      </c>
      <c r="B2177" t="s">
        <v>196</v>
      </c>
      <c r="C2177" s="32">
        <v>501.09</v>
      </c>
      <c r="D2177" s="33">
        <v>2</v>
      </c>
      <c r="E2177" t="s">
        <v>124</v>
      </c>
      <c r="F2177" t="s">
        <v>93</v>
      </c>
      <c r="G2177" s="33">
        <v>43</v>
      </c>
    </row>
    <row r="2178" spans="1:7">
      <c r="A2178" t="s">
        <v>22</v>
      </c>
      <c r="B2178" t="s">
        <v>196</v>
      </c>
      <c r="C2178" s="32">
        <v>501.18</v>
      </c>
      <c r="D2178" s="33">
        <v>3</v>
      </c>
      <c r="E2178" t="s">
        <v>125</v>
      </c>
      <c r="F2178" t="s">
        <v>90</v>
      </c>
      <c r="G2178" s="33">
        <v>44</v>
      </c>
    </row>
    <row r="2179" spans="1:7">
      <c r="A2179" t="s">
        <v>22</v>
      </c>
      <c r="B2179" t="s">
        <v>196</v>
      </c>
      <c r="C2179" s="32">
        <v>501.27</v>
      </c>
      <c r="D2179" s="33">
        <v>4</v>
      </c>
      <c r="E2179" t="s">
        <v>127</v>
      </c>
      <c r="F2179" t="s">
        <v>96</v>
      </c>
      <c r="G2179" s="33">
        <v>44</v>
      </c>
    </row>
    <row r="2180" spans="1:7">
      <c r="A2180" t="s">
        <v>22</v>
      </c>
      <c r="B2180" t="s">
        <v>196</v>
      </c>
      <c r="C2180" s="32">
        <v>501.35</v>
      </c>
      <c r="D2180" s="33">
        <v>5</v>
      </c>
      <c r="E2180" t="s">
        <v>128</v>
      </c>
      <c r="F2180" t="s">
        <v>90</v>
      </c>
      <c r="G2180" s="33">
        <v>43</v>
      </c>
    </row>
    <row r="2181" spans="1:7">
      <c r="A2181" t="s">
        <v>22</v>
      </c>
      <c r="B2181" t="s">
        <v>196</v>
      </c>
      <c r="C2181" s="32">
        <v>501.44</v>
      </c>
      <c r="D2181" s="33">
        <v>6</v>
      </c>
      <c r="E2181" t="s">
        <v>129</v>
      </c>
      <c r="F2181" t="s">
        <v>93</v>
      </c>
      <c r="G2181" s="33">
        <v>44</v>
      </c>
    </row>
    <row r="2182" spans="1:7">
      <c r="A2182" t="s">
        <v>22</v>
      </c>
      <c r="B2182" t="s">
        <v>196</v>
      </c>
      <c r="C2182" s="32">
        <v>501.53</v>
      </c>
      <c r="D2182" s="33">
        <v>7</v>
      </c>
      <c r="E2182" t="s">
        <v>130</v>
      </c>
      <c r="F2182" t="s">
        <v>90</v>
      </c>
      <c r="G2182" s="33">
        <v>44</v>
      </c>
    </row>
    <row r="2183" spans="1:7">
      <c r="A2183" t="s">
        <v>22</v>
      </c>
      <c r="B2183" t="s">
        <v>196</v>
      </c>
      <c r="C2183" s="32">
        <v>501.62</v>
      </c>
      <c r="D2183" s="33">
        <v>8</v>
      </c>
      <c r="E2183" t="s">
        <v>131</v>
      </c>
      <c r="F2183" t="s">
        <v>90</v>
      </c>
      <c r="G2183" s="33">
        <v>44</v>
      </c>
    </row>
    <row r="2184" spans="1:7">
      <c r="A2184" t="s">
        <v>22</v>
      </c>
      <c r="B2184" t="s">
        <v>196</v>
      </c>
      <c r="C2184" s="32">
        <v>501.71</v>
      </c>
      <c r="D2184" s="33">
        <v>9</v>
      </c>
      <c r="E2184" t="s">
        <v>133</v>
      </c>
      <c r="F2184" t="s">
        <v>93</v>
      </c>
      <c r="G2184" s="33">
        <v>43</v>
      </c>
    </row>
    <row r="2185" spans="1:7">
      <c r="A2185" t="s">
        <v>22</v>
      </c>
      <c r="B2185" t="s">
        <v>196</v>
      </c>
      <c r="C2185" s="32">
        <v>501.8</v>
      </c>
      <c r="D2185" s="33">
        <v>10</v>
      </c>
      <c r="E2185" t="s">
        <v>134</v>
      </c>
      <c r="F2185" t="s">
        <v>90</v>
      </c>
      <c r="G2185" s="33">
        <v>44</v>
      </c>
    </row>
    <row r="2186" spans="1:7">
      <c r="A2186" t="s">
        <v>22</v>
      </c>
      <c r="B2186" t="s">
        <v>196</v>
      </c>
      <c r="C2186" s="32">
        <v>501.89</v>
      </c>
      <c r="D2186" s="33">
        <v>11</v>
      </c>
      <c r="E2186" t="s">
        <v>135</v>
      </c>
      <c r="F2186" t="s">
        <v>96</v>
      </c>
      <c r="G2186" s="33">
        <v>44</v>
      </c>
    </row>
    <row r="2187" spans="1:7">
      <c r="A2187" t="s">
        <v>22</v>
      </c>
      <c r="B2187" t="s">
        <v>196</v>
      </c>
      <c r="C2187" s="32">
        <v>501.98</v>
      </c>
      <c r="D2187" s="33">
        <v>12</v>
      </c>
      <c r="E2187" t="s">
        <v>136</v>
      </c>
      <c r="F2187" t="s">
        <v>90</v>
      </c>
      <c r="G2187" s="33">
        <v>43</v>
      </c>
    </row>
    <row r="2188" spans="1:7">
      <c r="A2188" t="s">
        <v>22</v>
      </c>
      <c r="B2188" t="s">
        <v>196</v>
      </c>
      <c r="C2188" s="32">
        <v>502.06</v>
      </c>
      <c r="D2188" s="33">
        <v>13</v>
      </c>
      <c r="E2188" t="s">
        <v>137</v>
      </c>
      <c r="F2188" t="s">
        <v>93</v>
      </c>
      <c r="G2188" s="33">
        <v>44</v>
      </c>
    </row>
    <row r="2189" spans="1:7">
      <c r="A2189" t="s">
        <v>22</v>
      </c>
      <c r="B2189" t="s">
        <v>196</v>
      </c>
      <c r="C2189" s="32">
        <v>502.15</v>
      </c>
      <c r="D2189" s="33">
        <v>14</v>
      </c>
      <c r="E2189" t="s">
        <v>138</v>
      </c>
      <c r="F2189" t="s">
        <v>102</v>
      </c>
      <c r="G2189" s="33">
        <v>44</v>
      </c>
    </row>
    <row r="2190" spans="1:7">
      <c r="A2190" t="s">
        <v>22</v>
      </c>
      <c r="B2190" t="s">
        <v>196</v>
      </c>
      <c r="C2190" s="32">
        <v>502.24</v>
      </c>
      <c r="D2190" s="33">
        <v>15</v>
      </c>
      <c r="E2190" t="s">
        <v>140</v>
      </c>
      <c r="F2190" t="s">
        <v>90</v>
      </c>
      <c r="G2190" s="33">
        <v>43</v>
      </c>
    </row>
    <row r="2191" spans="1:7">
      <c r="A2191" t="s">
        <v>22</v>
      </c>
      <c r="B2191" t="s">
        <v>196</v>
      </c>
      <c r="C2191" s="32">
        <v>502.33</v>
      </c>
      <c r="D2191" s="33">
        <v>16</v>
      </c>
      <c r="E2191" t="s">
        <v>141</v>
      </c>
      <c r="F2191" t="s">
        <v>93</v>
      </c>
      <c r="G2191" s="33">
        <v>44</v>
      </c>
    </row>
    <row r="2192" spans="1:7">
      <c r="A2192" t="s">
        <v>22</v>
      </c>
      <c r="B2192" t="s">
        <v>196</v>
      </c>
      <c r="C2192" s="32">
        <v>502.42</v>
      </c>
      <c r="D2192" s="33">
        <v>17</v>
      </c>
      <c r="E2192" t="s">
        <v>142</v>
      </c>
      <c r="F2192" t="s">
        <v>90</v>
      </c>
      <c r="G2192" s="33">
        <v>44</v>
      </c>
    </row>
    <row r="2193" spans="1:7">
      <c r="A2193" t="s">
        <v>22</v>
      </c>
      <c r="B2193" t="s">
        <v>196</v>
      </c>
      <c r="C2193" s="32">
        <v>502.51</v>
      </c>
      <c r="D2193" s="33">
        <v>18</v>
      </c>
      <c r="E2193" t="s">
        <v>143</v>
      </c>
      <c r="F2193" t="s">
        <v>90</v>
      </c>
      <c r="G2193" s="33">
        <v>43</v>
      </c>
    </row>
    <row r="2194" spans="1:7">
      <c r="A2194" t="s">
        <v>22</v>
      </c>
      <c r="B2194" t="s">
        <v>196</v>
      </c>
      <c r="C2194" s="32">
        <v>502.6</v>
      </c>
      <c r="D2194" s="33">
        <v>19</v>
      </c>
      <c r="E2194" t="s">
        <v>144</v>
      </c>
      <c r="F2194" t="s">
        <v>96</v>
      </c>
      <c r="G2194" s="33">
        <v>44</v>
      </c>
    </row>
    <row r="2195" spans="1:7">
      <c r="A2195" t="s">
        <v>22</v>
      </c>
      <c r="B2195" t="s">
        <v>196</v>
      </c>
      <c r="C2195" s="32">
        <v>502.68</v>
      </c>
      <c r="D2195" s="33">
        <v>20</v>
      </c>
      <c r="E2195" t="s">
        <v>145</v>
      </c>
      <c r="F2195" t="s">
        <v>93</v>
      </c>
      <c r="G2195" s="33">
        <v>44</v>
      </c>
    </row>
    <row r="2196" spans="1:7">
      <c r="A2196" t="s">
        <v>22</v>
      </c>
      <c r="B2196" t="s">
        <v>196</v>
      </c>
      <c r="C2196" s="32">
        <v>502.77</v>
      </c>
      <c r="D2196" s="33">
        <v>21</v>
      </c>
      <c r="E2196" t="s">
        <v>146</v>
      </c>
      <c r="F2196" t="s">
        <v>90</v>
      </c>
      <c r="G2196" s="33">
        <v>44</v>
      </c>
    </row>
    <row r="2197" spans="1:7">
      <c r="A2197" t="s">
        <v>22</v>
      </c>
      <c r="B2197" t="s">
        <v>196</v>
      </c>
      <c r="C2197" s="32">
        <v>502.86</v>
      </c>
      <c r="D2197" s="33">
        <v>22</v>
      </c>
      <c r="E2197" t="s">
        <v>148</v>
      </c>
      <c r="F2197" t="s">
        <v>90</v>
      </c>
      <c r="G2197" s="33">
        <v>43</v>
      </c>
    </row>
    <row r="2198" spans="1:7">
      <c r="A2198" t="s">
        <v>22</v>
      </c>
      <c r="B2198" t="s">
        <v>196</v>
      </c>
      <c r="C2198" s="32">
        <v>502.95</v>
      </c>
      <c r="D2198" s="33">
        <v>23</v>
      </c>
      <c r="E2198" t="s">
        <v>149</v>
      </c>
      <c r="F2198" t="s">
        <v>93</v>
      </c>
      <c r="G2198" s="33">
        <v>44</v>
      </c>
    </row>
    <row r="2199" spans="1:7">
      <c r="A2199" t="s">
        <v>22</v>
      </c>
      <c r="B2199" t="s">
        <v>196</v>
      </c>
      <c r="C2199" s="32">
        <v>503.04</v>
      </c>
      <c r="D2199" s="33">
        <v>24</v>
      </c>
      <c r="E2199" t="s">
        <v>150</v>
      </c>
      <c r="F2199" t="s">
        <v>90</v>
      </c>
      <c r="G2199" s="33">
        <v>44</v>
      </c>
    </row>
    <row r="2200" spans="1:7">
      <c r="A2200" t="s">
        <v>22</v>
      </c>
      <c r="B2200" t="s">
        <v>196</v>
      </c>
      <c r="C2200" s="32">
        <v>503.13</v>
      </c>
      <c r="D2200" s="33">
        <v>25</v>
      </c>
      <c r="E2200" t="s">
        <v>151</v>
      </c>
      <c r="F2200" t="s">
        <v>90</v>
      </c>
      <c r="G2200" s="33">
        <v>43</v>
      </c>
    </row>
    <row r="2201" spans="1:7">
      <c r="A2201" t="s">
        <v>22</v>
      </c>
      <c r="B2201" t="s">
        <v>196</v>
      </c>
      <c r="C2201" s="32">
        <v>503.22</v>
      </c>
      <c r="D2201" s="33">
        <v>26</v>
      </c>
      <c r="E2201" t="s">
        <v>152</v>
      </c>
      <c r="F2201" t="s">
        <v>96</v>
      </c>
      <c r="G2201" s="33">
        <v>44</v>
      </c>
    </row>
    <row r="2202" spans="1:7">
      <c r="A2202" t="s">
        <v>22</v>
      </c>
      <c r="B2202" t="s">
        <v>196</v>
      </c>
      <c r="C2202" s="32">
        <v>503.31</v>
      </c>
      <c r="D2202" s="33">
        <v>27</v>
      </c>
      <c r="E2202" t="s">
        <v>153</v>
      </c>
      <c r="F2202" t="s">
        <v>93</v>
      </c>
      <c r="G2202" s="33">
        <v>44</v>
      </c>
    </row>
    <row r="2203" spans="1:7">
      <c r="A2203" t="s">
        <v>22</v>
      </c>
      <c r="B2203" t="s">
        <v>196</v>
      </c>
      <c r="C2203" s="32">
        <v>503.39</v>
      </c>
      <c r="D2203" s="33">
        <v>28</v>
      </c>
      <c r="E2203" t="s">
        <v>120</v>
      </c>
      <c r="F2203" t="s">
        <v>102</v>
      </c>
      <c r="G2203" s="33">
        <v>43</v>
      </c>
    </row>
    <row r="2204" spans="1:7">
      <c r="A2204" t="s">
        <v>22</v>
      </c>
      <c r="B2204" t="s">
        <v>196</v>
      </c>
      <c r="C2204" s="32">
        <v>503.48</v>
      </c>
      <c r="D2204" s="33">
        <v>29</v>
      </c>
      <c r="E2204" t="s">
        <v>115</v>
      </c>
      <c r="F2204" t="s">
        <v>90</v>
      </c>
      <c r="G2204" s="33">
        <v>44</v>
      </c>
    </row>
    <row r="2205" spans="1:7">
      <c r="A2205" t="s">
        <v>22</v>
      </c>
      <c r="B2205" t="s">
        <v>196</v>
      </c>
      <c r="C2205" s="32">
        <v>503.57</v>
      </c>
      <c r="D2205" s="33">
        <v>30</v>
      </c>
      <c r="E2205" t="s">
        <v>116</v>
      </c>
      <c r="F2205" t="s">
        <v>93</v>
      </c>
      <c r="G2205" s="33">
        <v>44</v>
      </c>
    </row>
    <row r="2206" spans="1:7">
      <c r="A2206" t="s">
        <v>22</v>
      </c>
      <c r="B2206" t="s">
        <v>196</v>
      </c>
      <c r="C2206" s="32">
        <v>503.66</v>
      </c>
      <c r="D2206" s="33">
        <v>31</v>
      </c>
      <c r="E2206" t="s">
        <v>117</v>
      </c>
      <c r="F2206" t="s">
        <v>90</v>
      </c>
      <c r="G2206" s="33">
        <v>44</v>
      </c>
    </row>
    <row r="2207" spans="1:7">
      <c r="A2207" t="s">
        <v>22</v>
      </c>
      <c r="B2207" t="s">
        <v>196</v>
      </c>
      <c r="C2207" s="32">
        <v>503.75</v>
      </c>
      <c r="D2207" s="33">
        <v>32</v>
      </c>
      <c r="E2207" t="s">
        <v>118</v>
      </c>
      <c r="F2207" t="s">
        <v>90</v>
      </c>
      <c r="G2207" s="33">
        <v>43</v>
      </c>
    </row>
    <row r="2208" spans="1:7">
      <c r="A2208" t="s">
        <v>22</v>
      </c>
      <c r="B2208" t="s">
        <v>196</v>
      </c>
      <c r="C2208" s="32">
        <v>503.84</v>
      </c>
      <c r="D2208" s="33">
        <v>33</v>
      </c>
      <c r="E2208" t="s">
        <v>122</v>
      </c>
      <c r="F2208" t="s">
        <v>93</v>
      </c>
      <c r="G2208" s="33">
        <v>44</v>
      </c>
    </row>
    <row r="2209" spans="1:7">
      <c r="A2209" t="s">
        <v>22</v>
      </c>
      <c r="B2209" t="s">
        <v>196</v>
      </c>
      <c r="C2209" s="32">
        <v>503.93</v>
      </c>
      <c r="D2209" s="33">
        <v>34</v>
      </c>
      <c r="E2209" t="s">
        <v>124</v>
      </c>
      <c r="F2209" t="s">
        <v>90</v>
      </c>
      <c r="G2209" s="33">
        <v>44</v>
      </c>
    </row>
    <row r="2210" spans="1:7">
      <c r="A2210" t="s">
        <v>22</v>
      </c>
      <c r="B2210" t="s">
        <v>196</v>
      </c>
      <c r="C2210" s="32">
        <v>504.01</v>
      </c>
      <c r="D2210" s="33">
        <v>35</v>
      </c>
      <c r="E2210" t="s">
        <v>125</v>
      </c>
      <c r="F2210" t="s">
        <v>96</v>
      </c>
      <c r="G2210" s="33">
        <v>43</v>
      </c>
    </row>
    <row r="2211" spans="1:7">
      <c r="A2211" t="s">
        <v>22</v>
      </c>
      <c r="B2211" t="s">
        <v>196</v>
      </c>
      <c r="C2211" s="32">
        <v>504.1</v>
      </c>
      <c r="D2211" s="33">
        <v>36</v>
      </c>
      <c r="E2211" t="s">
        <v>127</v>
      </c>
      <c r="F2211" t="s">
        <v>90</v>
      </c>
      <c r="G2211" s="33">
        <v>44</v>
      </c>
    </row>
    <row r="2212" spans="1:7">
      <c r="A2212" t="s">
        <v>22</v>
      </c>
      <c r="B2212" t="s">
        <v>196</v>
      </c>
      <c r="C2212" s="32">
        <v>504.19</v>
      </c>
      <c r="D2212" s="33">
        <v>37</v>
      </c>
      <c r="E2212" t="s">
        <v>128</v>
      </c>
      <c r="F2212" t="s">
        <v>93</v>
      </c>
      <c r="G2212" s="33">
        <v>44</v>
      </c>
    </row>
    <row r="2213" spans="1:7">
      <c r="A2213" t="s">
        <v>22</v>
      </c>
      <c r="B2213" t="s">
        <v>196</v>
      </c>
      <c r="C2213" s="32">
        <v>504.28</v>
      </c>
      <c r="D2213" s="33">
        <v>38</v>
      </c>
      <c r="E2213" t="s">
        <v>129</v>
      </c>
      <c r="F2213" t="s">
        <v>90</v>
      </c>
      <c r="G2213" s="33">
        <v>43</v>
      </c>
    </row>
    <row r="2214" spans="1:7">
      <c r="A2214" t="s">
        <v>22</v>
      </c>
      <c r="B2214" t="s">
        <v>196</v>
      </c>
      <c r="C2214" s="32">
        <v>504.37</v>
      </c>
      <c r="D2214" s="33">
        <v>39</v>
      </c>
      <c r="E2214" t="s">
        <v>130</v>
      </c>
      <c r="F2214" t="s">
        <v>90</v>
      </c>
      <c r="G2214" s="33">
        <v>44</v>
      </c>
    </row>
    <row r="2215" spans="1:7">
      <c r="A2215" t="s">
        <v>22</v>
      </c>
      <c r="B2215" t="s">
        <v>196</v>
      </c>
      <c r="C2215" s="32">
        <v>504.46</v>
      </c>
      <c r="D2215" s="33">
        <v>40</v>
      </c>
      <c r="E2215" t="s">
        <v>131</v>
      </c>
      <c r="F2215" t="s">
        <v>93</v>
      </c>
      <c r="G2215" s="33">
        <v>44</v>
      </c>
    </row>
    <row r="2216" spans="1:7">
      <c r="A2216" t="s">
        <v>22</v>
      </c>
      <c r="B2216" t="s">
        <v>196</v>
      </c>
      <c r="C2216" s="32">
        <v>504.55</v>
      </c>
      <c r="D2216" s="33">
        <v>41</v>
      </c>
      <c r="E2216" t="s">
        <v>133</v>
      </c>
      <c r="F2216" t="s">
        <v>102</v>
      </c>
      <c r="G2216" s="33">
        <v>43</v>
      </c>
    </row>
    <row r="2217" spans="1:7">
      <c r="A2217" t="s">
        <v>22</v>
      </c>
      <c r="B2217" t="s">
        <v>196</v>
      </c>
      <c r="C2217" s="32">
        <v>504.64</v>
      </c>
      <c r="D2217" s="33">
        <v>42</v>
      </c>
      <c r="E2217" t="s">
        <v>134</v>
      </c>
      <c r="F2217" t="s">
        <v>96</v>
      </c>
      <c r="G2217" s="33">
        <v>44</v>
      </c>
    </row>
    <row r="2218" spans="1:7">
      <c r="A2218" t="s">
        <v>22</v>
      </c>
      <c r="B2218" t="s">
        <v>196</v>
      </c>
      <c r="C2218" s="32">
        <v>504.72</v>
      </c>
      <c r="D2218" s="33">
        <v>43</v>
      </c>
      <c r="E2218" t="s">
        <v>135</v>
      </c>
      <c r="F2218" t="s">
        <v>90</v>
      </c>
      <c r="G2218" s="33">
        <v>44</v>
      </c>
    </row>
    <row r="2219" spans="1:7">
      <c r="A2219" t="s">
        <v>22</v>
      </c>
      <c r="B2219" t="s">
        <v>196</v>
      </c>
      <c r="C2219" s="32">
        <v>504.81</v>
      </c>
      <c r="D2219" s="33">
        <v>44</v>
      </c>
      <c r="E2219" t="s">
        <v>136</v>
      </c>
      <c r="F2219" t="s">
        <v>90</v>
      </c>
      <c r="G2219" s="33">
        <v>44</v>
      </c>
    </row>
    <row r="2220" spans="1:7">
      <c r="A2220" t="s">
        <v>22</v>
      </c>
      <c r="B2220" t="s">
        <v>196</v>
      </c>
      <c r="C2220" s="32">
        <v>504.9</v>
      </c>
      <c r="D2220" s="33">
        <v>45</v>
      </c>
      <c r="E2220" t="s">
        <v>137</v>
      </c>
      <c r="F2220" t="s">
        <v>93</v>
      </c>
      <c r="G2220" s="33">
        <v>43</v>
      </c>
    </row>
    <row r="2221" spans="1:7">
      <c r="A2221" t="s">
        <v>22</v>
      </c>
      <c r="B2221" t="s">
        <v>196</v>
      </c>
      <c r="C2221" s="32">
        <v>504.99</v>
      </c>
      <c r="D2221" s="33">
        <v>46</v>
      </c>
      <c r="E2221" t="s">
        <v>138</v>
      </c>
      <c r="F2221" t="s">
        <v>90</v>
      </c>
      <c r="G2221" s="33">
        <v>44</v>
      </c>
    </row>
    <row r="2222" spans="1:7">
      <c r="A2222" t="s">
        <v>22</v>
      </c>
      <c r="B2222" t="s">
        <v>196</v>
      </c>
      <c r="C2222" s="32">
        <v>505.08</v>
      </c>
      <c r="D2222" s="33">
        <v>47</v>
      </c>
      <c r="E2222" t="s">
        <v>140</v>
      </c>
      <c r="F2222" t="s">
        <v>93</v>
      </c>
      <c r="G2222" s="33">
        <v>44</v>
      </c>
    </row>
    <row r="2223" spans="1:7">
      <c r="A2223" t="s">
        <v>22</v>
      </c>
      <c r="B2223" t="s">
        <v>196</v>
      </c>
      <c r="C2223" s="32">
        <v>505.17</v>
      </c>
      <c r="D2223" s="33">
        <v>48</v>
      </c>
      <c r="E2223" t="s">
        <v>141</v>
      </c>
      <c r="F2223" t="s">
        <v>90</v>
      </c>
      <c r="G2223" s="33">
        <v>43</v>
      </c>
    </row>
    <row r="2224" spans="1:7">
      <c r="A2224" t="s">
        <v>22</v>
      </c>
      <c r="B2224" t="s">
        <v>196</v>
      </c>
      <c r="C2224" s="32">
        <v>505.26</v>
      </c>
      <c r="D2224" s="33">
        <v>49</v>
      </c>
      <c r="E2224" t="s">
        <v>142</v>
      </c>
      <c r="F2224" t="s">
        <v>90</v>
      </c>
      <c r="G2224" s="33">
        <v>44</v>
      </c>
    </row>
    <row r="2225" spans="1:7">
      <c r="A2225" t="s">
        <v>22</v>
      </c>
      <c r="B2225" t="s">
        <v>196</v>
      </c>
      <c r="C2225" s="32">
        <v>505.34</v>
      </c>
      <c r="D2225" s="33">
        <v>50</v>
      </c>
      <c r="E2225" t="s">
        <v>143</v>
      </c>
      <c r="F2225" t="s">
        <v>96</v>
      </c>
      <c r="G2225" s="33">
        <v>44</v>
      </c>
    </row>
    <row r="2226" spans="1:7">
      <c r="A2226" t="s">
        <v>22</v>
      </c>
      <c r="B2226" t="s">
        <v>196</v>
      </c>
      <c r="C2226" s="32">
        <v>505.43</v>
      </c>
      <c r="D2226" s="33">
        <v>51</v>
      </c>
      <c r="E2226" t="s">
        <v>144</v>
      </c>
      <c r="F2226" t="s">
        <v>90</v>
      </c>
      <c r="G2226" s="33">
        <v>43</v>
      </c>
    </row>
    <row r="2227" spans="1:7">
      <c r="A2227" t="s">
        <v>22</v>
      </c>
      <c r="B2227" t="s">
        <v>196</v>
      </c>
      <c r="C2227" s="32">
        <v>505.52</v>
      </c>
      <c r="D2227" s="33">
        <v>52</v>
      </c>
      <c r="E2227" t="s">
        <v>145</v>
      </c>
      <c r="F2227" t="s">
        <v>93</v>
      </c>
      <c r="G2227" s="33">
        <v>44</v>
      </c>
    </row>
    <row r="2228" spans="1:7">
      <c r="A2228" t="s">
        <v>22</v>
      </c>
      <c r="B2228" t="s">
        <v>196</v>
      </c>
      <c r="C2228" s="32">
        <v>505.61</v>
      </c>
      <c r="D2228" s="33">
        <v>53</v>
      </c>
      <c r="E2228" t="s">
        <v>146</v>
      </c>
      <c r="F2228" t="s">
        <v>90</v>
      </c>
      <c r="G2228" s="33">
        <v>44</v>
      </c>
    </row>
    <row r="2229" spans="1:7">
      <c r="A2229" t="s">
        <v>22</v>
      </c>
      <c r="B2229" t="s">
        <v>196</v>
      </c>
      <c r="C2229" s="32">
        <v>505.7</v>
      </c>
      <c r="D2229" s="33">
        <v>54</v>
      </c>
      <c r="E2229" t="s">
        <v>148</v>
      </c>
      <c r="F2229" t="s">
        <v>93</v>
      </c>
      <c r="G2229" s="33">
        <v>43</v>
      </c>
    </row>
    <row r="2230" spans="1:7">
      <c r="A2230" t="s">
        <v>22</v>
      </c>
      <c r="B2230" t="s">
        <v>196</v>
      </c>
      <c r="C2230" s="32">
        <v>505.79</v>
      </c>
      <c r="D2230" s="33">
        <v>55</v>
      </c>
      <c r="E2230" t="s">
        <v>149</v>
      </c>
      <c r="F2230" t="s">
        <v>102</v>
      </c>
      <c r="G2230" s="33">
        <v>44</v>
      </c>
    </row>
    <row r="2231" spans="1:7">
      <c r="A2231" t="s">
        <v>22</v>
      </c>
      <c r="B2231" t="s">
        <v>196</v>
      </c>
      <c r="C2231" s="32">
        <v>505.88</v>
      </c>
      <c r="D2231" s="33">
        <v>56</v>
      </c>
      <c r="E2231" t="s">
        <v>150</v>
      </c>
      <c r="F2231" t="s">
        <v>90</v>
      </c>
      <c r="G2231" s="33">
        <v>44</v>
      </c>
    </row>
    <row r="2232" spans="1:7">
      <c r="A2232" t="s">
        <v>22</v>
      </c>
      <c r="B2232" t="s">
        <v>196</v>
      </c>
      <c r="C2232" s="32">
        <v>505.96</v>
      </c>
      <c r="D2232" s="33">
        <v>57</v>
      </c>
      <c r="E2232" t="s">
        <v>151</v>
      </c>
      <c r="F2232" t="s">
        <v>96</v>
      </c>
      <c r="G2232" s="33">
        <v>44</v>
      </c>
    </row>
    <row r="2233" spans="1:7">
      <c r="A2233" t="s">
        <v>22</v>
      </c>
      <c r="B2233" t="s">
        <v>196</v>
      </c>
      <c r="C2233" s="32">
        <v>506.05</v>
      </c>
      <c r="D2233" s="33">
        <v>58</v>
      </c>
      <c r="E2233" t="s">
        <v>152</v>
      </c>
      <c r="F2233" t="s">
        <v>90</v>
      </c>
      <c r="G2233" s="33">
        <v>43</v>
      </c>
    </row>
    <row r="2234" spans="1:7">
      <c r="A2234" t="s">
        <v>22</v>
      </c>
      <c r="B2234" t="s">
        <v>196</v>
      </c>
      <c r="C2234" s="32">
        <v>506.14</v>
      </c>
      <c r="D2234" s="33">
        <v>59</v>
      </c>
      <c r="E2234" t="s">
        <v>153</v>
      </c>
      <c r="F2234" t="s">
        <v>93</v>
      </c>
      <c r="G2234" s="33">
        <v>44</v>
      </c>
    </row>
    <row r="2235" spans="1:7">
      <c r="A2235" t="s">
        <v>22</v>
      </c>
      <c r="B2235" t="s">
        <v>196</v>
      </c>
      <c r="C2235" s="32">
        <v>506.23</v>
      </c>
      <c r="D2235" s="33">
        <v>60</v>
      </c>
      <c r="E2235" t="s">
        <v>120</v>
      </c>
      <c r="F2235" t="s">
        <v>90</v>
      </c>
      <c r="G2235" s="33">
        <v>44</v>
      </c>
    </row>
    <row r="2236" spans="1:7">
      <c r="A2236" t="s">
        <v>22</v>
      </c>
      <c r="B2236" t="s">
        <v>196</v>
      </c>
      <c r="C2236" s="32">
        <v>506.32</v>
      </c>
      <c r="D2236" s="33">
        <v>61</v>
      </c>
      <c r="E2236" t="s">
        <v>115</v>
      </c>
      <c r="F2236" t="s">
        <v>90</v>
      </c>
      <c r="G2236" s="33">
        <v>43</v>
      </c>
    </row>
    <row r="2237" spans="1:7">
      <c r="A2237" t="s">
        <v>22</v>
      </c>
      <c r="B2237" t="s">
        <v>196</v>
      </c>
      <c r="C2237" s="32">
        <v>506.41</v>
      </c>
      <c r="D2237" s="33">
        <v>62</v>
      </c>
      <c r="E2237" t="s">
        <v>116</v>
      </c>
      <c r="F2237" t="s">
        <v>93</v>
      </c>
      <c r="G2237" s="33">
        <v>44</v>
      </c>
    </row>
    <row r="2238" spans="1:7">
      <c r="A2238" t="s">
        <v>22</v>
      </c>
      <c r="B2238" t="s">
        <v>196</v>
      </c>
      <c r="C2238" s="32">
        <v>506.5</v>
      </c>
      <c r="D2238" s="33">
        <v>63</v>
      </c>
      <c r="E2238" t="s">
        <v>117</v>
      </c>
      <c r="F2238" t="s">
        <v>90</v>
      </c>
      <c r="G2238" s="33">
        <v>44</v>
      </c>
    </row>
    <row r="2239" spans="1:7">
      <c r="A2239" t="s">
        <v>22</v>
      </c>
      <c r="B2239" t="s">
        <v>196</v>
      </c>
      <c r="C2239" s="32">
        <v>506.59</v>
      </c>
      <c r="D2239" s="33">
        <v>64</v>
      </c>
      <c r="E2239" t="s">
        <v>118</v>
      </c>
      <c r="F2239" t="s">
        <v>96</v>
      </c>
      <c r="G2239" s="33">
        <v>43</v>
      </c>
    </row>
    <row r="2240" spans="1:7">
      <c r="A2240" t="s">
        <v>22</v>
      </c>
      <c r="B2240" t="s">
        <v>196</v>
      </c>
      <c r="C2240" s="32">
        <v>506.67</v>
      </c>
      <c r="D2240" s="33">
        <v>65</v>
      </c>
      <c r="E2240" t="s">
        <v>122</v>
      </c>
      <c r="F2240" t="s">
        <v>90</v>
      </c>
      <c r="G2240" s="33">
        <v>44</v>
      </c>
    </row>
    <row r="2241" spans="1:7">
      <c r="A2241" t="s">
        <v>22</v>
      </c>
      <c r="B2241" t="s">
        <v>196</v>
      </c>
      <c r="C2241" s="32">
        <v>506.76</v>
      </c>
      <c r="D2241" s="33">
        <v>66</v>
      </c>
      <c r="E2241" t="s">
        <v>124</v>
      </c>
      <c r="F2241" t="s">
        <v>93</v>
      </c>
      <c r="G2241" s="33">
        <v>44</v>
      </c>
    </row>
    <row r="2242" spans="1:7">
      <c r="A2242" t="s">
        <v>22</v>
      </c>
      <c r="B2242" t="s">
        <v>196</v>
      </c>
      <c r="C2242" s="32">
        <v>506.85</v>
      </c>
      <c r="D2242" s="33">
        <v>67</v>
      </c>
      <c r="E2242" t="s">
        <v>125</v>
      </c>
      <c r="F2242" t="s">
        <v>90</v>
      </c>
      <c r="G2242" s="33">
        <v>43</v>
      </c>
    </row>
    <row r="2243" spans="1:7">
      <c r="A2243" t="s">
        <v>22</v>
      </c>
      <c r="B2243" t="s">
        <v>196</v>
      </c>
      <c r="C2243" s="32">
        <v>506.94</v>
      </c>
      <c r="D2243" s="33">
        <v>68</v>
      </c>
      <c r="E2243" t="s">
        <v>127</v>
      </c>
      <c r="F2243" t="s">
        <v>102</v>
      </c>
      <c r="G2243" s="33">
        <v>44</v>
      </c>
    </row>
    <row r="2244" spans="1:7">
      <c r="A2244" t="s">
        <v>22</v>
      </c>
      <c r="B2244" t="s">
        <v>196</v>
      </c>
      <c r="C2244" s="32">
        <v>507.03</v>
      </c>
      <c r="D2244" s="33">
        <v>69</v>
      </c>
      <c r="E2244" t="s">
        <v>128</v>
      </c>
      <c r="F2244" t="s">
        <v>93</v>
      </c>
      <c r="G2244" s="33">
        <v>44</v>
      </c>
    </row>
    <row r="2245" spans="1:7">
      <c r="A2245" t="s">
        <v>22</v>
      </c>
      <c r="B2245" t="s">
        <v>196</v>
      </c>
      <c r="C2245" s="32">
        <v>507.12</v>
      </c>
      <c r="D2245" s="33">
        <v>70</v>
      </c>
      <c r="E2245" t="s">
        <v>129</v>
      </c>
      <c r="F2245" t="s">
        <v>90</v>
      </c>
      <c r="G2245" s="33">
        <v>44</v>
      </c>
    </row>
    <row r="2246" spans="1:7">
      <c r="A2246" t="s">
        <v>22</v>
      </c>
      <c r="B2246" t="s">
        <v>196</v>
      </c>
      <c r="C2246" s="32">
        <v>507.21</v>
      </c>
      <c r="D2246" s="33">
        <v>71</v>
      </c>
      <c r="E2246" t="s">
        <v>130</v>
      </c>
      <c r="F2246" t="s">
        <v>96</v>
      </c>
      <c r="G2246" s="33">
        <v>43</v>
      </c>
    </row>
    <row r="2247" spans="1:7">
      <c r="A2247" t="s">
        <v>22</v>
      </c>
      <c r="B2247" t="s">
        <v>196</v>
      </c>
      <c r="C2247" s="32">
        <v>507.29</v>
      </c>
      <c r="D2247" s="33">
        <v>72</v>
      </c>
      <c r="E2247" t="s">
        <v>131</v>
      </c>
      <c r="F2247" t="s">
        <v>90</v>
      </c>
      <c r="G2247" s="33">
        <v>44</v>
      </c>
    </row>
    <row r="2248" spans="1:7">
      <c r="A2248" t="s">
        <v>22</v>
      </c>
      <c r="B2248" t="s">
        <v>196</v>
      </c>
      <c r="C2248" s="32">
        <v>507.38</v>
      </c>
      <c r="D2248" s="33">
        <v>73</v>
      </c>
      <c r="E2248" t="s">
        <v>133</v>
      </c>
      <c r="F2248" t="s">
        <v>93</v>
      </c>
      <c r="G2248" s="33">
        <v>44</v>
      </c>
    </row>
    <row r="2249" spans="1:7">
      <c r="A2249" t="s">
        <v>22</v>
      </c>
      <c r="B2249" t="s">
        <v>196</v>
      </c>
      <c r="C2249" s="32">
        <v>507.47</v>
      </c>
      <c r="D2249" s="33">
        <v>74</v>
      </c>
      <c r="E2249" t="s">
        <v>134</v>
      </c>
      <c r="F2249" t="s">
        <v>90</v>
      </c>
      <c r="G2249" s="33">
        <v>43</v>
      </c>
    </row>
    <row r="2250" spans="1:7">
      <c r="A2250" t="s">
        <v>22</v>
      </c>
      <c r="B2250" t="s">
        <v>196</v>
      </c>
      <c r="C2250" s="32">
        <v>507.56</v>
      </c>
      <c r="D2250" s="33">
        <v>75</v>
      </c>
      <c r="E2250" t="s">
        <v>135</v>
      </c>
      <c r="F2250" t="s">
        <v>90</v>
      </c>
      <c r="G2250" s="33">
        <v>44</v>
      </c>
    </row>
    <row r="2251" spans="1:7">
      <c r="A2251" t="s">
        <v>22</v>
      </c>
      <c r="B2251" t="s">
        <v>196</v>
      </c>
      <c r="C2251" s="32">
        <v>507.65</v>
      </c>
      <c r="D2251" s="33">
        <v>76</v>
      </c>
      <c r="E2251" t="s">
        <v>136</v>
      </c>
      <c r="F2251" t="s">
        <v>93</v>
      </c>
      <c r="G2251" s="33">
        <v>44</v>
      </c>
    </row>
    <row r="2252" spans="1:7">
      <c r="A2252" t="s">
        <v>22</v>
      </c>
      <c r="B2252" t="s">
        <v>196</v>
      </c>
      <c r="C2252" s="32">
        <v>507.74</v>
      </c>
      <c r="D2252" s="33">
        <v>77</v>
      </c>
      <c r="E2252" t="s">
        <v>137</v>
      </c>
      <c r="F2252" t="s">
        <v>90</v>
      </c>
      <c r="G2252" s="33">
        <v>43</v>
      </c>
    </row>
    <row r="2253" spans="1:7">
      <c r="A2253" t="s">
        <v>22</v>
      </c>
      <c r="B2253" t="s">
        <v>196</v>
      </c>
      <c r="C2253" s="32">
        <v>507.83</v>
      </c>
      <c r="D2253" s="33">
        <v>78</v>
      </c>
      <c r="E2253" t="s">
        <v>138</v>
      </c>
      <c r="F2253" t="s">
        <v>90</v>
      </c>
      <c r="G2253" s="33">
        <v>44</v>
      </c>
    </row>
    <row r="2254" spans="1:7">
      <c r="A2254" t="s">
        <v>22</v>
      </c>
      <c r="B2254" t="s">
        <v>196</v>
      </c>
      <c r="C2254" s="32">
        <v>507.92</v>
      </c>
      <c r="D2254" s="33">
        <v>79</v>
      </c>
      <c r="E2254" t="s">
        <v>140</v>
      </c>
      <c r="F2254" t="s">
        <v>93</v>
      </c>
      <c r="G2254" s="33">
        <v>44</v>
      </c>
    </row>
    <row r="2255" spans="1:7">
      <c r="A2255" t="s">
        <v>22</v>
      </c>
      <c r="B2255" t="s">
        <v>196</v>
      </c>
      <c r="C2255" s="32">
        <v>508</v>
      </c>
      <c r="D2255" s="33">
        <v>80</v>
      </c>
      <c r="E2255" t="s">
        <v>141</v>
      </c>
      <c r="F2255" t="s">
        <v>96</v>
      </c>
      <c r="G2255" s="33">
        <v>44</v>
      </c>
    </row>
    <row r="2256" spans="1:7">
      <c r="A2256" t="s">
        <v>22</v>
      </c>
      <c r="B2256" t="s">
        <v>196</v>
      </c>
      <c r="C2256" s="32">
        <v>508.09</v>
      </c>
      <c r="D2256" s="33">
        <v>81</v>
      </c>
      <c r="E2256" t="s">
        <v>142</v>
      </c>
      <c r="F2256" t="s">
        <v>90</v>
      </c>
      <c r="G2256" s="33">
        <v>43</v>
      </c>
    </row>
    <row r="2257" spans="1:7">
      <c r="A2257" t="s">
        <v>22</v>
      </c>
      <c r="B2257" t="s">
        <v>196</v>
      </c>
      <c r="C2257" s="32">
        <v>508.18</v>
      </c>
      <c r="D2257" s="33">
        <v>82</v>
      </c>
      <c r="E2257" t="s">
        <v>143</v>
      </c>
      <c r="F2257" t="s">
        <v>102</v>
      </c>
      <c r="G2257" s="33">
        <v>44</v>
      </c>
    </row>
    <row r="2258" spans="1:7">
      <c r="A2258" t="s">
        <v>22</v>
      </c>
      <c r="B2258" t="s">
        <v>196</v>
      </c>
      <c r="C2258" s="32">
        <v>508.27</v>
      </c>
      <c r="D2258" s="33">
        <v>83</v>
      </c>
      <c r="E2258" t="s">
        <v>144</v>
      </c>
      <c r="F2258" t="s">
        <v>93</v>
      </c>
      <c r="G2258" s="33">
        <v>44</v>
      </c>
    </row>
    <row r="2259" spans="1:7">
      <c r="A2259" t="s">
        <v>22</v>
      </c>
      <c r="B2259" t="s">
        <v>196</v>
      </c>
      <c r="C2259" s="32">
        <v>508.36</v>
      </c>
      <c r="D2259" s="33">
        <v>84</v>
      </c>
      <c r="E2259" t="s">
        <v>145</v>
      </c>
      <c r="F2259" t="s">
        <v>90</v>
      </c>
      <c r="G2259" s="33">
        <v>43</v>
      </c>
    </row>
    <row r="2260" spans="1:7">
      <c r="A2260" t="s">
        <v>22</v>
      </c>
      <c r="B2260" t="s">
        <v>196</v>
      </c>
      <c r="C2260" s="32">
        <v>508.45</v>
      </c>
      <c r="D2260" s="33">
        <v>85</v>
      </c>
      <c r="E2260" t="s">
        <v>146</v>
      </c>
      <c r="F2260" t="s">
        <v>90</v>
      </c>
      <c r="G2260" s="33">
        <v>44</v>
      </c>
    </row>
    <row r="2261" spans="1:7">
      <c r="A2261" t="s">
        <v>22</v>
      </c>
      <c r="B2261" t="s">
        <v>196</v>
      </c>
      <c r="C2261" s="32">
        <v>508.54</v>
      </c>
      <c r="D2261" s="33">
        <v>86</v>
      </c>
      <c r="E2261" t="s">
        <v>148</v>
      </c>
      <c r="F2261" t="s">
        <v>93</v>
      </c>
      <c r="G2261" s="33">
        <v>44</v>
      </c>
    </row>
    <row r="2262" spans="1:7">
      <c r="A2262" t="s">
        <v>22</v>
      </c>
      <c r="B2262" t="s">
        <v>196</v>
      </c>
      <c r="C2262" s="32">
        <v>508.62</v>
      </c>
      <c r="D2262" s="33">
        <v>87</v>
      </c>
      <c r="E2262" t="s">
        <v>149</v>
      </c>
      <c r="F2262" t="s">
        <v>90</v>
      </c>
      <c r="G2262" s="33">
        <v>43</v>
      </c>
    </row>
    <row r="2263" spans="1:7">
      <c r="A2263" t="s">
        <v>22</v>
      </c>
      <c r="B2263" t="s">
        <v>196</v>
      </c>
      <c r="C2263" s="32">
        <v>508.71</v>
      </c>
      <c r="D2263" s="33">
        <v>88</v>
      </c>
      <c r="E2263" t="s">
        <v>150</v>
      </c>
      <c r="F2263" t="s">
        <v>96</v>
      </c>
      <c r="G2263" s="33">
        <v>44</v>
      </c>
    </row>
    <row r="2264" spans="1:7">
      <c r="A2264" t="s">
        <v>22</v>
      </c>
      <c r="B2264" t="s">
        <v>196</v>
      </c>
      <c r="C2264" s="32">
        <v>508.8</v>
      </c>
      <c r="D2264" s="33">
        <v>89</v>
      </c>
      <c r="E2264" t="s">
        <v>151</v>
      </c>
      <c r="F2264" t="s">
        <v>90</v>
      </c>
      <c r="G2264" s="33">
        <v>44</v>
      </c>
    </row>
    <row r="2265" spans="1:7">
      <c r="A2265" t="s">
        <v>22</v>
      </c>
      <c r="B2265" t="s">
        <v>196</v>
      </c>
      <c r="C2265" s="32">
        <v>508.89</v>
      </c>
      <c r="D2265" s="33">
        <v>90</v>
      </c>
      <c r="E2265" t="s">
        <v>152</v>
      </c>
      <c r="F2265" t="s">
        <v>93</v>
      </c>
      <c r="G2265" s="33">
        <v>43</v>
      </c>
    </row>
    <row r="2266" spans="1:7">
      <c r="A2266" t="s">
        <v>22</v>
      </c>
      <c r="B2266" t="s">
        <v>196</v>
      </c>
      <c r="C2266" s="32">
        <v>508.98</v>
      </c>
      <c r="D2266" s="33">
        <v>91</v>
      </c>
      <c r="E2266" t="s">
        <v>153</v>
      </c>
      <c r="F2266" t="s">
        <v>90</v>
      </c>
      <c r="G2266" s="33">
        <v>44</v>
      </c>
    </row>
    <row r="2267" spans="1:7">
      <c r="A2267" t="s">
        <v>22</v>
      </c>
      <c r="B2267" t="s">
        <v>196</v>
      </c>
      <c r="C2267" s="32">
        <v>509.07</v>
      </c>
      <c r="D2267" s="33">
        <v>92</v>
      </c>
      <c r="E2267" t="s">
        <v>120</v>
      </c>
      <c r="F2267" t="s">
        <v>90</v>
      </c>
      <c r="G2267" s="33">
        <v>44</v>
      </c>
    </row>
    <row r="2268" spans="1:7">
      <c r="A2268" t="s">
        <v>22</v>
      </c>
      <c r="B2268" t="s">
        <v>196</v>
      </c>
      <c r="C2268" s="32">
        <v>509.16</v>
      </c>
      <c r="D2268" s="33">
        <v>93</v>
      </c>
      <c r="E2268" t="s">
        <v>115</v>
      </c>
      <c r="F2268" t="s">
        <v>93</v>
      </c>
      <c r="G2268" s="33">
        <v>44</v>
      </c>
    </row>
    <row r="2269" spans="1:7">
      <c r="A2269" t="s">
        <v>22</v>
      </c>
      <c r="B2269" t="s">
        <v>196</v>
      </c>
      <c r="C2269" s="32">
        <v>509.25</v>
      </c>
      <c r="D2269" s="33">
        <v>94</v>
      </c>
      <c r="E2269" t="s">
        <v>116</v>
      </c>
      <c r="F2269" t="s">
        <v>90</v>
      </c>
      <c r="G2269" s="33">
        <v>43</v>
      </c>
    </row>
    <row r="2270" spans="1:7">
      <c r="A2270" t="s">
        <v>22</v>
      </c>
      <c r="B2270" t="s">
        <v>196</v>
      </c>
      <c r="C2270" s="32">
        <v>509.33</v>
      </c>
      <c r="D2270" s="33">
        <v>95</v>
      </c>
      <c r="E2270" t="s">
        <v>117</v>
      </c>
      <c r="F2270" t="s">
        <v>96</v>
      </c>
      <c r="G2270" s="33">
        <v>44</v>
      </c>
    </row>
    <row r="2271" spans="1:7">
      <c r="A2271" t="s">
        <v>22</v>
      </c>
      <c r="B2271" t="s">
        <v>196</v>
      </c>
      <c r="C2271" s="32">
        <v>509.42</v>
      </c>
      <c r="D2271" s="33">
        <v>96</v>
      </c>
      <c r="E2271" t="s">
        <v>118</v>
      </c>
      <c r="F2271" t="s">
        <v>102</v>
      </c>
      <c r="G2271" s="33">
        <v>44</v>
      </c>
    </row>
    <row r="2272" spans="1:7">
      <c r="A2272" t="s">
        <v>22</v>
      </c>
      <c r="B2272" t="s">
        <v>196</v>
      </c>
      <c r="C2272" s="32">
        <v>509.51</v>
      </c>
      <c r="D2272" s="33">
        <v>97</v>
      </c>
      <c r="E2272" t="s">
        <v>122</v>
      </c>
      <c r="F2272" t="s">
        <v>93</v>
      </c>
      <c r="G2272" s="33">
        <v>43</v>
      </c>
    </row>
    <row r="2273" spans="1:7">
      <c r="A2273" t="s">
        <v>22</v>
      </c>
      <c r="B2273" t="s">
        <v>196</v>
      </c>
      <c r="C2273" s="32">
        <v>509.6</v>
      </c>
      <c r="D2273" s="33">
        <v>98</v>
      </c>
      <c r="E2273" t="s">
        <v>124</v>
      </c>
      <c r="F2273" t="s">
        <v>90</v>
      </c>
      <c r="G2273" s="33">
        <v>44</v>
      </c>
    </row>
    <row r="2274" spans="1:7">
      <c r="A2274" t="s">
        <v>22</v>
      </c>
      <c r="B2274" t="s">
        <v>197</v>
      </c>
      <c r="C2274" s="32">
        <v>511</v>
      </c>
      <c r="D2274" s="33">
        <v>1</v>
      </c>
      <c r="E2274" t="s">
        <v>116</v>
      </c>
      <c r="F2274" t="s">
        <v>90</v>
      </c>
      <c r="G2274" s="33">
        <v>45</v>
      </c>
    </row>
    <row r="2275" spans="1:7">
      <c r="A2275" t="s">
        <v>22</v>
      </c>
      <c r="B2275" t="s">
        <v>197</v>
      </c>
      <c r="C2275" s="32">
        <v>511.09</v>
      </c>
      <c r="D2275" s="33">
        <v>2</v>
      </c>
      <c r="E2275" t="s">
        <v>117</v>
      </c>
      <c r="F2275" t="s">
        <v>93</v>
      </c>
      <c r="G2275" s="33">
        <v>44</v>
      </c>
    </row>
    <row r="2276" spans="1:7">
      <c r="A2276" t="s">
        <v>22</v>
      </c>
      <c r="B2276" t="s">
        <v>197</v>
      </c>
      <c r="C2276" s="32">
        <v>511.17</v>
      </c>
      <c r="D2276" s="33">
        <v>3</v>
      </c>
      <c r="E2276" t="s">
        <v>118</v>
      </c>
      <c r="F2276" t="s">
        <v>90</v>
      </c>
      <c r="G2276" s="33">
        <v>45</v>
      </c>
    </row>
    <row r="2277" spans="1:7">
      <c r="A2277" t="s">
        <v>22</v>
      </c>
      <c r="B2277" t="s">
        <v>197</v>
      </c>
      <c r="C2277" s="32">
        <v>511.26</v>
      </c>
      <c r="D2277" s="33">
        <v>4</v>
      </c>
      <c r="E2277" t="s">
        <v>122</v>
      </c>
      <c r="F2277" t="s">
        <v>96</v>
      </c>
      <c r="G2277" s="33">
        <v>45</v>
      </c>
    </row>
    <row r="2278" spans="1:7">
      <c r="A2278" t="s">
        <v>22</v>
      </c>
      <c r="B2278" t="s">
        <v>197</v>
      </c>
      <c r="C2278" s="32">
        <v>511.34</v>
      </c>
      <c r="D2278" s="33">
        <v>5</v>
      </c>
      <c r="E2278" t="s">
        <v>124</v>
      </c>
      <c r="F2278" t="s">
        <v>90</v>
      </c>
      <c r="G2278" s="33">
        <v>45</v>
      </c>
    </row>
    <row r="2279" spans="1:7">
      <c r="A2279" t="s">
        <v>22</v>
      </c>
      <c r="B2279" t="s">
        <v>197</v>
      </c>
      <c r="C2279" s="32">
        <v>511.43</v>
      </c>
      <c r="D2279" s="33">
        <v>6</v>
      </c>
      <c r="E2279" t="s">
        <v>125</v>
      </c>
      <c r="F2279" t="s">
        <v>93</v>
      </c>
      <c r="G2279" s="33">
        <v>44</v>
      </c>
    </row>
    <row r="2280" spans="1:7">
      <c r="A2280" t="s">
        <v>22</v>
      </c>
      <c r="B2280" t="s">
        <v>197</v>
      </c>
      <c r="C2280" s="32">
        <v>511.52</v>
      </c>
      <c r="D2280" s="33">
        <v>7</v>
      </c>
      <c r="E2280" t="s">
        <v>127</v>
      </c>
      <c r="F2280" t="s">
        <v>90</v>
      </c>
      <c r="G2280" s="33">
        <v>45</v>
      </c>
    </row>
    <row r="2281" spans="1:7">
      <c r="A2281" t="s">
        <v>22</v>
      </c>
      <c r="B2281" t="s">
        <v>197</v>
      </c>
      <c r="C2281" s="32">
        <v>511.6</v>
      </c>
      <c r="D2281" s="33">
        <v>8</v>
      </c>
      <c r="E2281" t="s">
        <v>128</v>
      </c>
      <c r="F2281" t="s">
        <v>90</v>
      </c>
      <c r="G2281" s="33">
        <v>45</v>
      </c>
    </row>
    <row r="2282" spans="1:7">
      <c r="A2282" t="s">
        <v>22</v>
      </c>
      <c r="B2282" t="s">
        <v>197</v>
      </c>
      <c r="C2282" s="32">
        <v>511.69</v>
      </c>
      <c r="D2282" s="33">
        <v>9</v>
      </c>
      <c r="E2282" t="s">
        <v>129</v>
      </c>
      <c r="F2282" t="s">
        <v>93</v>
      </c>
      <c r="G2282" s="33">
        <v>45</v>
      </c>
    </row>
    <row r="2283" spans="1:7">
      <c r="A2283" t="s">
        <v>22</v>
      </c>
      <c r="B2283" t="s">
        <v>197</v>
      </c>
      <c r="C2283" s="32">
        <v>511.77</v>
      </c>
      <c r="D2283" s="33">
        <v>10</v>
      </c>
      <c r="E2283" t="s">
        <v>130</v>
      </c>
      <c r="F2283" t="s">
        <v>90</v>
      </c>
      <c r="G2283" s="33">
        <v>44</v>
      </c>
    </row>
    <row r="2284" spans="1:7">
      <c r="A2284" t="s">
        <v>22</v>
      </c>
      <c r="B2284" t="s">
        <v>197</v>
      </c>
      <c r="C2284" s="32">
        <v>511.86</v>
      </c>
      <c r="D2284" s="33">
        <v>11</v>
      </c>
      <c r="E2284" t="s">
        <v>131</v>
      </c>
      <c r="F2284" t="s">
        <v>96</v>
      </c>
      <c r="G2284" s="33">
        <v>45</v>
      </c>
    </row>
    <row r="2285" spans="1:7">
      <c r="A2285" t="s">
        <v>22</v>
      </c>
      <c r="B2285" t="s">
        <v>197</v>
      </c>
      <c r="C2285" s="32">
        <v>511.95</v>
      </c>
      <c r="D2285" s="33">
        <v>12</v>
      </c>
      <c r="E2285" t="s">
        <v>133</v>
      </c>
      <c r="F2285" t="s">
        <v>90</v>
      </c>
      <c r="G2285" s="33">
        <v>45</v>
      </c>
    </row>
    <row r="2286" spans="1:7">
      <c r="A2286" t="s">
        <v>22</v>
      </c>
      <c r="B2286" t="s">
        <v>197</v>
      </c>
      <c r="C2286" s="32">
        <v>512.03</v>
      </c>
      <c r="D2286" s="33">
        <v>13</v>
      </c>
      <c r="E2286" t="s">
        <v>134</v>
      </c>
      <c r="F2286" t="s">
        <v>93</v>
      </c>
      <c r="G2286" s="33">
        <v>45</v>
      </c>
    </row>
    <row r="2287" spans="1:7">
      <c r="A2287" t="s">
        <v>22</v>
      </c>
      <c r="B2287" t="s">
        <v>197</v>
      </c>
      <c r="C2287" s="32">
        <v>512.12</v>
      </c>
      <c r="D2287" s="33">
        <v>14</v>
      </c>
      <c r="E2287" t="s">
        <v>135</v>
      </c>
      <c r="F2287" t="s">
        <v>102</v>
      </c>
      <c r="G2287" s="33">
        <v>44</v>
      </c>
    </row>
    <row r="2288" spans="1:7">
      <c r="A2288" t="s">
        <v>22</v>
      </c>
      <c r="B2288" t="s">
        <v>197</v>
      </c>
      <c r="C2288" s="32">
        <v>512.20000000000005</v>
      </c>
      <c r="D2288" s="33">
        <v>15</v>
      </c>
      <c r="E2288" t="s">
        <v>136</v>
      </c>
      <c r="F2288" t="s">
        <v>90</v>
      </c>
      <c r="G2288" s="33">
        <v>45</v>
      </c>
    </row>
    <row r="2289" spans="1:7">
      <c r="A2289" t="s">
        <v>22</v>
      </c>
      <c r="B2289" t="s">
        <v>197</v>
      </c>
      <c r="C2289" s="32">
        <v>512.29</v>
      </c>
      <c r="D2289" s="33">
        <v>16</v>
      </c>
      <c r="E2289" t="s">
        <v>137</v>
      </c>
      <c r="F2289" t="s">
        <v>93</v>
      </c>
      <c r="G2289" s="33">
        <v>45</v>
      </c>
    </row>
    <row r="2290" spans="1:7">
      <c r="A2290" t="s">
        <v>22</v>
      </c>
      <c r="B2290" t="s">
        <v>197</v>
      </c>
      <c r="C2290" s="32">
        <v>512.38</v>
      </c>
      <c r="D2290" s="33">
        <v>17</v>
      </c>
      <c r="E2290" t="s">
        <v>138</v>
      </c>
      <c r="F2290" t="s">
        <v>90</v>
      </c>
      <c r="G2290" s="33">
        <v>44</v>
      </c>
    </row>
    <row r="2291" spans="1:7">
      <c r="A2291" t="s">
        <v>22</v>
      </c>
      <c r="B2291" t="s">
        <v>197</v>
      </c>
      <c r="C2291" s="32">
        <v>512.46</v>
      </c>
      <c r="D2291" s="33">
        <v>18</v>
      </c>
      <c r="E2291" t="s">
        <v>140</v>
      </c>
      <c r="F2291" t="s">
        <v>96</v>
      </c>
      <c r="G2291" s="33">
        <v>45</v>
      </c>
    </row>
    <row r="2292" spans="1:7">
      <c r="A2292" t="s">
        <v>22</v>
      </c>
      <c r="B2292" t="s">
        <v>197</v>
      </c>
      <c r="C2292" s="32">
        <v>512.54999999999995</v>
      </c>
      <c r="D2292" s="33">
        <v>19</v>
      </c>
      <c r="E2292" t="s">
        <v>141</v>
      </c>
      <c r="F2292" t="s">
        <v>90</v>
      </c>
      <c r="G2292" s="33">
        <v>45</v>
      </c>
    </row>
    <row r="2293" spans="1:7">
      <c r="A2293" t="s">
        <v>22</v>
      </c>
      <c r="B2293" t="s">
        <v>197</v>
      </c>
      <c r="C2293" s="32">
        <v>512.63</v>
      </c>
      <c r="D2293" s="33">
        <v>20</v>
      </c>
      <c r="E2293" t="s">
        <v>142</v>
      </c>
      <c r="F2293" t="s">
        <v>93</v>
      </c>
      <c r="G2293" s="33">
        <v>45</v>
      </c>
    </row>
    <row r="2294" spans="1:7">
      <c r="A2294" t="s">
        <v>22</v>
      </c>
      <c r="B2294" t="s">
        <v>197</v>
      </c>
      <c r="C2294" s="32">
        <v>512.72</v>
      </c>
      <c r="D2294" s="33">
        <v>21</v>
      </c>
      <c r="E2294" t="s">
        <v>143</v>
      </c>
      <c r="F2294" t="s">
        <v>90</v>
      </c>
      <c r="G2294" s="33">
        <v>44</v>
      </c>
    </row>
    <row r="2295" spans="1:7">
      <c r="A2295" t="s">
        <v>22</v>
      </c>
      <c r="B2295" t="s">
        <v>197</v>
      </c>
      <c r="C2295" s="32">
        <v>512.80999999999995</v>
      </c>
      <c r="D2295" s="33">
        <v>22</v>
      </c>
      <c r="E2295" t="s">
        <v>144</v>
      </c>
      <c r="F2295" t="s">
        <v>90</v>
      </c>
      <c r="G2295" s="33">
        <v>45</v>
      </c>
    </row>
    <row r="2296" spans="1:7">
      <c r="A2296" t="s">
        <v>22</v>
      </c>
      <c r="B2296" t="s">
        <v>197</v>
      </c>
      <c r="C2296" s="32">
        <v>512.89</v>
      </c>
      <c r="D2296" s="33">
        <v>23</v>
      </c>
      <c r="E2296" t="s">
        <v>145</v>
      </c>
      <c r="F2296" t="s">
        <v>93</v>
      </c>
      <c r="G2296" s="33">
        <v>45</v>
      </c>
    </row>
    <row r="2297" spans="1:7">
      <c r="A2297" t="s">
        <v>22</v>
      </c>
      <c r="B2297" t="s">
        <v>197</v>
      </c>
      <c r="C2297" s="32">
        <v>512.98</v>
      </c>
      <c r="D2297" s="33">
        <v>24</v>
      </c>
      <c r="E2297" t="s">
        <v>146</v>
      </c>
      <c r="F2297" t="s">
        <v>90</v>
      </c>
      <c r="G2297" s="33">
        <v>45</v>
      </c>
    </row>
    <row r="2298" spans="1:7">
      <c r="A2298" t="s">
        <v>22</v>
      </c>
      <c r="B2298" t="s">
        <v>197</v>
      </c>
      <c r="C2298" s="32">
        <v>513.05999999999995</v>
      </c>
      <c r="D2298" s="33">
        <v>25</v>
      </c>
      <c r="E2298" t="s">
        <v>148</v>
      </c>
      <c r="F2298" t="s">
        <v>96</v>
      </c>
      <c r="G2298" s="33">
        <v>44</v>
      </c>
    </row>
    <row r="2299" spans="1:7">
      <c r="A2299" t="s">
        <v>22</v>
      </c>
      <c r="B2299" t="s">
        <v>197</v>
      </c>
      <c r="C2299" s="32">
        <v>513.15</v>
      </c>
      <c r="D2299" s="33">
        <v>26</v>
      </c>
      <c r="E2299" t="s">
        <v>149</v>
      </c>
      <c r="F2299" t="s">
        <v>90</v>
      </c>
      <c r="G2299" s="33">
        <v>45</v>
      </c>
    </row>
    <row r="2300" spans="1:7">
      <c r="A2300" t="s">
        <v>22</v>
      </c>
      <c r="B2300" t="s">
        <v>197</v>
      </c>
      <c r="C2300" s="32">
        <v>513.24</v>
      </c>
      <c r="D2300" s="33">
        <v>27</v>
      </c>
      <c r="E2300" t="s">
        <v>150</v>
      </c>
      <c r="F2300" t="s">
        <v>93</v>
      </c>
      <c r="G2300" s="33">
        <v>45</v>
      </c>
    </row>
    <row r="2301" spans="1:7">
      <c r="A2301" t="s">
        <v>22</v>
      </c>
      <c r="B2301" t="s">
        <v>197</v>
      </c>
      <c r="C2301" s="32">
        <v>513.32000000000005</v>
      </c>
      <c r="D2301" s="33">
        <v>28</v>
      </c>
      <c r="E2301" t="s">
        <v>151</v>
      </c>
      <c r="F2301" t="s">
        <v>102</v>
      </c>
      <c r="G2301" s="33">
        <v>45</v>
      </c>
    </row>
    <row r="2302" spans="1:7">
      <c r="A2302" t="s">
        <v>22</v>
      </c>
      <c r="B2302" t="s">
        <v>197</v>
      </c>
      <c r="C2302" s="32">
        <v>513.41</v>
      </c>
      <c r="D2302" s="33">
        <v>29</v>
      </c>
      <c r="E2302" t="s">
        <v>152</v>
      </c>
      <c r="F2302" t="s">
        <v>90</v>
      </c>
      <c r="G2302" s="33">
        <v>44</v>
      </c>
    </row>
    <row r="2303" spans="1:7">
      <c r="A2303" t="s">
        <v>22</v>
      </c>
      <c r="B2303" t="s">
        <v>197</v>
      </c>
      <c r="C2303" s="32">
        <v>513.49</v>
      </c>
      <c r="D2303" s="33">
        <v>30</v>
      </c>
      <c r="E2303" t="s">
        <v>153</v>
      </c>
      <c r="F2303" t="s">
        <v>93</v>
      </c>
      <c r="G2303" s="33">
        <v>45</v>
      </c>
    </row>
    <row r="2304" spans="1:7">
      <c r="A2304" t="s">
        <v>22</v>
      </c>
      <c r="B2304" t="s">
        <v>197</v>
      </c>
      <c r="C2304" s="32">
        <v>513.58000000000004</v>
      </c>
      <c r="D2304" s="33">
        <v>31</v>
      </c>
      <c r="E2304" t="s">
        <v>120</v>
      </c>
      <c r="F2304" t="s">
        <v>90</v>
      </c>
      <c r="G2304" s="33">
        <v>45</v>
      </c>
    </row>
    <row r="2305" spans="1:7">
      <c r="A2305" t="s">
        <v>22</v>
      </c>
      <c r="B2305" t="s">
        <v>197</v>
      </c>
      <c r="C2305" s="32">
        <v>513.66999999999996</v>
      </c>
      <c r="D2305" s="33">
        <v>32</v>
      </c>
      <c r="E2305" t="s">
        <v>115</v>
      </c>
      <c r="F2305" t="s">
        <v>96</v>
      </c>
      <c r="G2305" s="33">
        <v>44</v>
      </c>
    </row>
    <row r="2306" spans="1:7">
      <c r="A2306" t="s">
        <v>22</v>
      </c>
      <c r="B2306" t="s">
        <v>197</v>
      </c>
      <c r="C2306" s="32">
        <v>513.75</v>
      </c>
      <c r="D2306" s="33">
        <v>33</v>
      </c>
      <c r="E2306" t="s">
        <v>116</v>
      </c>
      <c r="F2306" t="s">
        <v>90</v>
      </c>
      <c r="G2306" s="33">
        <v>45</v>
      </c>
    </row>
    <row r="2307" spans="1:7">
      <c r="A2307" t="s">
        <v>22</v>
      </c>
      <c r="B2307" t="s">
        <v>197</v>
      </c>
      <c r="C2307" s="32">
        <v>513.84</v>
      </c>
      <c r="D2307" s="33">
        <v>34</v>
      </c>
      <c r="E2307" t="s">
        <v>117</v>
      </c>
      <c r="F2307" t="s">
        <v>93</v>
      </c>
      <c r="G2307" s="33">
        <v>45</v>
      </c>
    </row>
    <row r="2308" spans="1:7">
      <c r="A2308" t="s">
        <v>22</v>
      </c>
      <c r="B2308" t="s">
        <v>197</v>
      </c>
      <c r="C2308" s="32">
        <v>513.91999999999996</v>
      </c>
      <c r="D2308" s="33">
        <v>35</v>
      </c>
      <c r="E2308" t="s">
        <v>118</v>
      </c>
      <c r="F2308" t="s">
        <v>90</v>
      </c>
      <c r="G2308" s="33">
        <v>45</v>
      </c>
    </row>
    <row r="2309" spans="1:7">
      <c r="A2309" t="s">
        <v>22</v>
      </c>
      <c r="B2309" t="s">
        <v>197</v>
      </c>
      <c r="C2309" s="32">
        <v>514.01</v>
      </c>
      <c r="D2309" s="33">
        <v>36</v>
      </c>
      <c r="E2309" t="s">
        <v>122</v>
      </c>
      <c r="F2309" t="s">
        <v>90</v>
      </c>
      <c r="G2309" s="33">
        <v>44</v>
      </c>
    </row>
    <row r="2310" spans="1:7">
      <c r="A2310" t="s">
        <v>22</v>
      </c>
      <c r="B2310" t="s">
        <v>197</v>
      </c>
      <c r="C2310" s="32">
        <v>514.1</v>
      </c>
      <c r="D2310" s="33">
        <v>37</v>
      </c>
      <c r="E2310" t="s">
        <v>124</v>
      </c>
      <c r="F2310" t="s">
        <v>93</v>
      </c>
      <c r="G2310" s="33">
        <v>45</v>
      </c>
    </row>
    <row r="2311" spans="1:7">
      <c r="A2311" t="s">
        <v>22</v>
      </c>
      <c r="B2311" t="s">
        <v>197</v>
      </c>
      <c r="C2311" s="32">
        <v>514.17999999999995</v>
      </c>
      <c r="D2311" s="33">
        <v>38</v>
      </c>
      <c r="E2311" t="s">
        <v>125</v>
      </c>
      <c r="F2311" t="s">
        <v>90</v>
      </c>
      <c r="G2311" s="33">
        <v>45</v>
      </c>
    </row>
    <row r="2312" spans="1:7">
      <c r="A2312" t="s">
        <v>22</v>
      </c>
      <c r="B2312" t="s">
        <v>197</v>
      </c>
      <c r="C2312" s="32">
        <v>514.27</v>
      </c>
      <c r="D2312" s="33">
        <v>39</v>
      </c>
      <c r="E2312" t="s">
        <v>127</v>
      </c>
      <c r="F2312" t="s">
        <v>96</v>
      </c>
      <c r="G2312" s="33">
        <v>45</v>
      </c>
    </row>
    <row r="2313" spans="1:7">
      <c r="A2313" t="s">
        <v>22</v>
      </c>
      <c r="B2313" t="s">
        <v>197</v>
      </c>
      <c r="C2313" s="32">
        <v>514.35</v>
      </c>
      <c r="D2313" s="33">
        <v>40</v>
      </c>
      <c r="E2313" t="s">
        <v>128</v>
      </c>
      <c r="F2313" t="s">
        <v>90</v>
      </c>
      <c r="G2313" s="33">
        <v>44</v>
      </c>
    </row>
    <row r="2314" spans="1:7">
      <c r="A2314" t="s">
        <v>22</v>
      </c>
      <c r="B2314" t="s">
        <v>197</v>
      </c>
      <c r="C2314" s="32">
        <v>514.44000000000005</v>
      </c>
      <c r="D2314" s="33">
        <v>41</v>
      </c>
      <c r="E2314" t="s">
        <v>129</v>
      </c>
      <c r="F2314" t="s">
        <v>93</v>
      </c>
      <c r="G2314" s="33">
        <v>45</v>
      </c>
    </row>
    <row r="2315" spans="1:7">
      <c r="A2315" t="s">
        <v>22</v>
      </c>
      <c r="B2315" t="s">
        <v>197</v>
      </c>
      <c r="C2315" s="32">
        <v>514.53</v>
      </c>
      <c r="D2315" s="33">
        <v>42</v>
      </c>
      <c r="E2315" t="s">
        <v>130</v>
      </c>
      <c r="F2315" t="s">
        <v>102</v>
      </c>
      <c r="G2315" s="33">
        <v>45</v>
      </c>
    </row>
    <row r="2316" spans="1:7">
      <c r="A2316" t="s">
        <v>22</v>
      </c>
      <c r="B2316" t="s">
        <v>197</v>
      </c>
      <c r="C2316" s="32">
        <v>514.61</v>
      </c>
      <c r="D2316" s="33">
        <v>43</v>
      </c>
      <c r="E2316" t="s">
        <v>131</v>
      </c>
      <c r="F2316" t="s">
        <v>90</v>
      </c>
      <c r="G2316" s="33">
        <v>45</v>
      </c>
    </row>
    <row r="2317" spans="1:7">
      <c r="A2317" t="s">
        <v>22</v>
      </c>
      <c r="B2317" t="s">
        <v>197</v>
      </c>
      <c r="C2317" s="32">
        <v>514.70000000000005</v>
      </c>
      <c r="D2317" s="33">
        <v>44</v>
      </c>
      <c r="E2317" t="s">
        <v>133</v>
      </c>
      <c r="F2317" t="s">
        <v>93</v>
      </c>
      <c r="G2317" s="33">
        <v>44</v>
      </c>
    </row>
    <row r="2318" spans="1:7">
      <c r="A2318" t="s">
        <v>22</v>
      </c>
      <c r="B2318" t="s">
        <v>197</v>
      </c>
      <c r="C2318" s="32">
        <v>514.78</v>
      </c>
      <c r="D2318" s="33">
        <v>45</v>
      </c>
      <c r="E2318" t="s">
        <v>134</v>
      </c>
      <c r="F2318" t="s">
        <v>90</v>
      </c>
      <c r="G2318" s="33">
        <v>45</v>
      </c>
    </row>
    <row r="2319" spans="1:7">
      <c r="A2319" t="s">
        <v>22</v>
      </c>
      <c r="B2319" t="s">
        <v>197</v>
      </c>
      <c r="C2319" s="32">
        <v>514.87</v>
      </c>
      <c r="D2319" s="33">
        <v>46</v>
      </c>
      <c r="E2319" t="s">
        <v>135</v>
      </c>
      <c r="F2319" t="s">
        <v>90</v>
      </c>
      <c r="G2319" s="33">
        <v>45</v>
      </c>
    </row>
    <row r="2320" spans="1:7">
      <c r="A2320" t="s">
        <v>22</v>
      </c>
      <c r="B2320" t="s">
        <v>197</v>
      </c>
      <c r="C2320" s="32">
        <v>514.96</v>
      </c>
      <c r="D2320" s="33">
        <v>47</v>
      </c>
      <c r="E2320" t="s">
        <v>136</v>
      </c>
      <c r="F2320" t="s">
        <v>96</v>
      </c>
      <c r="G2320" s="33">
        <v>44</v>
      </c>
    </row>
    <row r="2321" spans="1:7">
      <c r="A2321" t="s">
        <v>22</v>
      </c>
      <c r="B2321" t="s">
        <v>197</v>
      </c>
      <c r="C2321" s="32">
        <v>515.04</v>
      </c>
      <c r="D2321" s="33">
        <v>48</v>
      </c>
      <c r="E2321" t="s">
        <v>137</v>
      </c>
      <c r="F2321" t="s">
        <v>93</v>
      </c>
      <c r="G2321" s="33">
        <v>45</v>
      </c>
    </row>
    <row r="2322" spans="1:7">
      <c r="A2322" t="s">
        <v>22</v>
      </c>
      <c r="B2322" t="s">
        <v>197</v>
      </c>
      <c r="C2322" s="32">
        <v>515.13</v>
      </c>
      <c r="D2322" s="33">
        <v>49</v>
      </c>
      <c r="E2322" t="s">
        <v>138</v>
      </c>
      <c r="F2322" t="s">
        <v>90</v>
      </c>
      <c r="G2322" s="33">
        <v>45</v>
      </c>
    </row>
    <row r="2323" spans="1:7">
      <c r="A2323" t="s">
        <v>22</v>
      </c>
      <c r="B2323" t="s">
        <v>197</v>
      </c>
      <c r="C2323" s="32">
        <v>515.21</v>
      </c>
      <c r="D2323" s="33">
        <v>50</v>
      </c>
      <c r="E2323" t="s">
        <v>140</v>
      </c>
      <c r="F2323" t="s">
        <v>90</v>
      </c>
      <c r="G2323" s="33">
        <v>45</v>
      </c>
    </row>
    <row r="2324" spans="1:7">
      <c r="A2324" t="s">
        <v>22</v>
      </c>
      <c r="B2324" t="s">
        <v>197</v>
      </c>
      <c r="C2324" s="32">
        <v>515.29999999999995</v>
      </c>
      <c r="D2324" s="33">
        <v>51</v>
      </c>
      <c r="E2324" t="s">
        <v>141</v>
      </c>
      <c r="F2324" t="s">
        <v>93</v>
      </c>
      <c r="G2324" s="33">
        <v>44</v>
      </c>
    </row>
    <row r="2325" spans="1:7">
      <c r="A2325" t="s">
        <v>22</v>
      </c>
      <c r="B2325" t="s">
        <v>197</v>
      </c>
      <c r="C2325" s="32">
        <v>515.39</v>
      </c>
      <c r="D2325" s="33">
        <v>52</v>
      </c>
      <c r="E2325" t="s">
        <v>142</v>
      </c>
      <c r="F2325" t="s">
        <v>90</v>
      </c>
      <c r="G2325" s="33">
        <v>45</v>
      </c>
    </row>
    <row r="2326" spans="1:7">
      <c r="A2326" t="s">
        <v>22</v>
      </c>
      <c r="B2326" t="s">
        <v>197</v>
      </c>
      <c r="C2326" s="32">
        <v>515.47</v>
      </c>
      <c r="D2326" s="33">
        <v>53</v>
      </c>
      <c r="E2326" t="s">
        <v>143</v>
      </c>
      <c r="F2326" t="s">
        <v>90</v>
      </c>
      <c r="G2326" s="33">
        <v>45</v>
      </c>
    </row>
    <row r="2327" spans="1:7">
      <c r="A2327" t="s">
        <v>22</v>
      </c>
      <c r="B2327" t="s">
        <v>197</v>
      </c>
      <c r="C2327" s="32">
        <v>515.55999999999995</v>
      </c>
      <c r="D2327" s="33">
        <v>54</v>
      </c>
      <c r="E2327" t="s">
        <v>144</v>
      </c>
      <c r="F2327" t="s">
        <v>93</v>
      </c>
      <c r="G2327" s="33">
        <v>45</v>
      </c>
    </row>
    <row r="2328" spans="1:7">
      <c r="A2328" t="s">
        <v>22</v>
      </c>
      <c r="B2328" t="s">
        <v>197</v>
      </c>
      <c r="C2328" s="32">
        <v>515.64</v>
      </c>
      <c r="D2328" s="33">
        <v>55</v>
      </c>
      <c r="E2328" t="s">
        <v>145</v>
      </c>
      <c r="F2328" t="s">
        <v>96</v>
      </c>
      <c r="G2328" s="33">
        <v>44</v>
      </c>
    </row>
    <row r="2329" spans="1:7">
      <c r="A2329" t="s">
        <v>22</v>
      </c>
      <c r="B2329" t="s">
        <v>197</v>
      </c>
      <c r="C2329" s="32">
        <v>515.73</v>
      </c>
      <c r="D2329" s="33">
        <v>56</v>
      </c>
      <c r="E2329" t="s">
        <v>146</v>
      </c>
      <c r="F2329" t="s">
        <v>102</v>
      </c>
      <c r="G2329" s="33">
        <v>45</v>
      </c>
    </row>
    <row r="2330" spans="1:7">
      <c r="A2330" t="s">
        <v>22</v>
      </c>
      <c r="B2330" t="s">
        <v>197</v>
      </c>
      <c r="C2330" s="32">
        <v>515.82000000000005</v>
      </c>
      <c r="D2330" s="33">
        <v>57</v>
      </c>
      <c r="E2330" t="s">
        <v>148</v>
      </c>
      <c r="F2330" t="s">
        <v>90</v>
      </c>
      <c r="G2330" s="33">
        <v>45</v>
      </c>
    </row>
    <row r="2331" spans="1:7">
      <c r="A2331" t="s">
        <v>22</v>
      </c>
      <c r="B2331" t="s">
        <v>197</v>
      </c>
      <c r="C2331" s="32">
        <v>515.9</v>
      </c>
      <c r="D2331" s="33">
        <v>58</v>
      </c>
      <c r="E2331" t="s">
        <v>149</v>
      </c>
      <c r="F2331" t="s">
        <v>93</v>
      </c>
      <c r="G2331" s="33">
        <v>44</v>
      </c>
    </row>
    <row r="2332" spans="1:7">
      <c r="A2332" t="s">
        <v>22</v>
      </c>
      <c r="B2332" t="s">
        <v>197</v>
      </c>
      <c r="C2332" s="32">
        <v>515.99</v>
      </c>
      <c r="D2332" s="33">
        <v>59</v>
      </c>
      <c r="E2332" t="s">
        <v>150</v>
      </c>
      <c r="F2332" t="s">
        <v>90</v>
      </c>
      <c r="G2332" s="33">
        <v>45</v>
      </c>
    </row>
    <row r="2333" spans="1:7">
      <c r="A2333" t="s">
        <v>22</v>
      </c>
      <c r="B2333" t="s">
        <v>197</v>
      </c>
      <c r="C2333" s="32">
        <v>516.07000000000005</v>
      </c>
      <c r="D2333" s="33">
        <v>60</v>
      </c>
      <c r="E2333" t="s">
        <v>151</v>
      </c>
      <c r="F2333" t="s">
        <v>90</v>
      </c>
      <c r="G2333" s="33">
        <v>45</v>
      </c>
    </row>
    <row r="2334" spans="1:7">
      <c r="A2334" t="s">
        <v>22</v>
      </c>
      <c r="B2334" t="s">
        <v>197</v>
      </c>
      <c r="C2334" s="32">
        <v>516.16</v>
      </c>
      <c r="D2334" s="33">
        <v>61</v>
      </c>
      <c r="E2334" t="s">
        <v>152</v>
      </c>
      <c r="F2334" t="s">
        <v>93</v>
      </c>
      <c r="G2334" s="33">
        <v>45</v>
      </c>
    </row>
    <row r="2335" spans="1:7">
      <c r="A2335" t="s">
        <v>22</v>
      </c>
      <c r="B2335" t="s">
        <v>197</v>
      </c>
      <c r="C2335" s="32">
        <v>516.25</v>
      </c>
      <c r="D2335" s="33">
        <v>62</v>
      </c>
      <c r="E2335" t="s">
        <v>153</v>
      </c>
      <c r="F2335" t="s">
        <v>90</v>
      </c>
      <c r="G2335" s="33">
        <v>44</v>
      </c>
    </row>
    <row r="2336" spans="1:7">
      <c r="A2336" t="s">
        <v>22</v>
      </c>
      <c r="B2336" t="s">
        <v>197</v>
      </c>
      <c r="C2336" s="32">
        <v>516.33000000000004</v>
      </c>
      <c r="D2336" s="33">
        <v>63</v>
      </c>
      <c r="E2336" t="s">
        <v>120</v>
      </c>
      <c r="F2336" t="s">
        <v>96</v>
      </c>
      <c r="G2336" s="33">
        <v>45</v>
      </c>
    </row>
    <row r="2337" spans="1:7">
      <c r="A2337" t="s">
        <v>22</v>
      </c>
      <c r="B2337" t="s">
        <v>197</v>
      </c>
      <c r="C2337" s="32">
        <v>516.41999999999996</v>
      </c>
      <c r="D2337" s="33">
        <v>64</v>
      </c>
      <c r="E2337" t="s">
        <v>115</v>
      </c>
      <c r="F2337" t="s">
        <v>90</v>
      </c>
      <c r="G2337" s="33">
        <v>45</v>
      </c>
    </row>
    <row r="2338" spans="1:7">
      <c r="A2338" t="s">
        <v>22</v>
      </c>
      <c r="B2338" t="s">
        <v>197</v>
      </c>
      <c r="C2338" s="32">
        <v>516.5</v>
      </c>
      <c r="D2338" s="33">
        <v>65</v>
      </c>
      <c r="E2338" t="s">
        <v>116</v>
      </c>
      <c r="F2338" t="s">
        <v>93</v>
      </c>
      <c r="G2338" s="33">
        <v>45</v>
      </c>
    </row>
    <row r="2339" spans="1:7">
      <c r="A2339" t="s">
        <v>22</v>
      </c>
      <c r="B2339" t="s">
        <v>197</v>
      </c>
      <c r="C2339" s="32">
        <v>516.59</v>
      </c>
      <c r="D2339" s="33">
        <v>66</v>
      </c>
      <c r="E2339" t="s">
        <v>117</v>
      </c>
      <c r="F2339" t="s">
        <v>90</v>
      </c>
      <c r="G2339" s="33">
        <v>44</v>
      </c>
    </row>
    <row r="2340" spans="1:7">
      <c r="A2340" t="s">
        <v>22</v>
      </c>
      <c r="B2340" t="s">
        <v>197</v>
      </c>
      <c r="C2340" s="32">
        <v>516.67999999999995</v>
      </c>
      <c r="D2340" s="33">
        <v>67</v>
      </c>
      <c r="E2340" t="s">
        <v>118</v>
      </c>
      <c r="F2340" t="s">
        <v>90</v>
      </c>
      <c r="G2340" s="33">
        <v>45</v>
      </c>
    </row>
    <row r="2341" spans="1:7">
      <c r="A2341" t="s">
        <v>22</v>
      </c>
      <c r="B2341" t="s">
        <v>197</v>
      </c>
      <c r="C2341" s="32">
        <v>516.76</v>
      </c>
      <c r="D2341" s="33">
        <v>68</v>
      </c>
      <c r="E2341" t="s">
        <v>122</v>
      </c>
      <c r="F2341" t="s">
        <v>93</v>
      </c>
      <c r="G2341" s="33">
        <v>45</v>
      </c>
    </row>
    <row r="2342" spans="1:7">
      <c r="A2342" t="s">
        <v>22</v>
      </c>
      <c r="B2342" t="s">
        <v>197</v>
      </c>
      <c r="C2342" s="32">
        <v>516.85</v>
      </c>
      <c r="D2342" s="33">
        <v>69</v>
      </c>
      <c r="E2342" t="s">
        <v>124</v>
      </c>
      <c r="F2342" t="s">
        <v>102</v>
      </c>
      <c r="G2342" s="33">
        <v>45</v>
      </c>
    </row>
    <row r="2343" spans="1:7">
      <c r="A2343" t="s">
        <v>22</v>
      </c>
      <c r="B2343" t="s">
        <v>197</v>
      </c>
      <c r="C2343" s="32">
        <v>516.92999999999995</v>
      </c>
      <c r="D2343" s="33">
        <v>70</v>
      </c>
      <c r="E2343" t="s">
        <v>125</v>
      </c>
      <c r="F2343" t="s">
        <v>96</v>
      </c>
      <c r="G2343" s="33">
        <v>44</v>
      </c>
    </row>
    <row r="2344" spans="1:7">
      <c r="A2344" t="s">
        <v>22</v>
      </c>
      <c r="B2344" t="s">
        <v>197</v>
      </c>
      <c r="C2344" s="32">
        <v>517.02</v>
      </c>
      <c r="D2344" s="33">
        <v>71</v>
      </c>
      <c r="E2344" t="s">
        <v>127</v>
      </c>
      <c r="F2344" t="s">
        <v>90</v>
      </c>
      <c r="G2344" s="33">
        <v>45</v>
      </c>
    </row>
    <row r="2345" spans="1:7">
      <c r="A2345" t="s">
        <v>22</v>
      </c>
      <c r="B2345" t="s">
        <v>197</v>
      </c>
      <c r="C2345" s="32">
        <v>517.11</v>
      </c>
      <c r="D2345" s="33">
        <v>72</v>
      </c>
      <c r="E2345" t="s">
        <v>128</v>
      </c>
      <c r="F2345" t="s">
        <v>93</v>
      </c>
      <c r="G2345" s="33">
        <v>45</v>
      </c>
    </row>
    <row r="2346" spans="1:7">
      <c r="A2346" t="s">
        <v>22</v>
      </c>
      <c r="B2346" t="s">
        <v>197</v>
      </c>
      <c r="C2346" s="32">
        <v>517.19000000000005</v>
      </c>
      <c r="D2346" s="33">
        <v>73</v>
      </c>
      <c r="E2346" t="s">
        <v>129</v>
      </c>
      <c r="F2346" t="s">
        <v>90</v>
      </c>
      <c r="G2346" s="33">
        <v>44</v>
      </c>
    </row>
    <row r="2347" spans="1:7">
      <c r="A2347" t="s">
        <v>22</v>
      </c>
      <c r="B2347" t="s">
        <v>197</v>
      </c>
      <c r="C2347" s="32">
        <v>517.28</v>
      </c>
      <c r="D2347" s="33">
        <v>74</v>
      </c>
      <c r="E2347" t="s">
        <v>130</v>
      </c>
      <c r="F2347" t="s">
        <v>90</v>
      </c>
      <c r="G2347" s="33">
        <v>45</v>
      </c>
    </row>
    <row r="2348" spans="1:7">
      <c r="A2348" t="s">
        <v>22</v>
      </c>
      <c r="B2348" t="s">
        <v>197</v>
      </c>
      <c r="C2348" s="32">
        <v>517.36</v>
      </c>
      <c r="D2348" s="33">
        <v>75</v>
      </c>
      <c r="E2348" t="s">
        <v>131</v>
      </c>
      <c r="F2348" t="s">
        <v>93</v>
      </c>
      <c r="G2348" s="33">
        <v>45</v>
      </c>
    </row>
    <row r="2349" spans="1:7">
      <c r="A2349" t="s">
        <v>22</v>
      </c>
      <c r="B2349" t="s">
        <v>197</v>
      </c>
      <c r="C2349" s="32">
        <v>517.45000000000005</v>
      </c>
      <c r="D2349" s="33">
        <v>76</v>
      </c>
      <c r="E2349" t="s">
        <v>133</v>
      </c>
      <c r="F2349" t="s">
        <v>90</v>
      </c>
      <c r="G2349" s="33">
        <v>45</v>
      </c>
    </row>
    <row r="2350" spans="1:7">
      <c r="A2350" t="s">
        <v>22</v>
      </c>
      <c r="B2350" t="s">
        <v>197</v>
      </c>
      <c r="C2350" s="32">
        <v>517.54</v>
      </c>
      <c r="D2350" s="33">
        <v>77</v>
      </c>
      <c r="E2350" t="s">
        <v>134</v>
      </c>
      <c r="F2350" t="s">
        <v>96</v>
      </c>
      <c r="G2350" s="33">
        <v>44</v>
      </c>
    </row>
    <row r="2351" spans="1:7">
      <c r="A2351" t="s">
        <v>22</v>
      </c>
      <c r="B2351" t="s">
        <v>197</v>
      </c>
      <c r="C2351" s="32">
        <v>517.62</v>
      </c>
      <c r="D2351" s="33">
        <v>78</v>
      </c>
      <c r="E2351" t="s">
        <v>135</v>
      </c>
      <c r="F2351" t="s">
        <v>90</v>
      </c>
      <c r="G2351" s="33">
        <v>45</v>
      </c>
    </row>
    <row r="2352" spans="1:7">
      <c r="A2352" t="s">
        <v>22</v>
      </c>
      <c r="B2352" t="s">
        <v>197</v>
      </c>
      <c r="C2352" s="32">
        <v>517.71</v>
      </c>
      <c r="D2352" s="33">
        <v>79</v>
      </c>
      <c r="E2352" t="s">
        <v>136</v>
      </c>
      <c r="F2352" t="s">
        <v>93</v>
      </c>
      <c r="G2352" s="33">
        <v>45</v>
      </c>
    </row>
    <row r="2353" spans="1:7">
      <c r="A2353" t="s">
        <v>22</v>
      </c>
      <c r="B2353" t="s">
        <v>197</v>
      </c>
      <c r="C2353" s="32">
        <v>517.79</v>
      </c>
      <c r="D2353" s="33">
        <v>80</v>
      </c>
      <c r="E2353" t="s">
        <v>137</v>
      </c>
      <c r="F2353" t="s">
        <v>90</v>
      </c>
      <c r="G2353" s="33">
        <v>45</v>
      </c>
    </row>
    <row r="2354" spans="1:7">
      <c r="A2354" t="s">
        <v>22</v>
      </c>
      <c r="B2354" t="s">
        <v>197</v>
      </c>
      <c r="C2354" s="32">
        <v>517.88</v>
      </c>
      <c r="D2354" s="33">
        <v>81</v>
      </c>
      <c r="E2354" t="s">
        <v>138</v>
      </c>
      <c r="F2354" t="s">
        <v>90</v>
      </c>
      <c r="G2354" s="33">
        <v>44</v>
      </c>
    </row>
    <row r="2355" spans="1:7">
      <c r="A2355" t="s">
        <v>22</v>
      </c>
      <c r="B2355" t="s">
        <v>197</v>
      </c>
      <c r="C2355" s="32">
        <v>517.97</v>
      </c>
      <c r="D2355" s="33">
        <v>82</v>
      </c>
      <c r="E2355" t="s">
        <v>140</v>
      </c>
      <c r="F2355" t="s">
        <v>93</v>
      </c>
      <c r="G2355" s="33">
        <v>45</v>
      </c>
    </row>
    <row r="2356" spans="1:7">
      <c r="A2356" t="s">
        <v>22</v>
      </c>
      <c r="B2356" t="s">
        <v>197</v>
      </c>
      <c r="C2356" s="32">
        <v>518.04999999999995</v>
      </c>
      <c r="D2356" s="33">
        <v>83</v>
      </c>
      <c r="E2356" t="s">
        <v>141</v>
      </c>
      <c r="F2356" t="s">
        <v>102</v>
      </c>
      <c r="G2356" s="33">
        <v>45</v>
      </c>
    </row>
    <row r="2357" spans="1:7">
      <c r="A2357" t="s">
        <v>22</v>
      </c>
      <c r="B2357" t="s">
        <v>197</v>
      </c>
      <c r="C2357" s="32">
        <v>518.14</v>
      </c>
      <c r="D2357" s="33">
        <v>84</v>
      </c>
      <c r="E2357" t="s">
        <v>142</v>
      </c>
      <c r="F2357" t="s">
        <v>96</v>
      </c>
      <c r="G2357" s="33">
        <v>45</v>
      </c>
    </row>
    <row r="2358" spans="1:7">
      <c r="A2358" t="s">
        <v>22</v>
      </c>
      <c r="B2358" t="s">
        <v>197</v>
      </c>
      <c r="C2358" s="32">
        <v>518.22</v>
      </c>
      <c r="D2358" s="33">
        <v>85</v>
      </c>
      <c r="E2358" t="s">
        <v>143</v>
      </c>
      <c r="F2358" t="s">
        <v>90</v>
      </c>
      <c r="G2358" s="33">
        <v>44</v>
      </c>
    </row>
    <row r="2359" spans="1:7">
      <c r="A2359" t="s">
        <v>22</v>
      </c>
      <c r="B2359" t="s">
        <v>197</v>
      </c>
      <c r="C2359" s="32">
        <v>518.30999999999995</v>
      </c>
      <c r="D2359" s="33">
        <v>86</v>
      </c>
      <c r="E2359" t="s">
        <v>144</v>
      </c>
      <c r="F2359" t="s">
        <v>93</v>
      </c>
      <c r="G2359" s="33">
        <v>45</v>
      </c>
    </row>
    <row r="2360" spans="1:7">
      <c r="A2360" t="s">
        <v>22</v>
      </c>
      <c r="B2360" t="s">
        <v>197</v>
      </c>
      <c r="C2360" s="32">
        <v>518.4</v>
      </c>
      <c r="D2360" s="33">
        <v>87</v>
      </c>
      <c r="E2360" t="s">
        <v>145</v>
      </c>
      <c r="F2360" t="s">
        <v>90</v>
      </c>
      <c r="G2360" s="33">
        <v>45</v>
      </c>
    </row>
    <row r="2361" spans="1:7">
      <c r="A2361" t="s">
        <v>22</v>
      </c>
      <c r="B2361" t="s">
        <v>197</v>
      </c>
      <c r="C2361" s="32">
        <v>518.48</v>
      </c>
      <c r="D2361" s="33">
        <v>88</v>
      </c>
      <c r="E2361" t="s">
        <v>146</v>
      </c>
      <c r="F2361" t="s">
        <v>90</v>
      </c>
      <c r="G2361" s="33">
        <v>44</v>
      </c>
    </row>
    <row r="2362" spans="1:7">
      <c r="A2362" t="s">
        <v>22</v>
      </c>
      <c r="B2362" t="s">
        <v>197</v>
      </c>
      <c r="C2362" s="32">
        <v>518.57000000000005</v>
      </c>
      <c r="D2362" s="33">
        <v>89</v>
      </c>
      <c r="E2362" t="s">
        <v>148</v>
      </c>
      <c r="F2362" t="s">
        <v>93</v>
      </c>
      <c r="G2362" s="33">
        <v>45</v>
      </c>
    </row>
    <row r="2363" spans="1:7">
      <c r="A2363" t="s">
        <v>22</v>
      </c>
      <c r="B2363" t="s">
        <v>197</v>
      </c>
      <c r="C2363" s="32">
        <v>518.65</v>
      </c>
      <c r="D2363" s="33">
        <v>90</v>
      </c>
      <c r="E2363" t="s">
        <v>149</v>
      </c>
      <c r="F2363" t="s">
        <v>90</v>
      </c>
      <c r="G2363" s="33">
        <v>45</v>
      </c>
    </row>
    <row r="2364" spans="1:7">
      <c r="A2364" t="s">
        <v>22</v>
      </c>
      <c r="B2364" t="s">
        <v>197</v>
      </c>
      <c r="C2364" s="32">
        <v>518.74</v>
      </c>
      <c r="D2364" s="33">
        <v>91</v>
      </c>
      <c r="E2364" t="s">
        <v>150</v>
      </c>
      <c r="F2364" t="s">
        <v>96</v>
      </c>
      <c r="G2364" s="33">
        <v>45</v>
      </c>
    </row>
    <row r="2365" spans="1:7">
      <c r="A2365" t="s">
        <v>22</v>
      </c>
      <c r="B2365" t="s">
        <v>197</v>
      </c>
      <c r="C2365" s="32">
        <v>518.83000000000004</v>
      </c>
      <c r="D2365" s="33">
        <v>92</v>
      </c>
      <c r="E2365" t="s">
        <v>151</v>
      </c>
      <c r="F2365" t="s">
        <v>90</v>
      </c>
      <c r="G2365" s="33">
        <v>44</v>
      </c>
    </row>
    <row r="2366" spans="1:7">
      <c r="A2366" t="s">
        <v>22</v>
      </c>
      <c r="B2366" t="s">
        <v>197</v>
      </c>
      <c r="C2366" s="32">
        <v>518.91</v>
      </c>
      <c r="D2366" s="33">
        <v>93</v>
      </c>
      <c r="E2366" t="s">
        <v>152</v>
      </c>
      <c r="F2366" t="s">
        <v>93</v>
      </c>
      <c r="G2366" s="33">
        <v>45</v>
      </c>
    </row>
    <row r="2367" spans="1:7">
      <c r="A2367" t="s">
        <v>22</v>
      </c>
      <c r="B2367" t="s">
        <v>197</v>
      </c>
      <c r="C2367" s="32">
        <v>519</v>
      </c>
      <c r="D2367" s="33">
        <v>94</v>
      </c>
      <c r="E2367" t="s">
        <v>153</v>
      </c>
      <c r="F2367" t="s">
        <v>90</v>
      </c>
      <c r="G2367" s="33">
        <v>45</v>
      </c>
    </row>
    <row r="2368" spans="1:7">
      <c r="A2368" t="s">
        <v>22</v>
      </c>
      <c r="B2368" t="s">
        <v>197</v>
      </c>
      <c r="C2368" s="32">
        <v>519.08000000000004</v>
      </c>
      <c r="D2368" s="33">
        <v>95</v>
      </c>
      <c r="E2368" t="s">
        <v>120</v>
      </c>
      <c r="F2368" t="s">
        <v>90</v>
      </c>
      <c r="G2368" s="33">
        <v>45</v>
      </c>
    </row>
    <row r="2369" spans="1:7">
      <c r="A2369" t="s">
        <v>22</v>
      </c>
      <c r="B2369" t="s">
        <v>197</v>
      </c>
      <c r="C2369" s="32">
        <v>519.16999999999996</v>
      </c>
      <c r="D2369" s="33">
        <v>96</v>
      </c>
      <c r="E2369" t="s">
        <v>115</v>
      </c>
      <c r="F2369" t="s">
        <v>93</v>
      </c>
      <c r="G2369" s="33">
        <v>44</v>
      </c>
    </row>
    <row r="2370" spans="1:7">
      <c r="A2370" t="s">
        <v>22</v>
      </c>
      <c r="B2370" t="s">
        <v>197</v>
      </c>
      <c r="C2370" s="32">
        <v>519.26</v>
      </c>
      <c r="D2370" s="33">
        <v>97</v>
      </c>
      <c r="E2370" t="s">
        <v>116</v>
      </c>
      <c r="F2370" t="s">
        <v>102</v>
      </c>
      <c r="G2370" s="33">
        <v>45</v>
      </c>
    </row>
    <row r="2371" spans="1:7">
      <c r="A2371" t="s">
        <v>22</v>
      </c>
      <c r="B2371" t="s">
        <v>197</v>
      </c>
      <c r="C2371" s="32">
        <v>519.34</v>
      </c>
      <c r="D2371" s="33">
        <v>98</v>
      </c>
      <c r="E2371" t="s">
        <v>117</v>
      </c>
      <c r="F2371" t="s">
        <v>96</v>
      </c>
      <c r="G2371" s="33">
        <v>45</v>
      </c>
    </row>
    <row r="2372" spans="1:7">
      <c r="A2372" t="s">
        <v>22</v>
      </c>
      <c r="B2372" t="s">
        <v>197</v>
      </c>
      <c r="C2372" s="32">
        <v>519.42999999999995</v>
      </c>
      <c r="D2372" s="33">
        <v>99</v>
      </c>
      <c r="E2372" t="s">
        <v>118</v>
      </c>
      <c r="F2372" t="s">
        <v>90</v>
      </c>
      <c r="G2372" s="33">
        <v>45</v>
      </c>
    </row>
    <row r="2373" spans="1:7">
      <c r="A2373" t="s">
        <v>22</v>
      </c>
      <c r="B2373" t="s">
        <v>197</v>
      </c>
      <c r="C2373" s="32">
        <v>519.51</v>
      </c>
      <c r="D2373" s="33">
        <v>100</v>
      </c>
      <c r="E2373" t="s">
        <v>122</v>
      </c>
      <c r="F2373" t="s">
        <v>93</v>
      </c>
      <c r="G2373" s="33">
        <v>44</v>
      </c>
    </row>
    <row r="2374" spans="1:7">
      <c r="A2374" t="s">
        <v>22</v>
      </c>
      <c r="B2374" t="s">
        <v>197</v>
      </c>
      <c r="C2374" s="32">
        <v>519.6</v>
      </c>
      <c r="D2374" s="33">
        <v>101</v>
      </c>
      <c r="E2374" t="s">
        <v>124</v>
      </c>
      <c r="F2374" t="s">
        <v>90</v>
      </c>
      <c r="G2374" s="33">
        <v>45</v>
      </c>
    </row>
    <row r="2375" spans="1:7">
      <c r="A2375" t="s">
        <v>22</v>
      </c>
      <c r="B2375" t="s">
        <v>198</v>
      </c>
      <c r="C2375" s="32">
        <v>521</v>
      </c>
      <c r="D2375" s="33">
        <v>1</v>
      </c>
      <c r="E2375" t="s">
        <v>116</v>
      </c>
      <c r="F2375" t="s">
        <v>90</v>
      </c>
      <c r="G2375" s="33">
        <v>46</v>
      </c>
    </row>
    <row r="2376" spans="1:7">
      <c r="A2376" t="s">
        <v>22</v>
      </c>
      <c r="B2376" t="s">
        <v>198</v>
      </c>
      <c r="C2376" s="32">
        <v>521.08000000000004</v>
      </c>
      <c r="D2376" s="33">
        <v>2</v>
      </c>
      <c r="E2376" t="s">
        <v>117</v>
      </c>
      <c r="F2376" t="s">
        <v>93</v>
      </c>
      <c r="G2376" s="33">
        <v>46</v>
      </c>
    </row>
    <row r="2377" spans="1:7">
      <c r="A2377" t="s">
        <v>22</v>
      </c>
      <c r="B2377" t="s">
        <v>198</v>
      </c>
      <c r="C2377" s="32">
        <v>521.16999999999996</v>
      </c>
      <c r="D2377" s="33">
        <v>3</v>
      </c>
      <c r="E2377" t="s">
        <v>118</v>
      </c>
      <c r="F2377" t="s">
        <v>90</v>
      </c>
      <c r="G2377" s="33">
        <v>45</v>
      </c>
    </row>
    <row r="2378" spans="1:7">
      <c r="A2378" t="s">
        <v>22</v>
      </c>
      <c r="B2378" t="s">
        <v>198</v>
      </c>
      <c r="C2378" s="32">
        <v>521.25</v>
      </c>
      <c r="D2378" s="33">
        <v>4</v>
      </c>
      <c r="E2378" t="s">
        <v>122</v>
      </c>
      <c r="F2378" t="s">
        <v>96</v>
      </c>
      <c r="G2378" s="33">
        <v>46</v>
      </c>
    </row>
    <row r="2379" spans="1:7">
      <c r="A2379" t="s">
        <v>22</v>
      </c>
      <c r="B2379" t="s">
        <v>198</v>
      </c>
      <c r="C2379" s="32">
        <v>521.33000000000004</v>
      </c>
      <c r="D2379" s="33">
        <v>5</v>
      </c>
      <c r="E2379" t="s">
        <v>124</v>
      </c>
      <c r="F2379" t="s">
        <v>90</v>
      </c>
      <c r="G2379" s="33">
        <v>46</v>
      </c>
    </row>
    <row r="2380" spans="1:7">
      <c r="A2380" t="s">
        <v>22</v>
      </c>
      <c r="B2380" t="s">
        <v>198</v>
      </c>
      <c r="C2380" s="32">
        <v>521.41999999999996</v>
      </c>
      <c r="D2380" s="33">
        <v>6</v>
      </c>
      <c r="E2380" t="s">
        <v>125</v>
      </c>
      <c r="F2380" t="s">
        <v>93</v>
      </c>
      <c r="G2380" s="33">
        <v>46</v>
      </c>
    </row>
    <row r="2381" spans="1:7">
      <c r="A2381" t="s">
        <v>22</v>
      </c>
      <c r="B2381" t="s">
        <v>198</v>
      </c>
      <c r="C2381" s="32">
        <v>521.5</v>
      </c>
      <c r="D2381" s="33">
        <v>7</v>
      </c>
      <c r="E2381" t="s">
        <v>127</v>
      </c>
      <c r="F2381" t="s">
        <v>90</v>
      </c>
      <c r="G2381" s="33">
        <v>45</v>
      </c>
    </row>
    <row r="2382" spans="1:7">
      <c r="A2382" t="s">
        <v>22</v>
      </c>
      <c r="B2382" t="s">
        <v>198</v>
      </c>
      <c r="C2382" s="32">
        <v>521.58000000000004</v>
      </c>
      <c r="D2382" s="33">
        <v>8</v>
      </c>
      <c r="E2382" t="s">
        <v>128</v>
      </c>
      <c r="F2382" t="s">
        <v>90</v>
      </c>
      <c r="G2382" s="33">
        <v>46</v>
      </c>
    </row>
    <row r="2383" spans="1:7">
      <c r="A2383" t="s">
        <v>22</v>
      </c>
      <c r="B2383" t="s">
        <v>198</v>
      </c>
      <c r="C2383" s="32">
        <v>521.66999999999996</v>
      </c>
      <c r="D2383" s="33">
        <v>9</v>
      </c>
      <c r="E2383" t="s">
        <v>129</v>
      </c>
      <c r="F2383" t="s">
        <v>93</v>
      </c>
      <c r="G2383" s="33">
        <v>46</v>
      </c>
    </row>
    <row r="2384" spans="1:7">
      <c r="A2384" t="s">
        <v>22</v>
      </c>
      <c r="B2384" t="s">
        <v>198</v>
      </c>
      <c r="C2384" s="32">
        <v>521.75</v>
      </c>
      <c r="D2384" s="33">
        <v>10</v>
      </c>
      <c r="E2384" t="s">
        <v>130</v>
      </c>
      <c r="F2384" t="s">
        <v>90</v>
      </c>
      <c r="G2384" s="33">
        <v>46</v>
      </c>
    </row>
    <row r="2385" spans="1:7">
      <c r="A2385" t="s">
        <v>22</v>
      </c>
      <c r="B2385" t="s">
        <v>198</v>
      </c>
      <c r="C2385" s="32">
        <v>521.83000000000004</v>
      </c>
      <c r="D2385" s="33">
        <v>11</v>
      </c>
      <c r="E2385" t="s">
        <v>131</v>
      </c>
      <c r="F2385" t="s">
        <v>96</v>
      </c>
      <c r="G2385" s="33">
        <v>45</v>
      </c>
    </row>
    <row r="2386" spans="1:7">
      <c r="A2386" t="s">
        <v>22</v>
      </c>
      <c r="B2386" t="s">
        <v>198</v>
      </c>
      <c r="C2386" s="32">
        <v>521.91999999999996</v>
      </c>
      <c r="D2386" s="33">
        <v>12</v>
      </c>
      <c r="E2386" t="s">
        <v>133</v>
      </c>
      <c r="F2386" t="s">
        <v>90</v>
      </c>
      <c r="G2386" s="33">
        <v>46</v>
      </c>
    </row>
    <row r="2387" spans="1:7">
      <c r="A2387" t="s">
        <v>22</v>
      </c>
      <c r="B2387" t="s">
        <v>198</v>
      </c>
      <c r="C2387" s="32">
        <v>522</v>
      </c>
      <c r="D2387" s="33">
        <v>13</v>
      </c>
      <c r="E2387" t="s">
        <v>134</v>
      </c>
      <c r="F2387" t="s">
        <v>93</v>
      </c>
      <c r="G2387" s="33">
        <v>46</v>
      </c>
    </row>
    <row r="2388" spans="1:7">
      <c r="A2388" t="s">
        <v>22</v>
      </c>
      <c r="B2388" t="s">
        <v>198</v>
      </c>
      <c r="C2388" s="32">
        <v>522.09</v>
      </c>
      <c r="D2388" s="33">
        <v>14</v>
      </c>
      <c r="E2388" t="s">
        <v>135</v>
      </c>
      <c r="F2388" t="s">
        <v>102</v>
      </c>
      <c r="G2388" s="33">
        <v>46</v>
      </c>
    </row>
    <row r="2389" spans="1:7">
      <c r="A2389" t="s">
        <v>22</v>
      </c>
      <c r="B2389" t="s">
        <v>198</v>
      </c>
      <c r="C2389" s="32">
        <v>522.16999999999996</v>
      </c>
      <c r="D2389" s="33">
        <v>15</v>
      </c>
      <c r="E2389" t="s">
        <v>136</v>
      </c>
      <c r="F2389" t="s">
        <v>90</v>
      </c>
      <c r="G2389" s="33">
        <v>45</v>
      </c>
    </row>
    <row r="2390" spans="1:7">
      <c r="A2390" t="s">
        <v>22</v>
      </c>
      <c r="B2390" t="s">
        <v>198</v>
      </c>
      <c r="C2390" s="32">
        <v>522.25</v>
      </c>
      <c r="D2390" s="33">
        <v>16</v>
      </c>
      <c r="E2390" t="s">
        <v>137</v>
      </c>
      <c r="F2390" t="s">
        <v>93</v>
      </c>
      <c r="G2390" s="33">
        <v>46</v>
      </c>
    </row>
    <row r="2391" spans="1:7">
      <c r="A2391" t="s">
        <v>22</v>
      </c>
      <c r="B2391" t="s">
        <v>198</v>
      </c>
      <c r="C2391" s="32">
        <v>522.34</v>
      </c>
      <c r="D2391" s="33">
        <v>17</v>
      </c>
      <c r="E2391" t="s">
        <v>138</v>
      </c>
      <c r="F2391" t="s">
        <v>90</v>
      </c>
      <c r="G2391" s="33">
        <v>46</v>
      </c>
    </row>
    <row r="2392" spans="1:7">
      <c r="A2392" t="s">
        <v>22</v>
      </c>
      <c r="B2392" t="s">
        <v>198</v>
      </c>
      <c r="C2392" s="32">
        <v>522.41999999999996</v>
      </c>
      <c r="D2392" s="33">
        <v>18</v>
      </c>
      <c r="E2392" t="s">
        <v>140</v>
      </c>
      <c r="F2392" t="s">
        <v>96</v>
      </c>
      <c r="G2392" s="33">
        <v>46</v>
      </c>
    </row>
    <row r="2393" spans="1:7">
      <c r="A2393" t="s">
        <v>22</v>
      </c>
      <c r="B2393" t="s">
        <v>198</v>
      </c>
      <c r="C2393" s="32">
        <v>522.5</v>
      </c>
      <c r="D2393" s="33">
        <v>19</v>
      </c>
      <c r="E2393" t="s">
        <v>141</v>
      </c>
      <c r="F2393" t="s">
        <v>90</v>
      </c>
      <c r="G2393" s="33">
        <v>45</v>
      </c>
    </row>
    <row r="2394" spans="1:7">
      <c r="A2394" t="s">
        <v>22</v>
      </c>
      <c r="B2394" t="s">
        <v>198</v>
      </c>
      <c r="C2394" s="32">
        <v>522.59</v>
      </c>
      <c r="D2394" s="33">
        <v>20</v>
      </c>
      <c r="E2394" t="s">
        <v>142</v>
      </c>
      <c r="F2394" t="s">
        <v>93</v>
      </c>
      <c r="G2394" s="33">
        <v>46</v>
      </c>
    </row>
    <row r="2395" spans="1:7">
      <c r="A2395" t="s">
        <v>22</v>
      </c>
      <c r="B2395" t="s">
        <v>198</v>
      </c>
      <c r="C2395" s="32">
        <v>522.66999999999996</v>
      </c>
      <c r="D2395" s="33">
        <v>21</v>
      </c>
      <c r="E2395" t="s">
        <v>143</v>
      </c>
      <c r="F2395" t="s">
        <v>90</v>
      </c>
      <c r="G2395" s="33">
        <v>46</v>
      </c>
    </row>
    <row r="2396" spans="1:7">
      <c r="A2396" t="s">
        <v>22</v>
      </c>
      <c r="B2396" t="s">
        <v>198</v>
      </c>
      <c r="C2396" s="32">
        <v>522.75</v>
      </c>
      <c r="D2396" s="33">
        <v>22</v>
      </c>
      <c r="E2396" t="s">
        <v>144</v>
      </c>
      <c r="F2396" t="s">
        <v>90</v>
      </c>
      <c r="G2396" s="33">
        <v>46</v>
      </c>
    </row>
    <row r="2397" spans="1:7">
      <c r="A2397" t="s">
        <v>22</v>
      </c>
      <c r="B2397" t="s">
        <v>198</v>
      </c>
      <c r="C2397" s="32">
        <v>522.84</v>
      </c>
      <c r="D2397" s="33">
        <v>23</v>
      </c>
      <c r="E2397" t="s">
        <v>145</v>
      </c>
      <c r="F2397" t="s">
        <v>93</v>
      </c>
      <c r="G2397" s="33">
        <v>45</v>
      </c>
    </row>
    <row r="2398" spans="1:7">
      <c r="A2398" t="s">
        <v>22</v>
      </c>
      <c r="B2398" t="s">
        <v>198</v>
      </c>
      <c r="C2398" s="32">
        <v>522.91999999999996</v>
      </c>
      <c r="D2398" s="33">
        <v>24</v>
      </c>
      <c r="E2398" t="s">
        <v>146</v>
      </c>
      <c r="F2398" t="s">
        <v>90</v>
      </c>
      <c r="G2398" s="33">
        <v>46</v>
      </c>
    </row>
    <row r="2399" spans="1:7">
      <c r="A2399" t="s">
        <v>22</v>
      </c>
      <c r="B2399" t="s">
        <v>198</v>
      </c>
      <c r="C2399" s="32">
        <v>523</v>
      </c>
      <c r="D2399" s="33">
        <v>25</v>
      </c>
      <c r="E2399" t="s">
        <v>148</v>
      </c>
      <c r="F2399" t="s">
        <v>90</v>
      </c>
      <c r="G2399" s="33">
        <v>46</v>
      </c>
    </row>
    <row r="2400" spans="1:7">
      <c r="A2400" t="s">
        <v>22</v>
      </c>
      <c r="B2400" t="s">
        <v>198</v>
      </c>
      <c r="C2400" s="32">
        <v>523.09</v>
      </c>
      <c r="D2400" s="33">
        <v>26</v>
      </c>
      <c r="E2400" t="s">
        <v>149</v>
      </c>
      <c r="F2400" t="s">
        <v>93</v>
      </c>
      <c r="G2400" s="33">
        <v>46</v>
      </c>
    </row>
    <row r="2401" spans="1:7">
      <c r="A2401" t="s">
        <v>22</v>
      </c>
      <c r="B2401" t="s">
        <v>198</v>
      </c>
      <c r="C2401" s="32">
        <v>523.16999999999996</v>
      </c>
      <c r="D2401" s="33">
        <v>27</v>
      </c>
      <c r="E2401" t="s">
        <v>150</v>
      </c>
      <c r="F2401" t="s">
        <v>96</v>
      </c>
      <c r="G2401" s="33">
        <v>46</v>
      </c>
    </row>
    <row r="2402" spans="1:7">
      <c r="A2402" t="s">
        <v>22</v>
      </c>
      <c r="B2402" t="s">
        <v>198</v>
      </c>
      <c r="C2402" s="32">
        <v>523.25</v>
      </c>
      <c r="D2402" s="33">
        <v>28</v>
      </c>
      <c r="E2402" t="s">
        <v>151</v>
      </c>
      <c r="F2402" t="s">
        <v>102</v>
      </c>
      <c r="G2402" s="33">
        <v>45</v>
      </c>
    </row>
    <row r="2403" spans="1:7">
      <c r="A2403" t="s">
        <v>22</v>
      </c>
      <c r="B2403" t="s">
        <v>198</v>
      </c>
      <c r="C2403" s="32">
        <v>523.34</v>
      </c>
      <c r="D2403" s="33">
        <v>29</v>
      </c>
      <c r="E2403" t="s">
        <v>152</v>
      </c>
      <c r="F2403" t="s">
        <v>90</v>
      </c>
      <c r="G2403" s="33">
        <v>46</v>
      </c>
    </row>
    <row r="2404" spans="1:7">
      <c r="A2404" t="s">
        <v>22</v>
      </c>
      <c r="B2404" t="s">
        <v>198</v>
      </c>
      <c r="C2404" s="32">
        <v>523.41999999999996</v>
      </c>
      <c r="D2404" s="33">
        <v>30</v>
      </c>
      <c r="E2404" t="s">
        <v>153</v>
      </c>
      <c r="F2404" t="s">
        <v>93</v>
      </c>
      <c r="G2404" s="33">
        <v>46</v>
      </c>
    </row>
    <row r="2405" spans="1:7">
      <c r="A2405" t="s">
        <v>22</v>
      </c>
      <c r="B2405" t="s">
        <v>198</v>
      </c>
      <c r="C2405" s="32">
        <v>523.5</v>
      </c>
      <c r="D2405" s="33">
        <v>31</v>
      </c>
      <c r="E2405" t="s">
        <v>120</v>
      </c>
      <c r="F2405" t="s">
        <v>90</v>
      </c>
      <c r="G2405" s="33">
        <v>46</v>
      </c>
    </row>
    <row r="2406" spans="1:7">
      <c r="A2406" t="s">
        <v>22</v>
      </c>
      <c r="B2406" t="s">
        <v>198</v>
      </c>
      <c r="C2406" s="32">
        <v>523.59</v>
      </c>
      <c r="D2406" s="33">
        <v>32</v>
      </c>
      <c r="E2406" t="s">
        <v>115</v>
      </c>
      <c r="F2406" t="s">
        <v>90</v>
      </c>
      <c r="G2406" s="33">
        <v>45</v>
      </c>
    </row>
    <row r="2407" spans="1:7">
      <c r="A2407" t="s">
        <v>22</v>
      </c>
      <c r="B2407" t="s">
        <v>198</v>
      </c>
      <c r="C2407" s="32">
        <v>523.66999999999996</v>
      </c>
      <c r="D2407" s="33">
        <v>33</v>
      </c>
      <c r="E2407" t="s">
        <v>116</v>
      </c>
      <c r="F2407" t="s">
        <v>93</v>
      </c>
      <c r="G2407" s="33">
        <v>46</v>
      </c>
    </row>
    <row r="2408" spans="1:7">
      <c r="A2408" t="s">
        <v>22</v>
      </c>
      <c r="B2408" t="s">
        <v>198</v>
      </c>
      <c r="C2408" s="32">
        <v>523.76</v>
      </c>
      <c r="D2408" s="33">
        <v>34</v>
      </c>
      <c r="E2408" t="s">
        <v>117</v>
      </c>
      <c r="F2408" t="s">
        <v>90</v>
      </c>
      <c r="G2408" s="33">
        <v>46</v>
      </c>
    </row>
    <row r="2409" spans="1:7">
      <c r="A2409" t="s">
        <v>22</v>
      </c>
      <c r="B2409" t="s">
        <v>198</v>
      </c>
      <c r="C2409" s="32">
        <v>523.84</v>
      </c>
      <c r="D2409" s="33">
        <v>35</v>
      </c>
      <c r="E2409" t="s">
        <v>118</v>
      </c>
      <c r="F2409" t="s">
        <v>96</v>
      </c>
      <c r="G2409" s="33">
        <v>46</v>
      </c>
    </row>
    <row r="2410" spans="1:7">
      <c r="A2410" t="s">
        <v>22</v>
      </c>
      <c r="B2410" t="s">
        <v>198</v>
      </c>
      <c r="C2410" s="32">
        <v>523.91999999999996</v>
      </c>
      <c r="D2410" s="33">
        <v>36</v>
      </c>
      <c r="E2410" t="s">
        <v>122</v>
      </c>
      <c r="F2410" t="s">
        <v>90</v>
      </c>
      <c r="G2410" s="33">
        <v>45</v>
      </c>
    </row>
    <row r="2411" spans="1:7">
      <c r="A2411" t="s">
        <v>22</v>
      </c>
      <c r="B2411" t="s">
        <v>198</v>
      </c>
      <c r="C2411" s="32">
        <v>524.01</v>
      </c>
      <c r="D2411" s="33">
        <v>37</v>
      </c>
      <c r="E2411" t="s">
        <v>124</v>
      </c>
      <c r="F2411" t="s">
        <v>93</v>
      </c>
      <c r="G2411" s="33">
        <v>46</v>
      </c>
    </row>
    <row r="2412" spans="1:7">
      <c r="A2412" t="s">
        <v>22</v>
      </c>
      <c r="B2412" t="s">
        <v>198</v>
      </c>
      <c r="C2412" s="32">
        <v>524.09</v>
      </c>
      <c r="D2412" s="33">
        <v>38</v>
      </c>
      <c r="E2412" t="s">
        <v>125</v>
      </c>
      <c r="F2412" t="s">
        <v>90</v>
      </c>
      <c r="G2412" s="33">
        <v>46</v>
      </c>
    </row>
    <row r="2413" spans="1:7">
      <c r="A2413" t="s">
        <v>22</v>
      </c>
      <c r="B2413" t="s">
        <v>198</v>
      </c>
      <c r="C2413" s="32">
        <v>524.16999999999996</v>
      </c>
      <c r="D2413" s="33">
        <v>39</v>
      </c>
      <c r="E2413" t="s">
        <v>127</v>
      </c>
      <c r="F2413" t="s">
        <v>90</v>
      </c>
      <c r="G2413" s="33">
        <v>46</v>
      </c>
    </row>
    <row r="2414" spans="1:7">
      <c r="A2414" t="s">
        <v>22</v>
      </c>
      <c r="B2414" t="s">
        <v>198</v>
      </c>
      <c r="C2414" s="32">
        <v>524.26</v>
      </c>
      <c r="D2414" s="33">
        <v>40</v>
      </c>
      <c r="E2414" t="s">
        <v>128</v>
      </c>
      <c r="F2414" t="s">
        <v>93</v>
      </c>
      <c r="G2414" s="33">
        <v>45</v>
      </c>
    </row>
    <row r="2415" spans="1:7">
      <c r="A2415" t="s">
        <v>22</v>
      </c>
      <c r="B2415" t="s">
        <v>198</v>
      </c>
      <c r="C2415" s="32">
        <v>524.34</v>
      </c>
      <c r="D2415" s="33">
        <v>41</v>
      </c>
      <c r="E2415" t="s">
        <v>129</v>
      </c>
      <c r="F2415" t="s">
        <v>102</v>
      </c>
      <c r="G2415" s="33">
        <v>46</v>
      </c>
    </row>
    <row r="2416" spans="1:7">
      <c r="A2416" t="s">
        <v>22</v>
      </c>
      <c r="B2416" t="s">
        <v>198</v>
      </c>
      <c r="C2416" s="32">
        <v>524.41999999999996</v>
      </c>
      <c r="D2416" s="33">
        <v>42</v>
      </c>
      <c r="E2416" t="s">
        <v>130</v>
      </c>
      <c r="F2416" t="s">
        <v>96</v>
      </c>
      <c r="G2416" s="33">
        <v>46</v>
      </c>
    </row>
    <row r="2417" spans="1:7">
      <c r="A2417" t="s">
        <v>22</v>
      </c>
      <c r="B2417" t="s">
        <v>198</v>
      </c>
      <c r="C2417" s="32">
        <v>524.51</v>
      </c>
      <c r="D2417" s="33">
        <v>43</v>
      </c>
      <c r="E2417" t="s">
        <v>131</v>
      </c>
      <c r="F2417" t="s">
        <v>90</v>
      </c>
      <c r="G2417" s="33">
        <v>46</v>
      </c>
    </row>
    <row r="2418" spans="1:7">
      <c r="A2418" t="s">
        <v>22</v>
      </c>
      <c r="B2418" t="s">
        <v>198</v>
      </c>
      <c r="C2418" s="32">
        <v>524.59</v>
      </c>
      <c r="D2418" s="33">
        <v>44</v>
      </c>
      <c r="E2418" t="s">
        <v>133</v>
      </c>
      <c r="F2418" t="s">
        <v>93</v>
      </c>
      <c r="G2418" s="33">
        <v>45</v>
      </c>
    </row>
    <row r="2419" spans="1:7">
      <c r="A2419" t="s">
        <v>22</v>
      </c>
      <c r="B2419" t="s">
        <v>198</v>
      </c>
      <c r="C2419" s="32">
        <v>524.66999999999996</v>
      </c>
      <c r="D2419" s="33">
        <v>45</v>
      </c>
      <c r="E2419" t="s">
        <v>134</v>
      </c>
      <c r="F2419" t="s">
        <v>90</v>
      </c>
      <c r="G2419" s="33">
        <v>46</v>
      </c>
    </row>
    <row r="2420" spans="1:7">
      <c r="A2420" t="s">
        <v>22</v>
      </c>
      <c r="B2420" t="s">
        <v>198</v>
      </c>
      <c r="C2420" s="32">
        <v>524.76</v>
      </c>
      <c r="D2420" s="33">
        <v>46</v>
      </c>
      <c r="E2420" t="s">
        <v>135</v>
      </c>
      <c r="F2420" t="s">
        <v>90</v>
      </c>
      <c r="G2420" s="33">
        <v>46</v>
      </c>
    </row>
    <row r="2421" spans="1:7">
      <c r="A2421" t="s">
        <v>22</v>
      </c>
      <c r="B2421" t="s">
        <v>198</v>
      </c>
      <c r="C2421" s="32">
        <v>524.84</v>
      </c>
      <c r="D2421" s="33">
        <v>47</v>
      </c>
      <c r="E2421" t="s">
        <v>136</v>
      </c>
      <c r="F2421" t="s">
        <v>93</v>
      </c>
      <c r="G2421" s="33">
        <v>46</v>
      </c>
    </row>
    <row r="2422" spans="1:7">
      <c r="A2422" t="s">
        <v>22</v>
      </c>
      <c r="B2422" t="s">
        <v>198</v>
      </c>
      <c r="C2422" s="32">
        <v>524.91999999999996</v>
      </c>
      <c r="D2422" s="33">
        <v>48</v>
      </c>
      <c r="E2422" t="s">
        <v>137</v>
      </c>
      <c r="F2422" t="s">
        <v>90</v>
      </c>
      <c r="G2422" s="33">
        <v>45</v>
      </c>
    </row>
    <row r="2423" spans="1:7">
      <c r="A2423" t="s">
        <v>22</v>
      </c>
      <c r="B2423" t="s">
        <v>198</v>
      </c>
      <c r="C2423" s="32">
        <v>525.01</v>
      </c>
      <c r="D2423" s="33">
        <v>49</v>
      </c>
      <c r="E2423" t="s">
        <v>138</v>
      </c>
      <c r="F2423" t="s">
        <v>96</v>
      </c>
      <c r="G2423" s="33">
        <v>46</v>
      </c>
    </row>
    <row r="2424" spans="1:7">
      <c r="A2424" t="s">
        <v>22</v>
      </c>
      <c r="B2424" t="s">
        <v>198</v>
      </c>
      <c r="C2424" s="32">
        <v>525.09</v>
      </c>
      <c r="D2424" s="33">
        <v>50</v>
      </c>
      <c r="E2424" t="s">
        <v>140</v>
      </c>
      <c r="F2424" t="s">
        <v>90</v>
      </c>
      <c r="G2424" s="33">
        <v>46</v>
      </c>
    </row>
    <row r="2425" spans="1:7">
      <c r="A2425" t="s">
        <v>22</v>
      </c>
      <c r="B2425" t="s">
        <v>198</v>
      </c>
      <c r="C2425" s="32">
        <v>525.16999999999996</v>
      </c>
      <c r="D2425" s="33">
        <v>51</v>
      </c>
      <c r="E2425" t="s">
        <v>141</v>
      </c>
      <c r="F2425" t="s">
        <v>93</v>
      </c>
      <c r="G2425" s="33">
        <v>46</v>
      </c>
    </row>
    <row r="2426" spans="1:7">
      <c r="A2426" t="s">
        <v>22</v>
      </c>
      <c r="B2426" t="s">
        <v>198</v>
      </c>
      <c r="C2426" s="32">
        <v>525.26</v>
      </c>
      <c r="D2426" s="33">
        <v>52</v>
      </c>
      <c r="E2426" t="s">
        <v>142</v>
      </c>
      <c r="F2426" t="s">
        <v>90</v>
      </c>
      <c r="G2426" s="33">
        <v>45</v>
      </c>
    </row>
    <row r="2427" spans="1:7">
      <c r="A2427" t="s">
        <v>22</v>
      </c>
      <c r="B2427" t="s">
        <v>198</v>
      </c>
      <c r="C2427" s="32">
        <v>525.34</v>
      </c>
      <c r="D2427" s="33">
        <v>53</v>
      </c>
      <c r="E2427" t="s">
        <v>143</v>
      </c>
      <c r="F2427" t="s">
        <v>90</v>
      </c>
      <c r="G2427" s="33">
        <v>46</v>
      </c>
    </row>
    <row r="2428" spans="1:7">
      <c r="A2428" t="s">
        <v>22</v>
      </c>
      <c r="B2428" t="s">
        <v>198</v>
      </c>
      <c r="C2428" s="32">
        <v>525.42999999999995</v>
      </c>
      <c r="D2428" s="33">
        <v>54</v>
      </c>
      <c r="E2428" t="s">
        <v>144</v>
      </c>
      <c r="F2428" t="s">
        <v>93</v>
      </c>
      <c r="G2428" s="33">
        <v>46</v>
      </c>
    </row>
    <row r="2429" spans="1:7">
      <c r="A2429" t="s">
        <v>22</v>
      </c>
      <c r="B2429" t="s">
        <v>198</v>
      </c>
      <c r="C2429" s="32">
        <v>525.51</v>
      </c>
      <c r="D2429" s="33">
        <v>55</v>
      </c>
      <c r="E2429" t="s">
        <v>145</v>
      </c>
      <c r="F2429" t="s">
        <v>102</v>
      </c>
      <c r="G2429" s="33">
        <v>46</v>
      </c>
    </row>
    <row r="2430" spans="1:7">
      <c r="A2430" t="s">
        <v>22</v>
      </c>
      <c r="B2430" t="s">
        <v>198</v>
      </c>
      <c r="C2430" s="32">
        <v>525.59</v>
      </c>
      <c r="D2430" s="33">
        <v>56</v>
      </c>
      <c r="E2430" t="s">
        <v>146</v>
      </c>
      <c r="F2430" t="s">
        <v>96</v>
      </c>
      <c r="G2430" s="33">
        <v>46</v>
      </c>
    </row>
    <row r="2431" spans="1:7">
      <c r="A2431" t="s">
        <v>22</v>
      </c>
      <c r="B2431" t="s">
        <v>198</v>
      </c>
      <c r="C2431" s="32">
        <v>525.67999999999995</v>
      </c>
      <c r="D2431" s="33">
        <v>57</v>
      </c>
      <c r="E2431" t="s">
        <v>148</v>
      </c>
      <c r="F2431" t="s">
        <v>90</v>
      </c>
      <c r="G2431" s="33">
        <v>45</v>
      </c>
    </row>
    <row r="2432" spans="1:7">
      <c r="A2432" t="s">
        <v>22</v>
      </c>
      <c r="B2432" t="s">
        <v>198</v>
      </c>
      <c r="C2432" s="32">
        <v>525.76</v>
      </c>
      <c r="D2432" s="33">
        <v>58</v>
      </c>
      <c r="E2432" t="s">
        <v>149</v>
      </c>
      <c r="F2432" t="s">
        <v>93</v>
      </c>
      <c r="G2432" s="33">
        <v>46</v>
      </c>
    </row>
    <row r="2433" spans="1:7">
      <c r="A2433" t="s">
        <v>22</v>
      </c>
      <c r="B2433" t="s">
        <v>198</v>
      </c>
      <c r="C2433" s="32">
        <v>525.84</v>
      </c>
      <c r="D2433" s="33">
        <v>59</v>
      </c>
      <c r="E2433" t="s">
        <v>150</v>
      </c>
      <c r="F2433" t="s">
        <v>90</v>
      </c>
      <c r="G2433" s="33">
        <v>46</v>
      </c>
    </row>
    <row r="2434" spans="1:7">
      <c r="A2434" t="s">
        <v>22</v>
      </c>
      <c r="B2434" t="s">
        <v>198</v>
      </c>
      <c r="C2434" s="32">
        <v>525.92999999999995</v>
      </c>
      <c r="D2434" s="33">
        <v>60</v>
      </c>
      <c r="E2434" t="s">
        <v>151</v>
      </c>
      <c r="F2434" t="s">
        <v>90</v>
      </c>
      <c r="G2434" s="33">
        <v>46</v>
      </c>
    </row>
    <row r="2435" spans="1:7">
      <c r="A2435" t="s">
        <v>22</v>
      </c>
      <c r="B2435" t="s">
        <v>198</v>
      </c>
      <c r="C2435" s="32">
        <v>526.01</v>
      </c>
      <c r="D2435" s="33">
        <v>61</v>
      </c>
      <c r="E2435" t="s">
        <v>152</v>
      </c>
      <c r="F2435" t="s">
        <v>93</v>
      </c>
      <c r="G2435" s="33">
        <v>45</v>
      </c>
    </row>
    <row r="2436" spans="1:7">
      <c r="A2436" t="s">
        <v>22</v>
      </c>
      <c r="B2436" t="s">
        <v>198</v>
      </c>
      <c r="C2436" s="32">
        <v>526.09</v>
      </c>
      <c r="D2436" s="33">
        <v>62</v>
      </c>
      <c r="E2436" t="s">
        <v>153</v>
      </c>
      <c r="F2436" t="s">
        <v>90</v>
      </c>
      <c r="G2436" s="33">
        <v>46</v>
      </c>
    </row>
    <row r="2437" spans="1:7">
      <c r="A2437" t="s">
        <v>22</v>
      </c>
      <c r="B2437" t="s">
        <v>198</v>
      </c>
      <c r="C2437" s="32">
        <v>526.17999999999995</v>
      </c>
      <c r="D2437" s="33">
        <v>63</v>
      </c>
      <c r="E2437" t="s">
        <v>120</v>
      </c>
      <c r="F2437" t="s">
        <v>96</v>
      </c>
      <c r="G2437" s="33">
        <v>46</v>
      </c>
    </row>
    <row r="2438" spans="1:7">
      <c r="A2438" t="s">
        <v>22</v>
      </c>
      <c r="B2438" t="s">
        <v>198</v>
      </c>
      <c r="C2438" s="32">
        <v>526.26</v>
      </c>
      <c r="D2438" s="33">
        <v>64</v>
      </c>
      <c r="E2438" t="s">
        <v>115</v>
      </c>
      <c r="F2438" t="s">
        <v>90</v>
      </c>
      <c r="G2438" s="33">
        <v>46</v>
      </c>
    </row>
    <row r="2439" spans="1:7">
      <c r="A2439" t="s">
        <v>22</v>
      </c>
      <c r="B2439" t="s">
        <v>198</v>
      </c>
      <c r="C2439" s="32">
        <v>526.34</v>
      </c>
      <c r="D2439" s="33">
        <v>65</v>
      </c>
      <c r="E2439" t="s">
        <v>116</v>
      </c>
      <c r="F2439" t="s">
        <v>93</v>
      </c>
      <c r="G2439" s="33">
        <v>45</v>
      </c>
    </row>
    <row r="2440" spans="1:7">
      <c r="A2440" t="s">
        <v>22</v>
      </c>
      <c r="B2440" t="s">
        <v>198</v>
      </c>
      <c r="C2440" s="32">
        <v>526.42999999999995</v>
      </c>
      <c r="D2440" s="33">
        <v>66</v>
      </c>
      <c r="E2440" t="s">
        <v>117</v>
      </c>
      <c r="F2440" t="s">
        <v>90</v>
      </c>
      <c r="G2440" s="33">
        <v>46</v>
      </c>
    </row>
    <row r="2441" spans="1:7">
      <c r="A2441" t="s">
        <v>22</v>
      </c>
      <c r="B2441" t="s">
        <v>198</v>
      </c>
      <c r="C2441" s="32">
        <v>526.51</v>
      </c>
      <c r="D2441" s="33">
        <v>67</v>
      </c>
      <c r="E2441" t="s">
        <v>118</v>
      </c>
      <c r="F2441" t="s">
        <v>90</v>
      </c>
      <c r="G2441" s="33">
        <v>46</v>
      </c>
    </row>
    <row r="2442" spans="1:7">
      <c r="A2442" t="s">
        <v>22</v>
      </c>
      <c r="B2442" t="s">
        <v>198</v>
      </c>
      <c r="C2442" s="32">
        <v>526.59</v>
      </c>
      <c r="D2442" s="33">
        <v>68</v>
      </c>
      <c r="E2442" t="s">
        <v>122</v>
      </c>
      <c r="F2442" t="s">
        <v>93</v>
      </c>
      <c r="G2442" s="33">
        <v>46</v>
      </c>
    </row>
    <row r="2443" spans="1:7">
      <c r="A2443" t="s">
        <v>22</v>
      </c>
      <c r="B2443" t="s">
        <v>198</v>
      </c>
      <c r="C2443" s="32">
        <v>526.67999999999995</v>
      </c>
      <c r="D2443" s="33">
        <v>69</v>
      </c>
      <c r="E2443" t="s">
        <v>124</v>
      </c>
      <c r="F2443" t="s">
        <v>102</v>
      </c>
      <c r="G2443" s="33">
        <v>45</v>
      </c>
    </row>
    <row r="2444" spans="1:7">
      <c r="A2444" t="s">
        <v>22</v>
      </c>
      <c r="B2444" t="s">
        <v>198</v>
      </c>
      <c r="C2444" s="32">
        <v>526.76</v>
      </c>
      <c r="D2444" s="33">
        <v>70</v>
      </c>
      <c r="E2444" t="s">
        <v>125</v>
      </c>
      <c r="F2444" t="s">
        <v>96</v>
      </c>
      <c r="G2444" s="33">
        <v>46</v>
      </c>
    </row>
    <row r="2445" spans="1:7">
      <c r="A2445" t="s">
        <v>22</v>
      </c>
      <c r="B2445" t="s">
        <v>198</v>
      </c>
      <c r="C2445" s="32">
        <v>526.84</v>
      </c>
      <c r="D2445" s="33">
        <v>71</v>
      </c>
      <c r="E2445" t="s">
        <v>127</v>
      </c>
      <c r="F2445" t="s">
        <v>90</v>
      </c>
      <c r="G2445" s="33">
        <v>46</v>
      </c>
    </row>
    <row r="2446" spans="1:7">
      <c r="A2446" t="s">
        <v>22</v>
      </c>
      <c r="B2446" t="s">
        <v>198</v>
      </c>
      <c r="C2446" s="32">
        <v>526.92999999999995</v>
      </c>
      <c r="D2446" s="33">
        <v>72</v>
      </c>
      <c r="E2446" t="s">
        <v>128</v>
      </c>
      <c r="F2446" t="s">
        <v>93</v>
      </c>
      <c r="G2446" s="33">
        <v>46</v>
      </c>
    </row>
    <row r="2447" spans="1:7">
      <c r="A2447" t="s">
        <v>22</v>
      </c>
      <c r="B2447" t="s">
        <v>198</v>
      </c>
      <c r="C2447" s="32">
        <v>527.01</v>
      </c>
      <c r="D2447" s="33">
        <v>73</v>
      </c>
      <c r="E2447" t="s">
        <v>129</v>
      </c>
      <c r="F2447" t="s">
        <v>90</v>
      </c>
      <c r="G2447" s="33">
        <v>45</v>
      </c>
    </row>
    <row r="2448" spans="1:7">
      <c r="A2448" t="s">
        <v>22</v>
      </c>
      <c r="B2448" t="s">
        <v>198</v>
      </c>
      <c r="C2448" s="32">
        <v>527.1</v>
      </c>
      <c r="D2448" s="33">
        <v>74</v>
      </c>
      <c r="E2448" t="s">
        <v>130</v>
      </c>
      <c r="F2448" t="s">
        <v>90</v>
      </c>
      <c r="G2448" s="33">
        <v>46</v>
      </c>
    </row>
    <row r="2449" spans="1:7">
      <c r="A2449" t="s">
        <v>22</v>
      </c>
      <c r="B2449" t="s">
        <v>198</v>
      </c>
      <c r="C2449" s="32">
        <v>527.17999999999995</v>
      </c>
      <c r="D2449" s="33">
        <v>75</v>
      </c>
      <c r="E2449" t="s">
        <v>131</v>
      </c>
      <c r="F2449" t="s">
        <v>93</v>
      </c>
      <c r="G2449" s="33">
        <v>46</v>
      </c>
    </row>
    <row r="2450" spans="1:7">
      <c r="A2450" t="s">
        <v>22</v>
      </c>
      <c r="B2450" t="s">
        <v>198</v>
      </c>
      <c r="C2450" s="32">
        <v>527.26</v>
      </c>
      <c r="D2450" s="33">
        <v>76</v>
      </c>
      <c r="E2450" t="s">
        <v>133</v>
      </c>
      <c r="F2450" t="s">
        <v>90</v>
      </c>
      <c r="G2450" s="33">
        <v>46</v>
      </c>
    </row>
    <row r="2451" spans="1:7">
      <c r="A2451" t="s">
        <v>22</v>
      </c>
      <c r="B2451" t="s">
        <v>198</v>
      </c>
      <c r="C2451" s="32">
        <v>527.35</v>
      </c>
      <c r="D2451" s="33">
        <v>77</v>
      </c>
      <c r="E2451" t="s">
        <v>134</v>
      </c>
      <c r="F2451" t="s">
        <v>90</v>
      </c>
      <c r="G2451" s="33">
        <v>45</v>
      </c>
    </row>
    <row r="2452" spans="1:7">
      <c r="A2452" t="s">
        <v>22</v>
      </c>
      <c r="B2452" t="s">
        <v>198</v>
      </c>
      <c r="C2452" s="32">
        <v>527.42999999999995</v>
      </c>
      <c r="D2452" s="33">
        <v>78</v>
      </c>
      <c r="E2452" t="s">
        <v>135</v>
      </c>
      <c r="F2452" t="s">
        <v>93</v>
      </c>
      <c r="G2452" s="33">
        <v>46</v>
      </c>
    </row>
    <row r="2453" spans="1:7">
      <c r="A2453" t="s">
        <v>22</v>
      </c>
      <c r="B2453" t="s">
        <v>198</v>
      </c>
      <c r="C2453" s="32">
        <v>527.51</v>
      </c>
      <c r="D2453" s="33">
        <v>79</v>
      </c>
      <c r="E2453" t="s">
        <v>136</v>
      </c>
      <c r="F2453" t="s">
        <v>96</v>
      </c>
      <c r="G2453" s="33">
        <v>46</v>
      </c>
    </row>
    <row r="2454" spans="1:7">
      <c r="A2454" t="s">
        <v>22</v>
      </c>
      <c r="B2454" t="s">
        <v>198</v>
      </c>
      <c r="C2454" s="32">
        <v>527.6</v>
      </c>
      <c r="D2454" s="33">
        <v>80</v>
      </c>
      <c r="E2454" t="s">
        <v>137</v>
      </c>
      <c r="F2454" t="s">
        <v>90</v>
      </c>
      <c r="G2454" s="33">
        <v>46</v>
      </c>
    </row>
    <row r="2455" spans="1:7">
      <c r="A2455" t="s">
        <v>22</v>
      </c>
      <c r="B2455" t="s">
        <v>198</v>
      </c>
      <c r="C2455" s="32">
        <v>527.67999999999995</v>
      </c>
      <c r="D2455" s="33">
        <v>81</v>
      </c>
      <c r="E2455" t="s">
        <v>138</v>
      </c>
      <c r="F2455" t="s">
        <v>90</v>
      </c>
      <c r="G2455" s="33">
        <v>46</v>
      </c>
    </row>
    <row r="2456" spans="1:7">
      <c r="A2456" t="s">
        <v>22</v>
      </c>
      <c r="B2456" t="s">
        <v>198</v>
      </c>
      <c r="C2456" s="32">
        <v>527.76</v>
      </c>
      <c r="D2456" s="33">
        <v>82</v>
      </c>
      <c r="E2456" t="s">
        <v>140</v>
      </c>
      <c r="F2456" t="s">
        <v>93</v>
      </c>
      <c r="G2456" s="33">
        <v>45</v>
      </c>
    </row>
    <row r="2457" spans="1:7">
      <c r="A2457" t="s">
        <v>22</v>
      </c>
      <c r="B2457" t="s">
        <v>198</v>
      </c>
      <c r="C2457" s="32">
        <v>527.85</v>
      </c>
      <c r="D2457" s="33">
        <v>83</v>
      </c>
      <c r="E2457" t="s">
        <v>141</v>
      </c>
      <c r="F2457" t="s">
        <v>102</v>
      </c>
      <c r="G2457" s="33">
        <v>46</v>
      </c>
    </row>
    <row r="2458" spans="1:7">
      <c r="A2458" t="s">
        <v>22</v>
      </c>
      <c r="B2458" t="s">
        <v>198</v>
      </c>
      <c r="C2458" s="32">
        <v>527.92999999999995</v>
      </c>
      <c r="D2458" s="33">
        <v>84</v>
      </c>
      <c r="E2458" t="s">
        <v>142</v>
      </c>
      <c r="F2458" t="s">
        <v>90</v>
      </c>
      <c r="G2458" s="33">
        <v>46</v>
      </c>
    </row>
    <row r="2459" spans="1:7">
      <c r="A2459" t="s">
        <v>22</v>
      </c>
      <c r="B2459" t="s">
        <v>198</v>
      </c>
      <c r="C2459" s="32">
        <v>528.01</v>
      </c>
      <c r="D2459" s="33">
        <v>85</v>
      </c>
      <c r="E2459" t="s">
        <v>143</v>
      </c>
      <c r="F2459" t="s">
        <v>93</v>
      </c>
      <c r="G2459" s="33">
        <v>46</v>
      </c>
    </row>
    <row r="2460" spans="1:7">
      <c r="A2460" t="s">
        <v>22</v>
      </c>
      <c r="B2460" t="s">
        <v>198</v>
      </c>
      <c r="C2460" s="32">
        <v>528.1</v>
      </c>
      <c r="D2460" s="33">
        <v>86</v>
      </c>
      <c r="E2460" t="s">
        <v>144</v>
      </c>
      <c r="F2460" t="s">
        <v>90</v>
      </c>
      <c r="G2460" s="33">
        <v>45</v>
      </c>
    </row>
    <row r="2461" spans="1:7">
      <c r="A2461" t="s">
        <v>22</v>
      </c>
      <c r="B2461" t="s">
        <v>198</v>
      </c>
      <c r="C2461" s="32">
        <v>528.17999999999995</v>
      </c>
      <c r="D2461" s="33">
        <v>87</v>
      </c>
      <c r="E2461" t="s">
        <v>145</v>
      </c>
      <c r="F2461" t="s">
        <v>96</v>
      </c>
      <c r="G2461" s="33">
        <v>46</v>
      </c>
    </row>
    <row r="2462" spans="1:7">
      <c r="A2462" t="s">
        <v>22</v>
      </c>
      <c r="B2462" t="s">
        <v>198</v>
      </c>
      <c r="C2462" s="32">
        <v>528.26</v>
      </c>
      <c r="D2462" s="33">
        <v>88</v>
      </c>
      <c r="E2462" t="s">
        <v>146</v>
      </c>
      <c r="F2462" t="s">
        <v>90</v>
      </c>
      <c r="G2462" s="33">
        <v>46</v>
      </c>
    </row>
    <row r="2463" spans="1:7">
      <c r="A2463" t="s">
        <v>22</v>
      </c>
      <c r="B2463" t="s">
        <v>198</v>
      </c>
      <c r="C2463" s="32">
        <v>528.35</v>
      </c>
      <c r="D2463" s="33">
        <v>89</v>
      </c>
      <c r="E2463" t="s">
        <v>148</v>
      </c>
      <c r="F2463" t="s">
        <v>93</v>
      </c>
      <c r="G2463" s="33">
        <v>46</v>
      </c>
    </row>
    <row r="2464" spans="1:7">
      <c r="A2464" t="s">
        <v>22</v>
      </c>
      <c r="B2464" t="s">
        <v>198</v>
      </c>
      <c r="C2464" s="32">
        <v>528.42999999999995</v>
      </c>
      <c r="D2464" s="33">
        <v>90</v>
      </c>
      <c r="E2464" t="s">
        <v>149</v>
      </c>
      <c r="F2464" t="s">
        <v>90</v>
      </c>
      <c r="G2464" s="33">
        <v>45</v>
      </c>
    </row>
    <row r="2465" spans="1:7">
      <c r="A2465" t="s">
        <v>22</v>
      </c>
      <c r="B2465" t="s">
        <v>198</v>
      </c>
      <c r="C2465" s="32">
        <v>528.51</v>
      </c>
      <c r="D2465" s="33">
        <v>91</v>
      </c>
      <c r="E2465" t="s">
        <v>150</v>
      </c>
      <c r="F2465" t="s">
        <v>90</v>
      </c>
      <c r="G2465" s="33">
        <v>46</v>
      </c>
    </row>
    <row r="2466" spans="1:7">
      <c r="A2466" t="s">
        <v>22</v>
      </c>
      <c r="B2466" t="s">
        <v>198</v>
      </c>
      <c r="C2466" s="32">
        <v>528.6</v>
      </c>
      <c r="D2466" s="33">
        <v>92</v>
      </c>
      <c r="E2466" t="s">
        <v>151</v>
      </c>
      <c r="F2466" t="s">
        <v>93</v>
      </c>
      <c r="G2466" s="33">
        <v>46</v>
      </c>
    </row>
    <row r="2467" spans="1:7">
      <c r="A2467" t="s">
        <v>22</v>
      </c>
      <c r="B2467" t="s">
        <v>198</v>
      </c>
      <c r="C2467" s="32">
        <v>528.67999999999995</v>
      </c>
      <c r="D2467" s="33">
        <v>93</v>
      </c>
      <c r="E2467" t="s">
        <v>152</v>
      </c>
      <c r="F2467" t="s">
        <v>90</v>
      </c>
      <c r="G2467" s="33">
        <v>46</v>
      </c>
    </row>
    <row r="2468" spans="1:7">
      <c r="A2468" t="s">
        <v>22</v>
      </c>
      <c r="B2468" t="s">
        <v>198</v>
      </c>
      <c r="C2468" s="32">
        <v>528.77</v>
      </c>
      <c r="D2468" s="33">
        <v>94</v>
      </c>
      <c r="E2468" t="s">
        <v>153</v>
      </c>
      <c r="F2468" t="s">
        <v>96</v>
      </c>
      <c r="G2468" s="33">
        <v>45</v>
      </c>
    </row>
    <row r="2469" spans="1:7">
      <c r="A2469" t="s">
        <v>22</v>
      </c>
      <c r="B2469" t="s">
        <v>198</v>
      </c>
      <c r="C2469" s="32">
        <v>528.85</v>
      </c>
      <c r="D2469" s="33">
        <v>95</v>
      </c>
      <c r="E2469" t="s">
        <v>120</v>
      </c>
      <c r="F2469" t="s">
        <v>90</v>
      </c>
      <c r="G2469" s="33">
        <v>46</v>
      </c>
    </row>
    <row r="2470" spans="1:7">
      <c r="A2470" t="s">
        <v>22</v>
      </c>
      <c r="B2470" t="s">
        <v>198</v>
      </c>
      <c r="C2470" s="32">
        <v>528.92999999999995</v>
      </c>
      <c r="D2470" s="33">
        <v>96</v>
      </c>
      <c r="E2470" t="s">
        <v>115</v>
      </c>
      <c r="F2470" t="s">
        <v>93</v>
      </c>
      <c r="G2470" s="33">
        <v>46</v>
      </c>
    </row>
    <row r="2471" spans="1:7">
      <c r="A2471" t="s">
        <v>22</v>
      </c>
      <c r="B2471" t="s">
        <v>198</v>
      </c>
      <c r="C2471" s="32">
        <v>529.02</v>
      </c>
      <c r="D2471" s="33">
        <v>97</v>
      </c>
      <c r="E2471" t="s">
        <v>116</v>
      </c>
      <c r="F2471" t="s">
        <v>102</v>
      </c>
      <c r="G2471" s="33">
        <v>46</v>
      </c>
    </row>
    <row r="2472" spans="1:7">
      <c r="A2472" t="s">
        <v>22</v>
      </c>
      <c r="B2472" t="s">
        <v>198</v>
      </c>
      <c r="C2472" s="32">
        <v>529.1</v>
      </c>
      <c r="D2472" s="33">
        <v>98</v>
      </c>
      <c r="E2472" t="s">
        <v>117</v>
      </c>
      <c r="F2472" t="s">
        <v>90</v>
      </c>
      <c r="G2472" s="33">
        <v>45</v>
      </c>
    </row>
    <row r="2473" spans="1:7">
      <c r="A2473" t="s">
        <v>22</v>
      </c>
      <c r="B2473" t="s">
        <v>198</v>
      </c>
      <c r="C2473" s="32">
        <v>529.17999999999995</v>
      </c>
      <c r="D2473" s="33">
        <v>99</v>
      </c>
      <c r="E2473" t="s">
        <v>118</v>
      </c>
      <c r="F2473" t="s">
        <v>93</v>
      </c>
      <c r="G2473" s="33">
        <v>46</v>
      </c>
    </row>
    <row r="2474" spans="1:7">
      <c r="A2474" t="s">
        <v>22</v>
      </c>
      <c r="B2474" t="s">
        <v>198</v>
      </c>
      <c r="C2474" s="32">
        <v>529.27</v>
      </c>
      <c r="D2474" s="33">
        <v>100</v>
      </c>
      <c r="E2474" t="s">
        <v>122</v>
      </c>
      <c r="F2474" t="s">
        <v>90</v>
      </c>
      <c r="G2474" s="33">
        <v>46</v>
      </c>
    </row>
    <row r="2475" spans="1:7">
      <c r="A2475" t="s">
        <v>22</v>
      </c>
      <c r="B2475" t="s">
        <v>198</v>
      </c>
      <c r="C2475" s="32">
        <v>529.35</v>
      </c>
      <c r="D2475" s="33">
        <v>101</v>
      </c>
      <c r="E2475" t="s">
        <v>124</v>
      </c>
      <c r="F2475" t="s">
        <v>96</v>
      </c>
      <c r="G2475" s="33">
        <v>46</v>
      </c>
    </row>
    <row r="2476" spans="1:7">
      <c r="A2476" t="s">
        <v>22</v>
      </c>
      <c r="B2476" t="s">
        <v>198</v>
      </c>
      <c r="C2476" s="32">
        <v>529.42999999999995</v>
      </c>
      <c r="D2476" s="33">
        <v>102</v>
      </c>
      <c r="E2476" t="s">
        <v>125</v>
      </c>
      <c r="F2476" t="s">
        <v>90</v>
      </c>
      <c r="G2476" s="33">
        <v>45</v>
      </c>
    </row>
    <row r="2477" spans="1:7">
      <c r="A2477" t="s">
        <v>22</v>
      </c>
      <c r="B2477" t="s">
        <v>198</v>
      </c>
      <c r="C2477" s="32">
        <v>529.52</v>
      </c>
      <c r="D2477" s="33">
        <v>103</v>
      </c>
      <c r="E2477" t="s">
        <v>127</v>
      </c>
      <c r="F2477" t="s">
        <v>93</v>
      </c>
      <c r="G2477" s="33">
        <v>46</v>
      </c>
    </row>
    <row r="2478" spans="1:7">
      <c r="A2478" t="s">
        <v>22</v>
      </c>
      <c r="B2478" t="s">
        <v>198</v>
      </c>
      <c r="C2478" s="32">
        <v>529.6</v>
      </c>
      <c r="D2478" s="33">
        <v>104</v>
      </c>
      <c r="E2478" t="s">
        <v>128</v>
      </c>
      <c r="F2478" t="s">
        <v>90</v>
      </c>
      <c r="G2478" s="33">
        <v>46</v>
      </c>
    </row>
    <row r="2479" spans="1:7">
      <c r="A2479" t="s">
        <v>22</v>
      </c>
      <c r="B2479" t="s">
        <v>199</v>
      </c>
      <c r="C2479" s="32">
        <v>531</v>
      </c>
      <c r="D2479" s="33">
        <v>1</v>
      </c>
      <c r="E2479" t="s">
        <v>122</v>
      </c>
      <c r="F2479" t="s">
        <v>90</v>
      </c>
      <c r="G2479" s="33">
        <v>46</v>
      </c>
    </row>
    <row r="2480" spans="1:7">
      <c r="A2480" t="s">
        <v>22</v>
      </c>
      <c r="B2480" t="s">
        <v>199</v>
      </c>
      <c r="C2480" s="32">
        <v>531.08000000000004</v>
      </c>
      <c r="D2480" s="33">
        <v>2</v>
      </c>
      <c r="E2480" t="s">
        <v>124</v>
      </c>
      <c r="F2480" t="s">
        <v>93</v>
      </c>
      <c r="G2480" s="33">
        <v>46</v>
      </c>
    </row>
    <row r="2481" spans="1:7">
      <c r="A2481" t="s">
        <v>22</v>
      </c>
      <c r="B2481" t="s">
        <v>199</v>
      </c>
      <c r="C2481" s="32">
        <v>531.16</v>
      </c>
      <c r="D2481" s="33">
        <v>3</v>
      </c>
      <c r="E2481" t="s">
        <v>125</v>
      </c>
      <c r="F2481" t="s">
        <v>90</v>
      </c>
      <c r="G2481" s="33">
        <v>45</v>
      </c>
    </row>
    <row r="2482" spans="1:7">
      <c r="A2482" t="s">
        <v>22</v>
      </c>
      <c r="B2482" t="s">
        <v>199</v>
      </c>
      <c r="C2482" s="32">
        <v>531.24</v>
      </c>
      <c r="D2482" s="33">
        <v>4</v>
      </c>
      <c r="E2482" t="s">
        <v>127</v>
      </c>
      <c r="F2482" t="s">
        <v>96</v>
      </c>
      <c r="G2482" s="33">
        <v>46</v>
      </c>
    </row>
    <row r="2483" spans="1:7">
      <c r="A2483" t="s">
        <v>22</v>
      </c>
      <c r="B2483" t="s">
        <v>199</v>
      </c>
      <c r="C2483" s="32">
        <v>531.32000000000005</v>
      </c>
      <c r="D2483" s="33">
        <v>5</v>
      </c>
      <c r="E2483" t="s">
        <v>128</v>
      </c>
      <c r="F2483" t="s">
        <v>90</v>
      </c>
      <c r="G2483" s="33">
        <v>46</v>
      </c>
    </row>
    <row r="2484" spans="1:7">
      <c r="A2484" t="s">
        <v>22</v>
      </c>
      <c r="B2484" t="s">
        <v>199</v>
      </c>
      <c r="C2484" s="32">
        <v>531.41</v>
      </c>
      <c r="D2484" s="33">
        <v>6</v>
      </c>
      <c r="E2484" t="s">
        <v>129</v>
      </c>
      <c r="F2484" t="s">
        <v>93</v>
      </c>
      <c r="G2484" s="33">
        <v>46</v>
      </c>
    </row>
    <row r="2485" spans="1:7">
      <c r="A2485" t="s">
        <v>22</v>
      </c>
      <c r="B2485" t="s">
        <v>199</v>
      </c>
      <c r="C2485" s="32">
        <v>531.49</v>
      </c>
      <c r="D2485" s="33">
        <v>7</v>
      </c>
      <c r="E2485" t="s">
        <v>130</v>
      </c>
      <c r="F2485" t="s">
        <v>90</v>
      </c>
      <c r="G2485" s="33">
        <v>46</v>
      </c>
    </row>
    <row r="2486" spans="1:7">
      <c r="A2486" t="s">
        <v>22</v>
      </c>
      <c r="B2486" t="s">
        <v>199</v>
      </c>
      <c r="C2486" s="32">
        <v>531.57000000000005</v>
      </c>
      <c r="D2486" s="33">
        <v>8</v>
      </c>
      <c r="E2486" t="s">
        <v>131</v>
      </c>
      <c r="F2486" t="s">
        <v>90</v>
      </c>
      <c r="G2486" s="33">
        <v>45</v>
      </c>
    </row>
    <row r="2487" spans="1:7">
      <c r="A2487" t="s">
        <v>22</v>
      </c>
      <c r="B2487" t="s">
        <v>199</v>
      </c>
      <c r="C2487" s="32">
        <v>531.65</v>
      </c>
      <c r="D2487" s="33">
        <v>9</v>
      </c>
      <c r="E2487" t="s">
        <v>133</v>
      </c>
      <c r="F2487" t="s">
        <v>93</v>
      </c>
      <c r="G2487" s="33">
        <v>46</v>
      </c>
    </row>
    <row r="2488" spans="1:7">
      <c r="A2488" t="s">
        <v>22</v>
      </c>
      <c r="B2488" t="s">
        <v>199</v>
      </c>
      <c r="C2488" s="32">
        <v>531.73</v>
      </c>
      <c r="D2488" s="33">
        <v>10</v>
      </c>
      <c r="E2488" t="s">
        <v>134</v>
      </c>
      <c r="F2488" t="s">
        <v>90</v>
      </c>
      <c r="G2488" s="33">
        <v>46</v>
      </c>
    </row>
    <row r="2489" spans="1:7">
      <c r="A2489" t="s">
        <v>22</v>
      </c>
      <c r="B2489" t="s">
        <v>199</v>
      </c>
      <c r="C2489" s="32">
        <v>531.80999999999995</v>
      </c>
      <c r="D2489" s="33">
        <v>11</v>
      </c>
      <c r="E2489" t="s">
        <v>135</v>
      </c>
      <c r="F2489" t="s">
        <v>96</v>
      </c>
      <c r="G2489" s="33">
        <v>46</v>
      </c>
    </row>
    <row r="2490" spans="1:7">
      <c r="A2490" t="s">
        <v>22</v>
      </c>
      <c r="B2490" t="s">
        <v>199</v>
      </c>
      <c r="C2490" s="32">
        <v>531.89</v>
      </c>
      <c r="D2490" s="33">
        <v>12</v>
      </c>
      <c r="E2490" t="s">
        <v>136</v>
      </c>
      <c r="F2490" t="s">
        <v>90</v>
      </c>
      <c r="G2490" s="33">
        <v>46</v>
      </c>
    </row>
    <row r="2491" spans="1:7">
      <c r="A2491" t="s">
        <v>22</v>
      </c>
      <c r="B2491" t="s">
        <v>199</v>
      </c>
      <c r="C2491" s="32">
        <v>531.97</v>
      </c>
      <c r="D2491" s="33">
        <v>13</v>
      </c>
      <c r="E2491" t="s">
        <v>137</v>
      </c>
      <c r="F2491" t="s">
        <v>93</v>
      </c>
      <c r="G2491" s="33">
        <v>45</v>
      </c>
    </row>
    <row r="2492" spans="1:7">
      <c r="A2492" t="s">
        <v>22</v>
      </c>
      <c r="B2492" t="s">
        <v>199</v>
      </c>
      <c r="C2492" s="32">
        <v>532.04999999999995</v>
      </c>
      <c r="D2492" s="33">
        <v>14</v>
      </c>
      <c r="E2492" t="s">
        <v>138</v>
      </c>
      <c r="F2492" t="s">
        <v>102</v>
      </c>
      <c r="G2492" s="33">
        <v>46</v>
      </c>
    </row>
    <row r="2493" spans="1:7">
      <c r="A2493" t="s">
        <v>22</v>
      </c>
      <c r="B2493" t="s">
        <v>199</v>
      </c>
      <c r="C2493" s="32">
        <v>532.14</v>
      </c>
      <c r="D2493" s="33">
        <v>15</v>
      </c>
      <c r="E2493" t="s">
        <v>140</v>
      </c>
      <c r="F2493" t="s">
        <v>90</v>
      </c>
      <c r="G2493" s="33">
        <v>46</v>
      </c>
    </row>
    <row r="2494" spans="1:7">
      <c r="A2494" t="s">
        <v>22</v>
      </c>
      <c r="B2494" t="s">
        <v>199</v>
      </c>
      <c r="C2494" s="32">
        <v>532.22</v>
      </c>
      <c r="D2494" s="33">
        <v>16</v>
      </c>
      <c r="E2494" t="s">
        <v>141</v>
      </c>
      <c r="F2494" t="s">
        <v>93</v>
      </c>
      <c r="G2494" s="33">
        <v>46</v>
      </c>
    </row>
    <row r="2495" spans="1:7">
      <c r="A2495" t="s">
        <v>22</v>
      </c>
      <c r="B2495" t="s">
        <v>199</v>
      </c>
      <c r="C2495" s="32">
        <v>532.29999999999995</v>
      </c>
      <c r="D2495" s="33">
        <v>17</v>
      </c>
      <c r="E2495" t="s">
        <v>142</v>
      </c>
      <c r="F2495" t="s">
        <v>90</v>
      </c>
      <c r="G2495" s="33">
        <v>46</v>
      </c>
    </row>
    <row r="2496" spans="1:7">
      <c r="A2496" t="s">
        <v>22</v>
      </c>
      <c r="B2496" t="s">
        <v>199</v>
      </c>
      <c r="C2496" s="32">
        <v>532.38</v>
      </c>
      <c r="D2496" s="33">
        <v>18</v>
      </c>
      <c r="E2496" t="s">
        <v>143</v>
      </c>
      <c r="F2496" t="s">
        <v>96</v>
      </c>
      <c r="G2496" s="33">
        <v>45</v>
      </c>
    </row>
    <row r="2497" spans="1:7">
      <c r="A2497" t="s">
        <v>22</v>
      </c>
      <c r="B2497" t="s">
        <v>199</v>
      </c>
      <c r="C2497" s="32">
        <v>532.46</v>
      </c>
      <c r="D2497" s="33">
        <v>19</v>
      </c>
      <c r="E2497" t="s">
        <v>144</v>
      </c>
      <c r="F2497" t="s">
        <v>90</v>
      </c>
      <c r="G2497" s="33">
        <v>46</v>
      </c>
    </row>
    <row r="2498" spans="1:7">
      <c r="A2498" t="s">
        <v>22</v>
      </c>
      <c r="B2498" t="s">
        <v>199</v>
      </c>
      <c r="C2498" s="32">
        <v>532.54</v>
      </c>
      <c r="D2498" s="33">
        <v>20</v>
      </c>
      <c r="E2498" t="s">
        <v>145</v>
      </c>
      <c r="F2498" t="s">
        <v>93</v>
      </c>
      <c r="G2498" s="33">
        <v>46</v>
      </c>
    </row>
    <row r="2499" spans="1:7">
      <c r="A2499" t="s">
        <v>22</v>
      </c>
      <c r="B2499" t="s">
        <v>199</v>
      </c>
      <c r="C2499" s="32">
        <v>532.62</v>
      </c>
      <c r="D2499" s="33">
        <v>21</v>
      </c>
      <c r="E2499" t="s">
        <v>146</v>
      </c>
      <c r="F2499" t="s">
        <v>90</v>
      </c>
      <c r="G2499" s="33">
        <v>46</v>
      </c>
    </row>
    <row r="2500" spans="1:7">
      <c r="A2500" t="s">
        <v>22</v>
      </c>
      <c r="B2500" t="s">
        <v>199</v>
      </c>
      <c r="C2500" s="32">
        <v>532.70000000000005</v>
      </c>
      <c r="D2500" s="33">
        <v>22</v>
      </c>
      <c r="E2500" t="s">
        <v>148</v>
      </c>
      <c r="F2500" t="s">
        <v>90</v>
      </c>
      <c r="G2500" s="33">
        <v>45</v>
      </c>
    </row>
    <row r="2501" spans="1:7">
      <c r="A2501" t="s">
        <v>22</v>
      </c>
      <c r="B2501" t="s">
        <v>199</v>
      </c>
      <c r="C2501" s="32">
        <v>532.78</v>
      </c>
      <c r="D2501" s="33">
        <v>23</v>
      </c>
      <c r="E2501" t="s">
        <v>149</v>
      </c>
      <c r="F2501" t="s">
        <v>93</v>
      </c>
      <c r="G2501" s="33">
        <v>46</v>
      </c>
    </row>
    <row r="2502" spans="1:7">
      <c r="A2502" t="s">
        <v>22</v>
      </c>
      <c r="B2502" t="s">
        <v>199</v>
      </c>
      <c r="C2502" s="32">
        <v>532.87</v>
      </c>
      <c r="D2502" s="33">
        <v>24</v>
      </c>
      <c r="E2502" t="s">
        <v>150</v>
      </c>
      <c r="F2502" t="s">
        <v>90</v>
      </c>
      <c r="G2502" s="33">
        <v>46</v>
      </c>
    </row>
    <row r="2503" spans="1:7">
      <c r="A2503" t="s">
        <v>22</v>
      </c>
      <c r="B2503" t="s">
        <v>199</v>
      </c>
      <c r="C2503" s="32">
        <v>532.95000000000005</v>
      </c>
      <c r="D2503" s="33">
        <v>25</v>
      </c>
      <c r="E2503" t="s">
        <v>151</v>
      </c>
      <c r="F2503" t="s">
        <v>96</v>
      </c>
      <c r="G2503" s="33">
        <v>46</v>
      </c>
    </row>
    <row r="2504" spans="1:7">
      <c r="A2504" t="s">
        <v>22</v>
      </c>
      <c r="B2504" t="s">
        <v>199</v>
      </c>
      <c r="C2504" s="32">
        <v>533.03</v>
      </c>
      <c r="D2504" s="33">
        <v>26</v>
      </c>
      <c r="E2504" t="s">
        <v>152</v>
      </c>
      <c r="F2504" t="s">
        <v>90</v>
      </c>
      <c r="G2504" s="33">
        <v>46</v>
      </c>
    </row>
    <row r="2505" spans="1:7">
      <c r="A2505" t="s">
        <v>22</v>
      </c>
      <c r="B2505" t="s">
        <v>199</v>
      </c>
      <c r="C2505" s="32">
        <v>533.11</v>
      </c>
      <c r="D2505" s="33">
        <v>27</v>
      </c>
      <c r="E2505" t="s">
        <v>153</v>
      </c>
      <c r="F2505" t="s">
        <v>93</v>
      </c>
      <c r="G2505" s="33">
        <v>45</v>
      </c>
    </row>
    <row r="2506" spans="1:7">
      <c r="A2506" t="s">
        <v>22</v>
      </c>
      <c r="B2506" t="s">
        <v>199</v>
      </c>
      <c r="C2506" s="32">
        <v>533.19000000000005</v>
      </c>
      <c r="D2506" s="33">
        <v>28</v>
      </c>
      <c r="E2506" t="s">
        <v>120</v>
      </c>
      <c r="F2506" t="s">
        <v>102</v>
      </c>
      <c r="G2506" s="33">
        <v>46</v>
      </c>
    </row>
    <row r="2507" spans="1:7">
      <c r="A2507" t="s">
        <v>22</v>
      </c>
      <c r="B2507" t="s">
        <v>199</v>
      </c>
      <c r="C2507" s="32">
        <v>533.27</v>
      </c>
      <c r="D2507" s="33">
        <v>29</v>
      </c>
      <c r="E2507" t="s">
        <v>115</v>
      </c>
      <c r="F2507" t="s">
        <v>90</v>
      </c>
      <c r="G2507" s="33">
        <v>46</v>
      </c>
    </row>
    <row r="2508" spans="1:7">
      <c r="A2508" t="s">
        <v>22</v>
      </c>
      <c r="B2508" t="s">
        <v>199</v>
      </c>
      <c r="C2508" s="32">
        <v>533.35</v>
      </c>
      <c r="D2508" s="33">
        <v>30</v>
      </c>
      <c r="E2508" t="s">
        <v>116</v>
      </c>
      <c r="F2508" t="s">
        <v>93</v>
      </c>
      <c r="G2508" s="33">
        <v>46</v>
      </c>
    </row>
    <row r="2509" spans="1:7">
      <c r="A2509" t="s">
        <v>22</v>
      </c>
      <c r="B2509" t="s">
        <v>199</v>
      </c>
      <c r="C2509" s="32">
        <v>533.42999999999995</v>
      </c>
      <c r="D2509" s="33">
        <v>31</v>
      </c>
      <c r="E2509" t="s">
        <v>117</v>
      </c>
      <c r="F2509" t="s">
        <v>90</v>
      </c>
      <c r="G2509" s="33">
        <v>46</v>
      </c>
    </row>
    <row r="2510" spans="1:7">
      <c r="A2510" t="s">
        <v>22</v>
      </c>
      <c r="B2510" t="s">
        <v>199</v>
      </c>
      <c r="C2510" s="32">
        <v>533.52</v>
      </c>
      <c r="D2510" s="33">
        <v>32</v>
      </c>
      <c r="E2510" t="s">
        <v>118</v>
      </c>
      <c r="F2510" t="s">
        <v>96</v>
      </c>
      <c r="G2510" s="33">
        <v>45</v>
      </c>
    </row>
    <row r="2511" spans="1:7">
      <c r="A2511" t="s">
        <v>22</v>
      </c>
      <c r="B2511" t="s">
        <v>199</v>
      </c>
      <c r="C2511" s="32">
        <v>533.6</v>
      </c>
      <c r="D2511" s="33">
        <v>33</v>
      </c>
      <c r="E2511" t="s">
        <v>122</v>
      </c>
      <c r="F2511" t="s">
        <v>90</v>
      </c>
      <c r="G2511" s="33">
        <v>46</v>
      </c>
    </row>
    <row r="2512" spans="1:7">
      <c r="A2512" t="s">
        <v>22</v>
      </c>
      <c r="B2512" t="s">
        <v>199</v>
      </c>
      <c r="C2512" s="32">
        <v>533.67999999999995</v>
      </c>
      <c r="D2512" s="33">
        <v>34</v>
      </c>
      <c r="E2512" t="s">
        <v>124</v>
      </c>
      <c r="F2512" t="s">
        <v>93</v>
      </c>
      <c r="G2512" s="33">
        <v>46</v>
      </c>
    </row>
    <row r="2513" spans="1:7">
      <c r="A2513" t="s">
        <v>22</v>
      </c>
      <c r="B2513" t="s">
        <v>199</v>
      </c>
      <c r="C2513" s="32">
        <v>533.76</v>
      </c>
      <c r="D2513" s="33">
        <v>35</v>
      </c>
      <c r="E2513" t="s">
        <v>125</v>
      </c>
      <c r="F2513" t="s">
        <v>90</v>
      </c>
      <c r="G2513" s="33">
        <v>46</v>
      </c>
    </row>
    <row r="2514" spans="1:7">
      <c r="A2514" t="s">
        <v>22</v>
      </c>
      <c r="B2514" t="s">
        <v>199</v>
      </c>
      <c r="C2514" s="32">
        <v>533.84</v>
      </c>
      <c r="D2514" s="33">
        <v>36</v>
      </c>
      <c r="E2514" t="s">
        <v>127</v>
      </c>
      <c r="F2514" t="s">
        <v>90</v>
      </c>
      <c r="G2514" s="33">
        <v>46</v>
      </c>
    </row>
    <row r="2515" spans="1:7">
      <c r="A2515" t="s">
        <v>22</v>
      </c>
      <c r="B2515" t="s">
        <v>199</v>
      </c>
      <c r="C2515" s="32">
        <v>533.91999999999996</v>
      </c>
      <c r="D2515" s="33">
        <v>37</v>
      </c>
      <c r="E2515" t="s">
        <v>128</v>
      </c>
      <c r="F2515" t="s">
        <v>93</v>
      </c>
      <c r="G2515" s="33">
        <v>45</v>
      </c>
    </row>
    <row r="2516" spans="1:7">
      <c r="A2516" t="s">
        <v>22</v>
      </c>
      <c r="B2516" t="s">
        <v>199</v>
      </c>
      <c r="C2516" s="32">
        <v>534</v>
      </c>
      <c r="D2516" s="33">
        <v>38</v>
      </c>
      <c r="E2516" t="s">
        <v>129</v>
      </c>
      <c r="F2516" t="s">
        <v>90</v>
      </c>
      <c r="G2516" s="33">
        <v>46</v>
      </c>
    </row>
    <row r="2517" spans="1:7">
      <c r="A2517" t="s">
        <v>22</v>
      </c>
      <c r="B2517" t="s">
        <v>199</v>
      </c>
      <c r="C2517" s="32">
        <v>534.08000000000004</v>
      </c>
      <c r="D2517" s="33">
        <v>39</v>
      </c>
      <c r="E2517" t="s">
        <v>130</v>
      </c>
      <c r="F2517" t="s">
        <v>96</v>
      </c>
      <c r="G2517" s="33">
        <v>46</v>
      </c>
    </row>
    <row r="2518" spans="1:7">
      <c r="A2518" t="s">
        <v>22</v>
      </c>
      <c r="B2518" t="s">
        <v>199</v>
      </c>
      <c r="C2518" s="32">
        <v>534.16</v>
      </c>
      <c r="D2518" s="33">
        <v>40</v>
      </c>
      <c r="E2518" t="s">
        <v>131</v>
      </c>
      <c r="F2518" t="s">
        <v>90</v>
      </c>
      <c r="G2518" s="33">
        <v>46</v>
      </c>
    </row>
    <row r="2519" spans="1:7">
      <c r="A2519" t="s">
        <v>22</v>
      </c>
      <c r="B2519" t="s">
        <v>199</v>
      </c>
      <c r="C2519" s="32">
        <v>534.25</v>
      </c>
      <c r="D2519" s="33">
        <v>41</v>
      </c>
      <c r="E2519" t="s">
        <v>133</v>
      </c>
      <c r="F2519" t="s">
        <v>93</v>
      </c>
      <c r="G2519" s="33">
        <v>46</v>
      </c>
    </row>
    <row r="2520" spans="1:7">
      <c r="A2520" t="s">
        <v>22</v>
      </c>
      <c r="B2520" t="s">
        <v>199</v>
      </c>
      <c r="C2520" s="32">
        <v>534.33000000000004</v>
      </c>
      <c r="D2520" s="33">
        <v>42</v>
      </c>
      <c r="E2520" t="s">
        <v>134</v>
      </c>
      <c r="F2520" t="s">
        <v>102</v>
      </c>
      <c r="G2520" s="33">
        <v>45</v>
      </c>
    </row>
    <row r="2521" spans="1:7">
      <c r="A2521" t="s">
        <v>22</v>
      </c>
      <c r="B2521" t="s">
        <v>199</v>
      </c>
      <c r="C2521" s="32">
        <v>534.41</v>
      </c>
      <c r="D2521" s="33">
        <v>43</v>
      </c>
      <c r="E2521" t="s">
        <v>135</v>
      </c>
      <c r="F2521" t="s">
        <v>90</v>
      </c>
      <c r="G2521" s="33">
        <v>46</v>
      </c>
    </row>
    <row r="2522" spans="1:7">
      <c r="A2522" t="s">
        <v>22</v>
      </c>
      <c r="B2522" t="s">
        <v>199</v>
      </c>
      <c r="C2522" s="32">
        <v>534.49</v>
      </c>
      <c r="D2522" s="33">
        <v>44</v>
      </c>
      <c r="E2522" t="s">
        <v>136</v>
      </c>
      <c r="F2522" t="s">
        <v>93</v>
      </c>
      <c r="G2522" s="33">
        <v>46</v>
      </c>
    </row>
    <row r="2523" spans="1:7">
      <c r="A2523" t="s">
        <v>22</v>
      </c>
      <c r="B2523" t="s">
        <v>199</v>
      </c>
      <c r="C2523" s="32">
        <v>534.57000000000005</v>
      </c>
      <c r="D2523" s="33">
        <v>45</v>
      </c>
      <c r="E2523" t="s">
        <v>137</v>
      </c>
      <c r="F2523" t="s">
        <v>90</v>
      </c>
      <c r="G2523" s="33">
        <v>46</v>
      </c>
    </row>
    <row r="2524" spans="1:7">
      <c r="A2524" t="s">
        <v>22</v>
      </c>
      <c r="B2524" t="s">
        <v>199</v>
      </c>
      <c r="C2524" s="32">
        <v>534.65</v>
      </c>
      <c r="D2524" s="33">
        <v>46</v>
      </c>
      <c r="E2524" t="s">
        <v>138</v>
      </c>
      <c r="F2524" t="s">
        <v>96</v>
      </c>
      <c r="G2524" s="33">
        <v>46</v>
      </c>
    </row>
    <row r="2525" spans="1:7">
      <c r="A2525" t="s">
        <v>22</v>
      </c>
      <c r="B2525" t="s">
        <v>199</v>
      </c>
      <c r="C2525" s="32">
        <v>534.73</v>
      </c>
      <c r="D2525" s="33">
        <v>47</v>
      </c>
      <c r="E2525" t="s">
        <v>140</v>
      </c>
      <c r="F2525" t="s">
        <v>90</v>
      </c>
      <c r="G2525" s="33">
        <v>45</v>
      </c>
    </row>
    <row r="2526" spans="1:7">
      <c r="A2526" t="s">
        <v>22</v>
      </c>
      <c r="B2526" t="s">
        <v>199</v>
      </c>
      <c r="C2526" s="32">
        <v>534.80999999999995</v>
      </c>
      <c r="D2526" s="33">
        <v>48</v>
      </c>
      <c r="E2526" t="s">
        <v>141</v>
      </c>
      <c r="F2526" t="s">
        <v>93</v>
      </c>
      <c r="G2526" s="33">
        <v>46</v>
      </c>
    </row>
    <row r="2527" spans="1:7">
      <c r="A2527" t="s">
        <v>22</v>
      </c>
      <c r="B2527" t="s">
        <v>199</v>
      </c>
      <c r="C2527" s="32">
        <v>534.89</v>
      </c>
      <c r="D2527" s="33">
        <v>49</v>
      </c>
      <c r="E2527" t="s">
        <v>142</v>
      </c>
      <c r="F2527" t="s">
        <v>90</v>
      </c>
      <c r="G2527" s="33">
        <v>46</v>
      </c>
    </row>
    <row r="2528" spans="1:7">
      <c r="A2528" t="s">
        <v>22</v>
      </c>
      <c r="B2528" t="s">
        <v>199</v>
      </c>
      <c r="C2528" s="32">
        <v>534.98</v>
      </c>
      <c r="D2528" s="33">
        <v>50</v>
      </c>
      <c r="E2528" t="s">
        <v>143</v>
      </c>
      <c r="F2528" t="s">
        <v>90</v>
      </c>
      <c r="G2528" s="33">
        <v>46</v>
      </c>
    </row>
    <row r="2529" spans="1:7">
      <c r="A2529" t="s">
        <v>22</v>
      </c>
      <c r="B2529" t="s">
        <v>199</v>
      </c>
      <c r="C2529" s="32">
        <v>535.05999999999995</v>
      </c>
      <c r="D2529" s="33">
        <v>51</v>
      </c>
      <c r="E2529" t="s">
        <v>144</v>
      </c>
      <c r="F2529" t="s">
        <v>93</v>
      </c>
      <c r="G2529" s="33">
        <v>46</v>
      </c>
    </row>
    <row r="2530" spans="1:7">
      <c r="A2530" t="s">
        <v>22</v>
      </c>
      <c r="B2530" t="s">
        <v>199</v>
      </c>
      <c r="C2530" s="32">
        <v>535.14</v>
      </c>
      <c r="D2530" s="33">
        <v>52</v>
      </c>
      <c r="E2530" t="s">
        <v>145</v>
      </c>
      <c r="F2530" t="s">
        <v>90</v>
      </c>
      <c r="G2530" s="33">
        <v>45</v>
      </c>
    </row>
    <row r="2531" spans="1:7">
      <c r="A2531" t="s">
        <v>22</v>
      </c>
      <c r="B2531" t="s">
        <v>199</v>
      </c>
      <c r="C2531" s="32">
        <v>535.22</v>
      </c>
      <c r="D2531" s="33">
        <v>53</v>
      </c>
      <c r="E2531" t="s">
        <v>146</v>
      </c>
      <c r="F2531" t="s">
        <v>96</v>
      </c>
      <c r="G2531" s="33">
        <v>46</v>
      </c>
    </row>
    <row r="2532" spans="1:7">
      <c r="A2532" t="s">
        <v>22</v>
      </c>
      <c r="B2532" t="s">
        <v>199</v>
      </c>
      <c r="C2532" s="32">
        <v>535.29999999999995</v>
      </c>
      <c r="D2532" s="33">
        <v>54</v>
      </c>
      <c r="E2532" t="s">
        <v>148</v>
      </c>
      <c r="F2532" t="s">
        <v>90</v>
      </c>
      <c r="G2532" s="33">
        <v>46</v>
      </c>
    </row>
    <row r="2533" spans="1:7">
      <c r="A2533" t="s">
        <v>22</v>
      </c>
      <c r="B2533" t="s">
        <v>199</v>
      </c>
      <c r="C2533" s="32">
        <v>535.38</v>
      </c>
      <c r="D2533" s="33">
        <v>55</v>
      </c>
      <c r="E2533" t="s">
        <v>149</v>
      </c>
      <c r="F2533" t="s">
        <v>93</v>
      </c>
      <c r="G2533" s="33">
        <v>46</v>
      </c>
    </row>
    <row r="2534" spans="1:7">
      <c r="A2534" t="s">
        <v>22</v>
      </c>
      <c r="B2534" t="s">
        <v>199</v>
      </c>
      <c r="C2534" s="32">
        <v>535.46</v>
      </c>
      <c r="D2534" s="33">
        <v>56</v>
      </c>
      <c r="E2534" t="s">
        <v>150</v>
      </c>
      <c r="F2534" t="s">
        <v>102</v>
      </c>
      <c r="G2534" s="33">
        <v>45</v>
      </c>
    </row>
    <row r="2535" spans="1:7">
      <c r="A2535" t="s">
        <v>22</v>
      </c>
      <c r="B2535" t="s">
        <v>199</v>
      </c>
      <c r="C2535" s="32">
        <v>535.54</v>
      </c>
      <c r="D2535" s="33">
        <v>57</v>
      </c>
      <c r="E2535" t="s">
        <v>151</v>
      </c>
      <c r="F2535" t="s">
        <v>93</v>
      </c>
      <c r="G2535" s="33">
        <v>46</v>
      </c>
    </row>
    <row r="2536" spans="1:7">
      <c r="A2536" t="s">
        <v>22</v>
      </c>
      <c r="B2536" t="s">
        <v>199</v>
      </c>
      <c r="C2536" s="32">
        <v>535.62</v>
      </c>
      <c r="D2536" s="33">
        <v>58</v>
      </c>
      <c r="E2536" t="s">
        <v>152</v>
      </c>
      <c r="F2536" t="s">
        <v>90</v>
      </c>
      <c r="G2536" s="33">
        <v>46</v>
      </c>
    </row>
    <row r="2537" spans="1:7">
      <c r="A2537" t="s">
        <v>22</v>
      </c>
      <c r="B2537" t="s">
        <v>199</v>
      </c>
      <c r="C2537" s="32">
        <v>535.71</v>
      </c>
      <c r="D2537" s="33">
        <v>59</v>
      </c>
      <c r="E2537" t="s">
        <v>153</v>
      </c>
      <c r="F2537" t="s">
        <v>90</v>
      </c>
      <c r="G2537" s="33">
        <v>46</v>
      </c>
    </row>
    <row r="2538" spans="1:7">
      <c r="A2538" t="s">
        <v>22</v>
      </c>
      <c r="B2538" t="s">
        <v>199</v>
      </c>
      <c r="C2538" s="32">
        <v>535.79</v>
      </c>
      <c r="D2538" s="33">
        <v>60</v>
      </c>
      <c r="E2538" t="s">
        <v>120</v>
      </c>
      <c r="F2538" t="s">
        <v>96</v>
      </c>
      <c r="G2538" s="33">
        <v>46</v>
      </c>
    </row>
    <row r="2539" spans="1:7">
      <c r="A2539" t="s">
        <v>22</v>
      </c>
      <c r="B2539" t="s">
        <v>199</v>
      </c>
      <c r="C2539" s="32">
        <v>535.87</v>
      </c>
      <c r="D2539" s="33">
        <v>61</v>
      </c>
      <c r="E2539" t="s">
        <v>115</v>
      </c>
      <c r="F2539" t="s">
        <v>90</v>
      </c>
      <c r="G2539" s="33">
        <v>45</v>
      </c>
    </row>
    <row r="2540" spans="1:7">
      <c r="A2540" t="s">
        <v>22</v>
      </c>
      <c r="B2540" t="s">
        <v>199</v>
      </c>
      <c r="C2540" s="32">
        <v>535.95000000000005</v>
      </c>
      <c r="D2540" s="33">
        <v>62</v>
      </c>
      <c r="E2540" t="s">
        <v>116</v>
      </c>
      <c r="F2540" t="s">
        <v>93</v>
      </c>
      <c r="G2540" s="33">
        <v>46</v>
      </c>
    </row>
    <row r="2541" spans="1:7">
      <c r="A2541" t="s">
        <v>22</v>
      </c>
      <c r="B2541" t="s">
        <v>199</v>
      </c>
      <c r="C2541" s="32">
        <v>536.03</v>
      </c>
      <c r="D2541" s="33">
        <v>63</v>
      </c>
      <c r="E2541" t="s">
        <v>117</v>
      </c>
      <c r="F2541" t="s">
        <v>90</v>
      </c>
      <c r="G2541" s="33">
        <v>46</v>
      </c>
    </row>
    <row r="2542" spans="1:7">
      <c r="A2542" t="s">
        <v>22</v>
      </c>
      <c r="B2542" t="s">
        <v>199</v>
      </c>
      <c r="C2542" s="32">
        <v>536.11</v>
      </c>
      <c r="D2542" s="33">
        <v>64</v>
      </c>
      <c r="E2542" t="s">
        <v>118</v>
      </c>
      <c r="F2542" t="s">
        <v>93</v>
      </c>
      <c r="G2542" s="33">
        <v>46</v>
      </c>
    </row>
    <row r="2543" spans="1:7">
      <c r="A2543" t="s">
        <v>22</v>
      </c>
      <c r="B2543" t="s">
        <v>199</v>
      </c>
      <c r="C2543" s="32">
        <v>536.19000000000005</v>
      </c>
      <c r="D2543" s="33">
        <v>65</v>
      </c>
      <c r="E2543" t="s">
        <v>122</v>
      </c>
      <c r="F2543" t="s">
        <v>90</v>
      </c>
      <c r="G2543" s="33">
        <v>46</v>
      </c>
    </row>
    <row r="2544" spans="1:7">
      <c r="A2544" t="s">
        <v>22</v>
      </c>
      <c r="B2544" t="s">
        <v>199</v>
      </c>
      <c r="C2544" s="32">
        <v>536.27</v>
      </c>
      <c r="D2544" s="33">
        <v>66</v>
      </c>
      <c r="E2544" t="s">
        <v>124</v>
      </c>
      <c r="F2544" t="s">
        <v>90</v>
      </c>
      <c r="G2544" s="33">
        <v>45</v>
      </c>
    </row>
    <row r="2545" spans="1:7">
      <c r="A2545" t="s">
        <v>22</v>
      </c>
      <c r="B2545" t="s">
        <v>199</v>
      </c>
      <c r="C2545" s="32">
        <v>536.35</v>
      </c>
      <c r="D2545" s="33">
        <v>67</v>
      </c>
      <c r="E2545" t="s">
        <v>125</v>
      </c>
      <c r="F2545" t="s">
        <v>93</v>
      </c>
      <c r="G2545" s="33">
        <v>46</v>
      </c>
    </row>
    <row r="2546" spans="1:7">
      <c r="A2546" t="s">
        <v>22</v>
      </c>
      <c r="B2546" t="s">
        <v>199</v>
      </c>
      <c r="C2546" s="32">
        <v>536.44000000000005</v>
      </c>
      <c r="D2546" s="33">
        <v>68</v>
      </c>
      <c r="E2546" t="s">
        <v>127</v>
      </c>
      <c r="F2546" t="s">
        <v>90</v>
      </c>
      <c r="G2546" s="33">
        <v>46</v>
      </c>
    </row>
    <row r="2547" spans="1:7">
      <c r="A2547" t="s">
        <v>22</v>
      </c>
      <c r="B2547" t="s">
        <v>199</v>
      </c>
      <c r="C2547" s="32">
        <v>536.52</v>
      </c>
      <c r="D2547" s="33">
        <v>69</v>
      </c>
      <c r="E2547" t="s">
        <v>128</v>
      </c>
      <c r="F2547" t="s">
        <v>96</v>
      </c>
      <c r="G2547" s="33">
        <v>46</v>
      </c>
    </row>
    <row r="2548" spans="1:7">
      <c r="A2548" t="s">
        <v>22</v>
      </c>
      <c r="B2548" t="s">
        <v>199</v>
      </c>
      <c r="C2548" s="32">
        <v>536.6</v>
      </c>
      <c r="D2548" s="33">
        <v>70</v>
      </c>
      <c r="E2548" t="s">
        <v>129</v>
      </c>
      <c r="F2548" t="s">
        <v>102</v>
      </c>
      <c r="G2548" s="33">
        <v>46</v>
      </c>
    </row>
    <row r="2549" spans="1:7">
      <c r="A2549" t="s">
        <v>22</v>
      </c>
      <c r="B2549" t="s">
        <v>199</v>
      </c>
      <c r="C2549" s="32">
        <v>536.67999999999995</v>
      </c>
      <c r="D2549" s="33">
        <v>71</v>
      </c>
      <c r="E2549" t="s">
        <v>130</v>
      </c>
      <c r="F2549" t="s">
        <v>93</v>
      </c>
      <c r="G2549" s="33">
        <v>45</v>
      </c>
    </row>
    <row r="2550" spans="1:7">
      <c r="A2550" t="s">
        <v>22</v>
      </c>
      <c r="B2550" t="s">
        <v>199</v>
      </c>
      <c r="C2550" s="32">
        <v>536.76</v>
      </c>
      <c r="D2550" s="33">
        <v>72</v>
      </c>
      <c r="E2550" t="s">
        <v>131</v>
      </c>
      <c r="F2550" t="s">
        <v>90</v>
      </c>
      <c r="G2550" s="33">
        <v>46</v>
      </c>
    </row>
    <row r="2551" spans="1:7">
      <c r="A2551" t="s">
        <v>22</v>
      </c>
      <c r="B2551" t="s">
        <v>199</v>
      </c>
      <c r="C2551" s="32">
        <v>536.84</v>
      </c>
      <c r="D2551" s="33">
        <v>73</v>
      </c>
      <c r="E2551" t="s">
        <v>133</v>
      </c>
      <c r="F2551" t="s">
        <v>90</v>
      </c>
      <c r="G2551" s="33">
        <v>46</v>
      </c>
    </row>
    <row r="2552" spans="1:7">
      <c r="A2552" t="s">
        <v>22</v>
      </c>
      <c r="B2552" t="s">
        <v>199</v>
      </c>
      <c r="C2552" s="32">
        <v>536.91999999999996</v>
      </c>
      <c r="D2552" s="33">
        <v>74</v>
      </c>
      <c r="E2552" t="s">
        <v>134</v>
      </c>
      <c r="F2552" t="s">
        <v>93</v>
      </c>
      <c r="G2552" s="33">
        <v>46</v>
      </c>
    </row>
    <row r="2553" spans="1:7">
      <c r="A2553" t="s">
        <v>22</v>
      </c>
      <c r="B2553" t="s">
        <v>199</v>
      </c>
      <c r="C2553" s="32">
        <v>537</v>
      </c>
      <c r="D2553" s="33">
        <v>75</v>
      </c>
      <c r="E2553" t="s">
        <v>135</v>
      </c>
      <c r="F2553" t="s">
        <v>90</v>
      </c>
      <c r="G2553" s="33">
        <v>46</v>
      </c>
    </row>
    <row r="2554" spans="1:7">
      <c r="A2554" t="s">
        <v>22</v>
      </c>
      <c r="B2554" t="s">
        <v>199</v>
      </c>
      <c r="C2554" s="32">
        <v>537.08000000000004</v>
      </c>
      <c r="D2554" s="33">
        <v>76</v>
      </c>
      <c r="E2554" t="s">
        <v>136</v>
      </c>
      <c r="F2554" t="s">
        <v>96</v>
      </c>
      <c r="G2554" s="33">
        <v>45</v>
      </c>
    </row>
    <row r="2555" spans="1:7">
      <c r="A2555" t="s">
        <v>22</v>
      </c>
      <c r="B2555" t="s">
        <v>199</v>
      </c>
      <c r="C2555" s="32">
        <v>537.16999999999996</v>
      </c>
      <c r="D2555" s="33">
        <v>77</v>
      </c>
      <c r="E2555" t="s">
        <v>137</v>
      </c>
      <c r="F2555" t="s">
        <v>90</v>
      </c>
      <c r="G2555" s="33">
        <v>46</v>
      </c>
    </row>
    <row r="2556" spans="1:7">
      <c r="A2556" t="s">
        <v>22</v>
      </c>
      <c r="B2556" t="s">
        <v>199</v>
      </c>
      <c r="C2556" s="32">
        <v>537.25</v>
      </c>
      <c r="D2556" s="33">
        <v>78</v>
      </c>
      <c r="E2556" t="s">
        <v>138</v>
      </c>
      <c r="F2556" t="s">
        <v>93</v>
      </c>
      <c r="G2556" s="33">
        <v>46</v>
      </c>
    </row>
    <row r="2557" spans="1:7">
      <c r="A2557" t="s">
        <v>22</v>
      </c>
      <c r="B2557" t="s">
        <v>199</v>
      </c>
      <c r="C2557" s="32">
        <v>537.33000000000004</v>
      </c>
      <c r="D2557" s="33">
        <v>79</v>
      </c>
      <c r="E2557" t="s">
        <v>140</v>
      </c>
      <c r="F2557" t="s">
        <v>90</v>
      </c>
      <c r="G2557" s="33">
        <v>46</v>
      </c>
    </row>
    <row r="2558" spans="1:7">
      <c r="A2558" t="s">
        <v>22</v>
      </c>
      <c r="B2558" t="s">
        <v>199</v>
      </c>
      <c r="C2558" s="32">
        <v>537.41</v>
      </c>
      <c r="D2558" s="33">
        <v>80</v>
      </c>
      <c r="E2558" t="s">
        <v>141</v>
      </c>
      <c r="F2558" t="s">
        <v>90</v>
      </c>
      <c r="G2558" s="33">
        <v>46</v>
      </c>
    </row>
    <row r="2559" spans="1:7">
      <c r="A2559" t="s">
        <v>22</v>
      </c>
      <c r="B2559" t="s">
        <v>199</v>
      </c>
      <c r="C2559" s="32">
        <v>537.49</v>
      </c>
      <c r="D2559" s="33">
        <v>81</v>
      </c>
      <c r="E2559" t="s">
        <v>142</v>
      </c>
      <c r="F2559" t="s">
        <v>93</v>
      </c>
      <c r="G2559" s="33">
        <v>45</v>
      </c>
    </row>
    <row r="2560" spans="1:7">
      <c r="A2560" t="s">
        <v>22</v>
      </c>
      <c r="B2560" t="s">
        <v>199</v>
      </c>
      <c r="C2560" s="32">
        <v>537.57000000000005</v>
      </c>
      <c r="D2560" s="33">
        <v>82</v>
      </c>
      <c r="E2560" t="s">
        <v>143</v>
      </c>
      <c r="F2560" t="s">
        <v>90</v>
      </c>
      <c r="G2560" s="33">
        <v>46</v>
      </c>
    </row>
    <row r="2561" spans="1:7">
      <c r="A2561" t="s">
        <v>22</v>
      </c>
      <c r="B2561" t="s">
        <v>199</v>
      </c>
      <c r="C2561" s="32">
        <v>537.65</v>
      </c>
      <c r="D2561" s="33">
        <v>83</v>
      </c>
      <c r="E2561" t="s">
        <v>144</v>
      </c>
      <c r="F2561" t="s">
        <v>96</v>
      </c>
      <c r="G2561" s="33">
        <v>46</v>
      </c>
    </row>
    <row r="2562" spans="1:7">
      <c r="A2562" t="s">
        <v>22</v>
      </c>
      <c r="B2562" t="s">
        <v>199</v>
      </c>
      <c r="C2562" s="32">
        <v>537.73</v>
      </c>
      <c r="D2562" s="33">
        <v>84</v>
      </c>
      <c r="E2562" t="s">
        <v>145</v>
      </c>
      <c r="F2562" t="s">
        <v>102</v>
      </c>
      <c r="G2562" s="33">
        <v>46</v>
      </c>
    </row>
    <row r="2563" spans="1:7">
      <c r="A2563" t="s">
        <v>22</v>
      </c>
      <c r="B2563" t="s">
        <v>199</v>
      </c>
      <c r="C2563" s="32">
        <v>537.82000000000005</v>
      </c>
      <c r="D2563" s="33">
        <v>85</v>
      </c>
      <c r="E2563" t="s">
        <v>146</v>
      </c>
      <c r="F2563" t="s">
        <v>93</v>
      </c>
      <c r="G2563" s="33">
        <v>46</v>
      </c>
    </row>
    <row r="2564" spans="1:7">
      <c r="A2564" t="s">
        <v>22</v>
      </c>
      <c r="B2564" t="s">
        <v>199</v>
      </c>
      <c r="C2564" s="32">
        <v>537.9</v>
      </c>
      <c r="D2564" s="33">
        <v>86</v>
      </c>
      <c r="E2564" t="s">
        <v>148</v>
      </c>
      <c r="F2564" t="s">
        <v>90</v>
      </c>
      <c r="G2564" s="33">
        <v>45</v>
      </c>
    </row>
    <row r="2565" spans="1:7">
      <c r="A2565" t="s">
        <v>22</v>
      </c>
      <c r="B2565" t="s">
        <v>199</v>
      </c>
      <c r="C2565" s="32">
        <v>537.98</v>
      </c>
      <c r="D2565" s="33">
        <v>87</v>
      </c>
      <c r="E2565" t="s">
        <v>149</v>
      </c>
      <c r="F2565" t="s">
        <v>90</v>
      </c>
      <c r="G2565" s="33">
        <v>46</v>
      </c>
    </row>
    <row r="2566" spans="1:7">
      <c r="A2566" t="s">
        <v>22</v>
      </c>
      <c r="B2566" t="s">
        <v>199</v>
      </c>
      <c r="C2566" s="32">
        <v>538.05999999999995</v>
      </c>
      <c r="D2566" s="33">
        <v>88</v>
      </c>
      <c r="E2566" t="s">
        <v>150</v>
      </c>
      <c r="F2566" t="s">
        <v>93</v>
      </c>
      <c r="G2566" s="33">
        <v>46</v>
      </c>
    </row>
    <row r="2567" spans="1:7">
      <c r="A2567" t="s">
        <v>22</v>
      </c>
      <c r="B2567" t="s">
        <v>199</v>
      </c>
      <c r="C2567" s="32">
        <v>538.14</v>
      </c>
      <c r="D2567" s="33">
        <v>89</v>
      </c>
      <c r="E2567" t="s">
        <v>151</v>
      </c>
      <c r="F2567" t="s">
        <v>90</v>
      </c>
      <c r="G2567" s="33">
        <v>46</v>
      </c>
    </row>
    <row r="2568" spans="1:7">
      <c r="A2568" t="s">
        <v>22</v>
      </c>
      <c r="B2568" t="s">
        <v>199</v>
      </c>
      <c r="C2568" s="32">
        <v>538.22</v>
      </c>
      <c r="D2568" s="33">
        <v>90</v>
      </c>
      <c r="E2568" t="s">
        <v>152</v>
      </c>
      <c r="F2568" t="s">
        <v>96</v>
      </c>
      <c r="G2568" s="33">
        <v>45</v>
      </c>
    </row>
    <row r="2569" spans="1:7">
      <c r="A2569" t="s">
        <v>22</v>
      </c>
      <c r="B2569" t="s">
        <v>199</v>
      </c>
      <c r="C2569" s="32">
        <v>538.29999999999995</v>
      </c>
      <c r="D2569" s="33">
        <v>91</v>
      </c>
      <c r="E2569" t="s">
        <v>153</v>
      </c>
      <c r="F2569" t="s">
        <v>90</v>
      </c>
      <c r="G2569" s="33">
        <v>46</v>
      </c>
    </row>
    <row r="2570" spans="1:7">
      <c r="A2570" t="s">
        <v>22</v>
      </c>
      <c r="B2570" t="s">
        <v>199</v>
      </c>
      <c r="C2570" s="32">
        <v>538.38</v>
      </c>
      <c r="D2570" s="33">
        <v>92</v>
      </c>
      <c r="E2570" t="s">
        <v>120</v>
      </c>
      <c r="F2570" t="s">
        <v>93</v>
      </c>
      <c r="G2570" s="33">
        <v>46</v>
      </c>
    </row>
    <row r="2571" spans="1:7">
      <c r="A2571" t="s">
        <v>22</v>
      </c>
      <c r="B2571" t="s">
        <v>199</v>
      </c>
      <c r="C2571" s="32">
        <v>538.46</v>
      </c>
      <c r="D2571" s="33">
        <v>93</v>
      </c>
      <c r="E2571" t="s">
        <v>115</v>
      </c>
      <c r="F2571" t="s">
        <v>90</v>
      </c>
      <c r="G2571" s="33">
        <v>46</v>
      </c>
    </row>
    <row r="2572" spans="1:7">
      <c r="A2572" t="s">
        <v>22</v>
      </c>
      <c r="B2572" t="s">
        <v>199</v>
      </c>
      <c r="C2572" s="32">
        <v>538.54999999999995</v>
      </c>
      <c r="D2572" s="33">
        <v>94</v>
      </c>
      <c r="E2572" t="s">
        <v>116</v>
      </c>
      <c r="F2572" t="s">
        <v>90</v>
      </c>
      <c r="G2572" s="33">
        <v>46</v>
      </c>
    </row>
    <row r="2573" spans="1:7">
      <c r="A2573" t="s">
        <v>22</v>
      </c>
      <c r="B2573" t="s">
        <v>199</v>
      </c>
      <c r="C2573" s="32">
        <v>538.63</v>
      </c>
      <c r="D2573" s="33">
        <v>95</v>
      </c>
      <c r="E2573" t="s">
        <v>117</v>
      </c>
      <c r="F2573" t="s">
        <v>93</v>
      </c>
      <c r="G2573" s="33">
        <v>45</v>
      </c>
    </row>
    <row r="2574" spans="1:7">
      <c r="A2574" t="s">
        <v>22</v>
      </c>
      <c r="B2574" t="s">
        <v>199</v>
      </c>
      <c r="C2574" s="32">
        <v>538.71</v>
      </c>
      <c r="D2574" s="33">
        <v>96</v>
      </c>
      <c r="E2574" t="s">
        <v>118</v>
      </c>
      <c r="F2574" t="s">
        <v>90</v>
      </c>
      <c r="G2574" s="33">
        <v>46</v>
      </c>
    </row>
    <row r="2575" spans="1:7">
      <c r="A2575" t="s">
        <v>22</v>
      </c>
      <c r="B2575" t="s">
        <v>199</v>
      </c>
      <c r="C2575" s="32">
        <v>538.79</v>
      </c>
      <c r="D2575" s="33">
        <v>97</v>
      </c>
      <c r="E2575" t="s">
        <v>122</v>
      </c>
      <c r="F2575" t="s">
        <v>96</v>
      </c>
      <c r="G2575" s="33">
        <v>46</v>
      </c>
    </row>
    <row r="2576" spans="1:7">
      <c r="A2576" t="s">
        <v>22</v>
      </c>
      <c r="B2576" t="s">
        <v>199</v>
      </c>
      <c r="C2576" s="32">
        <v>538.87</v>
      </c>
      <c r="D2576" s="33">
        <v>98</v>
      </c>
      <c r="E2576" t="s">
        <v>124</v>
      </c>
      <c r="F2576" t="s">
        <v>102</v>
      </c>
      <c r="G2576" s="33">
        <v>46</v>
      </c>
    </row>
    <row r="2577" spans="1:7">
      <c r="A2577" t="s">
        <v>22</v>
      </c>
      <c r="B2577" t="s">
        <v>199</v>
      </c>
      <c r="C2577" s="32">
        <v>538.95000000000005</v>
      </c>
      <c r="D2577" s="33">
        <v>99</v>
      </c>
      <c r="E2577" t="s">
        <v>125</v>
      </c>
      <c r="F2577" t="s">
        <v>93</v>
      </c>
      <c r="G2577" s="33">
        <v>46</v>
      </c>
    </row>
    <row r="2578" spans="1:7">
      <c r="A2578" t="s">
        <v>22</v>
      </c>
      <c r="B2578" t="s">
        <v>199</v>
      </c>
      <c r="C2578" s="32">
        <v>539.03</v>
      </c>
      <c r="D2578" s="33">
        <v>100</v>
      </c>
      <c r="E2578" t="s">
        <v>127</v>
      </c>
      <c r="F2578" t="s">
        <v>90</v>
      </c>
      <c r="G2578" s="33">
        <v>45</v>
      </c>
    </row>
    <row r="2579" spans="1:7">
      <c r="A2579" t="s">
        <v>22</v>
      </c>
      <c r="B2579" t="s">
        <v>199</v>
      </c>
      <c r="C2579" s="32">
        <v>539.11</v>
      </c>
      <c r="D2579" s="33">
        <v>101</v>
      </c>
      <c r="E2579" t="s">
        <v>128</v>
      </c>
      <c r="F2579" t="s">
        <v>90</v>
      </c>
      <c r="G2579" s="33">
        <v>46</v>
      </c>
    </row>
    <row r="2580" spans="1:7">
      <c r="A2580" t="s">
        <v>22</v>
      </c>
      <c r="B2580" t="s">
        <v>199</v>
      </c>
      <c r="C2580" s="32">
        <v>539.19000000000005</v>
      </c>
      <c r="D2580" s="33">
        <v>102</v>
      </c>
      <c r="E2580" t="s">
        <v>129</v>
      </c>
      <c r="F2580" t="s">
        <v>93</v>
      </c>
      <c r="G2580" s="33">
        <v>46</v>
      </c>
    </row>
    <row r="2581" spans="1:7">
      <c r="A2581" t="s">
        <v>22</v>
      </c>
      <c r="B2581" t="s">
        <v>199</v>
      </c>
      <c r="C2581" s="32">
        <v>539.28</v>
      </c>
      <c r="D2581" s="33">
        <v>103</v>
      </c>
      <c r="E2581" t="s">
        <v>130</v>
      </c>
      <c r="F2581" t="s">
        <v>90</v>
      </c>
      <c r="G2581" s="33">
        <v>46</v>
      </c>
    </row>
    <row r="2582" spans="1:7">
      <c r="A2582" t="s">
        <v>22</v>
      </c>
      <c r="B2582" t="s">
        <v>199</v>
      </c>
      <c r="C2582" s="32">
        <v>539.36</v>
      </c>
      <c r="D2582" s="33">
        <v>104</v>
      </c>
      <c r="E2582" t="s">
        <v>131</v>
      </c>
      <c r="F2582" t="s">
        <v>96</v>
      </c>
      <c r="G2582" s="33">
        <v>46</v>
      </c>
    </row>
    <row r="2583" spans="1:7">
      <c r="A2583" t="s">
        <v>22</v>
      </c>
      <c r="B2583" t="s">
        <v>199</v>
      </c>
      <c r="C2583" s="32">
        <v>539.44000000000005</v>
      </c>
      <c r="D2583" s="33">
        <v>105</v>
      </c>
      <c r="E2583" t="s">
        <v>133</v>
      </c>
      <c r="F2583" t="s">
        <v>90</v>
      </c>
      <c r="G2583" s="33">
        <v>45</v>
      </c>
    </row>
    <row r="2584" spans="1:7">
      <c r="A2584" t="s">
        <v>22</v>
      </c>
      <c r="B2584" t="s">
        <v>199</v>
      </c>
      <c r="C2584" s="32">
        <v>539.52</v>
      </c>
      <c r="D2584" s="33">
        <v>106</v>
      </c>
      <c r="E2584" t="s">
        <v>134</v>
      </c>
      <c r="F2584" t="s">
        <v>93</v>
      </c>
      <c r="G2584" s="33">
        <v>46</v>
      </c>
    </row>
    <row r="2585" spans="1:7">
      <c r="A2585" t="s">
        <v>22</v>
      </c>
      <c r="B2585" t="s">
        <v>199</v>
      </c>
      <c r="C2585" s="32">
        <v>539.6</v>
      </c>
      <c r="D2585" s="33">
        <v>107</v>
      </c>
      <c r="E2585" t="s">
        <v>135</v>
      </c>
      <c r="F2585" t="s">
        <v>90</v>
      </c>
      <c r="G2585" s="33">
        <v>46</v>
      </c>
    </row>
    <row r="2586" spans="1:7">
      <c r="A2586" t="s">
        <v>22</v>
      </c>
      <c r="B2586" t="s">
        <v>200</v>
      </c>
      <c r="C2586" s="32">
        <v>541</v>
      </c>
      <c r="D2586" s="33">
        <v>1</v>
      </c>
      <c r="E2586" t="s">
        <v>130</v>
      </c>
      <c r="F2586" t="s">
        <v>90</v>
      </c>
      <c r="G2586" s="33">
        <v>47</v>
      </c>
    </row>
    <row r="2587" spans="1:7">
      <c r="A2587" t="s">
        <v>22</v>
      </c>
      <c r="B2587" t="s">
        <v>200</v>
      </c>
      <c r="C2587" s="32">
        <v>541.08000000000004</v>
      </c>
      <c r="D2587" s="33">
        <v>2</v>
      </c>
      <c r="E2587" t="s">
        <v>131</v>
      </c>
      <c r="F2587" t="s">
        <v>93</v>
      </c>
      <c r="G2587" s="33">
        <v>47</v>
      </c>
    </row>
    <row r="2588" spans="1:7">
      <c r="A2588" t="s">
        <v>22</v>
      </c>
      <c r="B2588" t="s">
        <v>200</v>
      </c>
      <c r="C2588" s="32">
        <v>541.16</v>
      </c>
      <c r="D2588" s="33">
        <v>3</v>
      </c>
      <c r="E2588" t="s">
        <v>133</v>
      </c>
      <c r="F2588" t="s">
        <v>90</v>
      </c>
      <c r="G2588" s="33">
        <v>47</v>
      </c>
    </row>
    <row r="2589" spans="1:7">
      <c r="A2589" t="s">
        <v>22</v>
      </c>
      <c r="B2589" t="s">
        <v>200</v>
      </c>
      <c r="C2589" s="32">
        <v>541.24</v>
      </c>
      <c r="D2589" s="33">
        <v>4</v>
      </c>
      <c r="E2589" t="s">
        <v>134</v>
      </c>
      <c r="F2589" t="s">
        <v>96</v>
      </c>
      <c r="G2589" s="33">
        <v>46</v>
      </c>
    </row>
    <row r="2590" spans="1:7">
      <c r="A2590" t="s">
        <v>22</v>
      </c>
      <c r="B2590" t="s">
        <v>200</v>
      </c>
      <c r="C2590" s="32">
        <v>541.32000000000005</v>
      </c>
      <c r="D2590" s="33">
        <v>5</v>
      </c>
      <c r="E2590" t="s">
        <v>135</v>
      </c>
      <c r="F2590" t="s">
        <v>90</v>
      </c>
      <c r="G2590" s="33">
        <v>47</v>
      </c>
    </row>
    <row r="2591" spans="1:7">
      <c r="A2591" t="s">
        <v>22</v>
      </c>
      <c r="B2591" t="s">
        <v>200</v>
      </c>
      <c r="C2591" s="32">
        <v>541.4</v>
      </c>
      <c r="D2591" s="33">
        <v>6</v>
      </c>
      <c r="E2591" t="s">
        <v>136</v>
      </c>
      <c r="F2591" t="s">
        <v>93</v>
      </c>
      <c r="G2591" s="33">
        <v>47</v>
      </c>
    </row>
    <row r="2592" spans="1:7">
      <c r="A2592" t="s">
        <v>22</v>
      </c>
      <c r="B2592" t="s">
        <v>200</v>
      </c>
      <c r="C2592" s="32">
        <v>541.48</v>
      </c>
      <c r="D2592" s="33">
        <v>7</v>
      </c>
      <c r="E2592" t="s">
        <v>137</v>
      </c>
      <c r="F2592" t="s">
        <v>90</v>
      </c>
      <c r="G2592" s="33">
        <v>47</v>
      </c>
    </row>
    <row r="2593" spans="1:7">
      <c r="A2593" t="s">
        <v>22</v>
      </c>
      <c r="B2593" t="s">
        <v>200</v>
      </c>
      <c r="C2593" s="32">
        <v>541.55999999999995</v>
      </c>
      <c r="D2593" s="33">
        <v>8</v>
      </c>
      <c r="E2593" t="s">
        <v>138</v>
      </c>
      <c r="F2593" t="s">
        <v>90</v>
      </c>
      <c r="G2593" s="33">
        <v>47</v>
      </c>
    </row>
    <row r="2594" spans="1:7">
      <c r="A2594" t="s">
        <v>22</v>
      </c>
      <c r="B2594" t="s">
        <v>200</v>
      </c>
      <c r="C2594" s="32">
        <v>541.64</v>
      </c>
      <c r="D2594" s="33">
        <v>9</v>
      </c>
      <c r="E2594" t="s">
        <v>140</v>
      </c>
      <c r="F2594" t="s">
        <v>93</v>
      </c>
      <c r="G2594" s="33">
        <v>47</v>
      </c>
    </row>
    <row r="2595" spans="1:7">
      <c r="A2595" t="s">
        <v>22</v>
      </c>
      <c r="B2595" t="s">
        <v>200</v>
      </c>
      <c r="C2595" s="32">
        <v>541.72</v>
      </c>
      <c r="D2595" s="33">
        <v>10</v>
      </c>
      <c r="E2595" t="s">
        <v>141</v>
      </c>
      <c r="F2595" t="s">
        <v>90</v>
      </c>
      <c r="G2595" s="33">
        <v>46</v>
      </c>
    </row>
    <row r="2596" spans="1:7">
      <c r="A2596" t="s">
        <v>22</v>
      </c>
      <c r="B2596" t="s">
        <v>200</v>
      </c>
      <c r="C2596" s="32">
        <v>541.79999999999995</v>
      </c>
      <c r="D2596" s="33">
        <v>11</v>
      </c>
      <c r="E2596" t="s">
        <v>142</v>
      </c>
      <c r="F2596" t="s">
        <v>96</v>
      </c>
      <c r="G2596" s="33">
        <v>47</v>
      </c>
    </row>
    <row r="2597" spans="1:7">
      <c r="A2597" t="s">
        <v>22</v>
      </c>
      <c r="B2597" t="s">
        <v>200</v>
      </c>
      <c r="C2597" s="32">
        <v>541.88</v>
      </c>
      <c r="D2597" s="33">
        <v>12</v>
      </c>
      <c r="E2597" t="s">
        <v>143</v>
      </c>
      <c r="F2597" t="s">
        <v>90</v>
      </c>
      <c r="G2597" s="33">
        <v>47</v>
      </c>
    </row>
    <row r="2598" spans="1:7">
      <c r="A2598" t="s">
        <v>22</v>
      </c>
      <c r="B2598" t="s">
        <v>200</v>
      </c>
      <c r="C2598" s="32">
        <v>541.96</v>
      </c>
      <c r="D2598" s="33">
        <v>13</v>
      </c>
      <c r="E2598" t="s">
        <v>144</v>
      </c>
      <c r="F2598" t="s">
        <v>93</v>
      </c>
      <c r="G2598" s="33">
        <v>47</v>
      </c>
    </row>
    <row r="2599" spans="1:7">
      <c r="A2599" t="s">
        <v>22</v>
      </c>
      <c r="B2599" t="s">
        <v>200</v>
      </c>
      <c r="C2599" s="32">
        <v>542.04</v>
      </c>
      <c r="D2599" s="33">
        <v>14</v>
      </c>
      <c r="E2599" t="s">
        <v>145</v>
      </c>
      <c r="F2599" t="s">
        <v>102</v>
      </c>
      <c r="G2599" s="33">
        <v>47</v>
      </c>
    </row>
    <row r="2600" spans="1:7">
      <c r="A2600" t="s">
        <v>22</v>
      </c>
      <c r="B2600" t="s">
        <v>200</v>
      </c>
      <c r="C2600" s="32">
        <v>542.11</v>
      </c>
      <c r="D2600" s="33">
        <v>15</v>
      </c>
      <c r="E2600" t="s">
        <v>146</v>
      </c>
      <c r="F2600" t="s">
        <v>90</v>
      </c>
      <c r="G2600" s="33">
        <v>47</v>
      </c>
    </row>
    <row r="2601" spans="1:7">
      <c r="A2601" t="s">
        <v>22</v>
      </c>
      <c r="B2601" t="s">
        <v>200</v>
      </c>
      <c r="C2601" s="32">
        <v>542.19000000000005</v>
      </c>
      <c r="D2601" s="33">
        <v>16</v>
      </c>
      <c r="E2601" t="s">
        <v>148</v>
      </c>
      <c r="F2601" t="s">
        <v>93</v>
      </c>
      <c r="G2601" s="33">
        <v>46</v>
      </c>
    </row>
    <row r="2602" spans="1:7">
      <c r="A2602" t="s">
        <v>22</v>
      </c>
      <c r="B2602" t="s">
        <v>200</v>
      </c>
      <c r="C2602" s="32">
        <v>542.27</v>
      </c>
      <c r="D2602" s="33">
        <v>17</v>
      </c>
      <c r="E2602" t="s">
        <v>149</v>
      </c>
      <c r="F2602" t="s">
        <v>90</v>
      </c>
      <c r="G2602" s="33">
        <v>47</v>
      </c>
    </row>
    <row r="2603" spans="1:7">
      <c r="A2603" t="s">
        <v>22</v>
      </c>
      <c r="B2603" t="s">
        <v>200</v>
      </c>
      <c r="C2603" s="32">
        <v>542.35</v>
      </c>
      <c r="D2603" s="33">
        <v>18</v>
      </c>
      <c r="E2603" t="s">
        <v>150</v>
      </c>
      <c r="F2603" t="s">
        <v>96</v>
      </c>
      <c r="G2603" s="33">
        <v>47</v>
      </c>
    </row>
    <row r="2604" spans="1:7">
      <c r="A2604" t="s">
        <v>22</v>
      </c>
      <c r="B2604" t="s">
        <v>200</v>
      </c>
      <c r="C2604" s="32">
        <v>542.42999999999995</v>
      </c>
      <c r="D2604" s="33">
        <v>19</v>
      </c>
      <c r="E2604" t="s">
        <v>151</v>
      </c>
      <c r="F2604" t="s">
        <v>90</v>
      </c>
      <c r="G2604" s="33">
        <v>47</v>
      </c>
    </row>
    <row r="2605" spans="1:7">
      <c r="A2605" t="s">
        <v>22</v>
      </c>
      <c r="B2605" t="s">
        <v>200</v>
      </c>
      <c r="C2605" s="32">
        <v>542.51</v>
      </c>
      <c r="D2605" s="33">
        <v>20</v>
      </c>
      <c r="E2605" t="s">
        <v>152</v>
      </c>
      <c r="F2605" t="s">
        <v>93</v>
      </c>
      <c r="G2605" s="33">
        <v>47</v>
      </c>
    </row>
    <row r="2606" spans="1:7">
      <c r="A2606" t="s">
        <v>22</v>
      </c>
      <c r="B2606" t="s">
        <v>200</v>
      </c>
      <c r="C2606" s="32">
        <v>542.59</v>
      </c>
      <c r="D2606" s="33">
        <v>21</v>
      </c>
      <c r="E2606" t="s">
        <v>153</v>
      </c>
      <c r="F2606" t="s">
        <v>90</v>
      </c>
      <c r="G2606" s="33">
        <v>47</v>
      </c>
    </row>
    <row r="2607" spans="1:7">
      <c r="A2607" t="s">
        <v>22</v>
      </c>
      <c r="B2607" t="s">
        <v>200</v>
      </c>
      <c r="C2607" s="32">
        <v>542.66999999999996</v>
      </c>
      <c r="D2607" s="33">
        <v>22</v>
      </c>
      <c r="E2607" t="s">
        <v>120</v>
      </c>
      <c r="F2607" t="s">
        <v>90</v>
      </c>
      <c r="G2607" s="33">
        <v>46</v>
      </c>
    </row>
    <row r="2608" spans="1:7">
      <c r="A2608" t="s">
        <v>22</v>
      </c>
      <c r="B2608" t="s">
        <v>200</v>
      </c>
      <c r="C2608" s="32">
        <v>542.75</v>
      </c>
      <c r="D2608" s="33">
        <v>23</v>
      </c>
      <c r="E2608" t="s">
        <v>115</v>
      </c>
      <c r="F2608" t="s">
        <v>93</v>
      </c>
      <c r="G2608" s="33">
        <v>47</v>
      </c>
    </row>
    <row r="2609" spans="1:7">
      <c r="A2609" t="s">
        <v>22</v>
      </c>
      <c r="B2609" t="s">
        <v>200</v>
      </c>
      <c r="C2609" s="32">
        <v>542.83000000000004</v>
      </c>
      <c r="D2609" s="33">
        <v>24</v>
      </c>
      <c r="E2609" t="s">
        <v>116</v>
      </c>
      <c r="F2609" t="s">
        <v>90</v>
      </c>
      <c r="G2609" s="33">
        <v>47</v>
      </c>
    </row>
    <row r="2610" spans="1:7">
      <c r="A2610" t="s">
        <v>22</v>
      </c>
      <c r="B2610" t="s">
        <v>200</v>
      </c>
      <c r="C2610" s="32">
        <v>542.91</v>
      </c>
      <c r="D2610" s="33">
        <v>25</v>
      </c>
      <c r="E2610" t="s">
        <v>117</v>
      </c>
      <c r="F2610" t="s">
        <v>96</v>
      </c>
      <c r="G2610" s="33">
        <v>47</v>
      </c>
    </row>
    <row r="2611" spans="1:7">
      <c r="A2611" t="s">
        <v>22</v>
      </c>
      <c r="B2611" t="s">
        <v>200</v>
      </c>
      <c r="C2611" s="32">
        <v>542.99</v>
      </c>
      <c r="D2611" s="33">
        <v>26</v>
      </c>
      <c r="E2611" t="s">
        <v>118</v>
      </c>
      <c r="F2611" t="s">
        <v>90</v>
      </c>
      <c r="G2611" s="33">
        <v>47</v>
      </c>
    </row>
    <row r="2612" spans="1:7">
      <c r="A2612" t="s">
        <v>22</v>
      </c>
      <c r="B2612" t="s">
        <v>200</v>
      </c>
      <c r="C2612" s="32">
        <v>543.07000000000005</v>
      </c>
      <c r="D2612" s="33">
        <v>27</v>
      </c>
      <c r="E2612" t="s">
        <v>122</v>
      </c>
      <c r="F2612" t="s">
        <v>93</v>
      </c>
      <c r="G2612" s="33">
        <v>47</v>
      </c>
    </row>
    <row r="2613" spans="1:7">
      <c r="A2613" t="s">
        <v>22</v>
      </c>
      <c r="B2613" t="s">
        <v>200</v>
      </c>
      <c r="C2613" s="32">
        <v>543.15</v>
      </c>
      <c r="D2613" s="33">
        <v>28</v>
      </c>
      <c r="E2613" t="s">
        <v>124</v>
      </c>
      <c r="F2613" t="s">
        <v>102</v>
      </c>
      <c r="G2613" s="33">
        <v>46</v>
      </c>
    </row>
    <row r="2614" spans="1:7">
      <c r="A2614" t="s">
        <v>22</v>
      </c>
      <c r="B2614" t="s">
        <v>200</v>
      </c>
      <c r="C2614" s="32">
        <v>543.23</v>
      </c>
      <c r="D2614" s="33">
        <v>29</v>
      </c>
      <c r="E2614" t="s">
        <v>125</v>
      </c>
      <c r="F2614" t="s">
        <v>93</v>
      </c>
      <c r="G2614" s="33">
        <v>47</v>
      </c>
    </row>
    <row r="2615" spans="1:7">
      <c r="A2615" t="s">
        <v>22</v>
      </c>
      <c r="B2615" t="s">
        <v>200</v>
      </c>
      <c r="C2615" s="32">
        <v>543.30999999999995</v>
      </c>
      <c r="D2615" s="33">
        <v>30</v>
      </c>
      <c r="E2615" t="s">
        <v>127</v>
      </c>
      <c r="F2615" t="s">
        <v>90</v>
      </c>
      <c r="G2615" s="33">
        <v>47</v>
      </c>
    </row>
    <row r="2616" spans="1:7">
      <c r="A2616" t="s">
        <v>22</v>
      </c>
      <c r="B2616" t="s">
        <v>200</v>
      </c>
      <c r="C2616" s="32">
        <v>543.39</v>
      </c>
      <c r="D2616" s="33">
        <v>31</v>
      </c>
      <c r="E2616" t="s">
        <v>128</v>
      </c>
      <c r="F2616" t="s">
        <v>90</v>
      </c>
      <c r="G2616" s="33">
        <v>47</v>
      </c>
    </row>
    <row r="2617" spans="1:7">
      <c r="A2617" t="s">
        <v>22</v>
      </c>
      <c r="B2617" t="s">
        <v>200</v>
      </c>
      <c r="C2617" s="32">
        <v>543.47</v>
      </c>
      <c r="D2617" s="33">
        <v>32</v>
      </c>
      <c r="E2617" t="s">
        <v>129</v>
      </c>
      <c r="F2617" t="s">
        <v>96</v>
      </c>
      <c r="G2617" s="33">
        <v>47</v>
      </c>
    </row>
    <row r="2618" spans="1:7">
      <c r="A2618" t="s">
        <v>22</v>
      </c>
      <c r="B2618" t="s">
        <v>200</v>
      </c>
      <c r="C2618" s="32">
        <v>543.54999999999995</v>
      </c>
      <c r="D2618" s="33">
        <v>33</v>
      </c>
      <c r="E2618" t="s">
        <v>130</v>
      </c>
      <c r="F2618" t="s">
        <v>90</v>
      </c>
      <c r="G2618" s="33">
        <v>47</v>
      </c>
    </row>
    <row r="2619" spans="1:7">
      <c r="A2619" t="s">
        <v>22</v>
      </c>
      <c r="B2619" t="s">
        <v>200</v>
      </c>
      <c r="C2619" s="32">
        <v>543.63</v>
      </c>
      <c r="D2619" s="33">
        <v>34</v>
      </c>
      <c r="E2619" t="s">
        <v>131</v>
      </c>
      <c r="F2619" t="s">
        <v>93</v>
      </c>
      <c r="G2619" s="33">
        <v>46</v>
      </c>
    </row>
    <row r="2620" spans="1:7">
      <c r="A2620" t="s">
        <v>22</v>
      </c>
      <c r="B2620" t="s">
        <v>200</v>
      </c>
      <c r="C2620" s="32">
        <v>543.71</v>
      </c>
      <c r="D2620" s="33">
        <v>35</v>
      </c>
      <c r="E2620" t="s">
        <v>133</v>
      </c>
      <c r="F2620" t="s">
        <v>90</v>
      </c>
      <c r="G2620" s="33">
        <v>47</v>
      </c>
    </row>
    <row r="2621" spans="1:7">
      <c r="A2621" t="s">
        <v>22</v>
      </c>
      <c r="B2621" t="s">
        <v>200</v>
      </c>
      <c r="C2621" s="32">
        <v>543.79</v>
      </c>
      <c r="D2621" s="33">
        <v>36</v>
      </c>
      <c r="E2621" t="s">
        <v>134</v>
      </c>
      <c r="F2621" t="s">
        <v>93</v>
      </c>
      <c r="G2621" s="33">
        <v>47</v>
      </c>
    </row>
    <row r="2622" spans="1:7">
      <c r="A2622" t="s">
        <v>22</v>
      </c>
      <c r="B2622" t="s">
        <v>200</v>
      </c>
      <c r="C2622" s="32">
        <v>543.87</v>
      </c>
      <c r="D2622" s="33">
        <v>37</v>
      </c>
      <c r="E2622" t="s">
        <v>135</v>
      </c>
      <c r="F2622" t="s">
        <v>90</v>
      </c>
      <c r="G2622" s="33">
        <v>47</v>
      </c>
    </row>
    <row r="2623" spans="1:7">
      <c r="A2623" t="s">
        <v>22</v>
      </c>
      <c r="B2623" t="s">
        <v>200</v>
      </c>
      <c r="C2623" s="32">
        <v>543.95000000000005</v>
      </c>
      <c r="D2623" s="33">
        <v>38</v>
      </c>
      <c r="E2623" t="s">
        <v>136</v>
      </c>
      <c r="F2623" t="s">
        <v>90</v>
      </c>
      <c r="G2623" s="33">
        <v>47</v>
      </c>
    </row>
    <row r="2624" spans="1:7">
      <c r="A2624" t="s">
        <v>22</v>
      </c>
      <c r="B2624" t="s">
        <v>200</v>
      </c>
      <c r="C2624" s="32">
        <v>544.03</v>
      </c>
      <c r="D2624" s="33">
        <v>39</v>
      </c>
      <c r="E2624" t="s">
        <v>137</v>
      </c>
      <c r="F2624" t="s">
        <v>93</v>
      </c>
      <c r="G2624" s="33">
        <v>47</v>
      </c>
    </row>
    <row r="2625" spans="1:7">
      <c r="A2625" t="s">
        <v>22</v>
      </c>
      <c r="B2625" t="s">
        <v>200</v>
      </c>
      <c r="C2625" s="32">
        <v>544.11</v>
      </c>
      <c r="D2625" s="33">
        <v>40</v>
      </c>
      <c r="E2625" t="s">
        <v>138</v>
      </c>
      <c r="F2625" t="s">
        <v>90</v>
      </c>
      <c r="G2625" s="33">
        <v>46</v>
      </c>
    </row>
    <row r="2626" spans="1:7">
      <c r="A2626" t="s">
        <v>22</v>
      </c>
      <c r="B2626" t="s">
        <v>200</v>
      </c>
      <c r="C2626" s="32">
        <v>544.19000000000005</v>
      </c>
      <c r="D2626" s="33">
        <v>41</v>
      </c>
      <c r="E2626" t="s">
        <v>140</v>
      </c>
      <c r="F2626" t="s">
        <v>96</v>
      </c>
      <c r="G2626" s="33">
        <v>47</v>
      </c>
    </row>
    <row r="2627" spans="1:7">
      <c r="A2627" t="s">
        <v>22</v>
      </c>
      <c r="B2627" t="s">
        <v>200</v>
      </c>
      <c r="C2627" s="32">
        <v>544.26</v>
      </c>
      <c r="D2627" s="33">
        <v>42</v>
      </c>
      <c r="E2627" t="s">
        <v>141</v>
      </c>
      <c r="F2627" t="s">
        <v>102</v>
      </c>
      <c r="G2627" s="33">
        <v>47</v>
      </c>
    </row>
    <row r="2628" spans="1:7">
      <c r="A2628" t="s">
        <v>22</v>
      </c>
      <c r="B2628" t="s">
        <v>200</v>
      </c>
      <c r="C2628" s="32">
        <v>544.34</v>
      </c>
      <c r="D2628" s="33">
        <v>43</v>
      </c>
      <c r="E2628" t="s">
        <v>142</v>
      </c>
      <c r="F2628" t="s">
        <v>93</v>
      </c>
      <c r="G2628" s="33">
        <v>47</v>
      </c>
    </row>
    <row r="2629" spans="1:7">
      <c r="A2629" t="s">
        <v>22</v>
      </c>
      <c r="B2629" t="s">
        <v>200</v>
      </c>
      <c r="C2629" s="32">
        <v>544.41999999999996</v>
      </c>
      <c r="D2629" s="33">
        <v>44</v>
      </c>
      <c r="E2629" t="s">
        <v>143</v>
      </c>
      <c r="F2629" t="s">
        <v>90</v>
      </c>
      <c r="G2629" s="33">
        <v>47</v>
      </c>
    </row>
    <row r="2630" spans="1:7">
      <c r="A2630" t="s">
        <v>22</v>
      </c>
      <c r="B2630" t="s">
        <v>200</v>
      </c>
      <c r="C2630" s="32">
        <v>544.5</v>
      </c>
      <c r="D2630" s="33">
        <v>45</v>
      </c>
      <c r="E2630" t="s">
        <v>144</v>
      </c>
      <c r="F2630" t="s">
        <v>90</v>
      </c>
      <c r="G2630" s="33">
        <v>47</v>
      </c>
    </row>
    <row r="2631" spans="1:7">
      <c r="A2631" t="s">
        <v>22</v>
      </c>
      <c r="B2631" t="s">
        <v>200</v>
      </c>
      <c r="C2631" s="32">
        <v>544.58000000000004</v>
      </c>
      <c r="D2631" s="33">
        <v>46</v>
      </c>
      <c r="E2631" t="s">
        <v>145</v>
      </c>
      <c r="F2631" t="s">
        <v>93</v>
      </c>
      <c r="G2631" s="33">
        <v>46</v>
      </c>
    </row>
    <row r="2632" spans="1:7">
      <c r="A2632" t="s">
        <v>22</v>
      </c>
      <c r="B2632" t="s">
        <v>200</v>
      </c>
      <c r="C2632" s="32">
        <v>544.66</v>
      </c>
      <c r="D2632" s="33">
        <v>47</v>
      </c>
      <c r="E2632" t="s">
        <v>146</v>
      </c>
      <c r="F2632" t="s">
        <v>90</v>
      </c>
      <c r="G2632" s="33">
        <v>47</v>
      </c>
    </row>
    <row r="2633" spans="1:7">
      <c r="A2633" t="s">
        <v>22</v>
      </c>
      <c r="B2633" t="s">
        <v>200</v>
      </c>
      <c r="C2633" s="32">
        <v>544.74</v>
      </c>
      <c r="D2633" s="33">
        <v>48</v>
      </c>
      <c r="E2633" t="s">
        <v>148</v>
      </c>
      <c r="F2633" t="s">
        <v>96</v>
      </c>
      <c r="G2633" s="33">
        <v>47</v>
      </c>
    </row>
    <row r="2634" spans="1:7">
      <c r="A2634" t="s">
        <v>22</v>
      </c>
      <c r="B2634" t="s">
        <v>200</v>
      </c>
      <c r="C2634" s="32">
        <v>544.82000000000005</v>
      </c>
      <c r="D2634" s="33">
        <v>49</v>
      </c>
      <c r="E2634" t="s">
        <v>149</v>
      </c>
      <c r="F2634" t="s">
        <v>90</v>
      </c>
      <c r="G2634" s="33">
        <v>47</v>
      </c>
    </row>
    <row r="2635" spans="1:7">
      <c r="A2635" t="s">
        <v>22</v>
      </c>
      <c r="B2635" t="s">
        <v>200</v>
      </c>
      <c r="C2635" s="32">
        <v>544.9</v>
      </c>
      <c r="D2635" s="33">
        <v>50</v>
      </c>
      <c r="E2635" t="s">
        <v>150</v>
      </c>
      <c r="F2635" t="s">
        <v>93</v>
      </c>
      <c r="G2635" s="33">
        <v>47</v>
      </c>
    </row>
    <row r="2636" spans="1:7">
      <c r="A2636" t="s">
        <v>22</v>
      </c>
      <c r="B2636" t="s">
        <v>200</v>
      </c>
      <c r="C2636" s="32">
        <v>544.98</v>
      </c>
      <c r="D2636" s="33">
        <v>51</v>
      </c>
      <c r="E2636" t="s">
        <v>151</v>
      </c>
      <c r="F2636" t="s">
        <v>90</v>
      </c>
      <c r="G2636" s="33">
        <v>47</v>
      </c>
    </row>
    <row r="2637" spans="1:7">
      <c r="A2637" t="s">
        <v>22</v>
      </c>
      <c r="B2637" t="s">
        <v>200</v>
      </c>
      <c r="C2637" s="32">
        <v>545.05999999999995</v>
      </c>
      <c r="D2637" s="33">
        <v>52</v>
      </c>
      <c r="E2637" t="s">
        <v>152</v>
      </c>
      <c r="F2637" t="s">
        <v>90</v>
      </c>
      <c r="G2637" s="33">
        <v>46</v>
      </c>
    </row>
    <row r="2638" spans="1:7">
      <c r="A2638" t="s">
        <v>22</v>
      </c>
      <c r="B2638" t="s">
        <v>200</v>
      </c>
      <c r="C2638" s="32">
        <v>545.14</v>
      </c>
      <c r="D2638" s="33">
        <v>53</v>
      </c>
      <c r="E2638" t="s">
        <v>153</v>
      </c>
      <c r="F2638" t="s">
        <v>93</v>
      </c>
      <c r="G2638" s="33">
        <v>47</v>
      </c>
    </row>
    <row r="2639" spans="1:7">
      <c r="A2639" t="s">
        <v>22</v>
      </c>
      <c r="B2639" t="s">
        <v>200</v>
      </c>
      <c r="C2639" s="32">
        <v>545.22</v>
      </c>
      <c r="D2639" s="33">
        <v>54</v>
      </c>
      <c r="E2639" t="s">
        <v>120</v>
      </c>
      <c r="F2639" t="s">
        <v>90</v>
      </c>
      <c r="G2639" s="33">
        <v>47</v>
      </c>
    </row>
    <row r="2640" spans="1:7">
      <c r="A2640" t="s">
        <v>22</v>
      </c>
      <c r="B2640" t="s">
        <v>200</v>
      </c>
      <c r="C2640" s="32">
        <v>545.29999999999995</v>
      </c>
      <c r="D2640" s="33">
        <v>55</v>
      </c>
      <c r="E2640" t="s">
        <v>115</v>
      </c>
      <c r="F2640" t="s">
        <v>96</v>
      </c>
      <c r="G2640" s="33">
        <v>47</v>
      </c>
    </row>
    <row r="2641" spans="1:7">
      <c r="A2641" t="s">
        <v>22</v>
      </c>
      <c r="B2641" t="s">
        <v>200</v>
      </c>
      <c r="C2641" s="32">
        <v>545.38</v>
      </c>
      <c r="D2641" s="33">
        <v>56</v>
      </c>
      <c r="E2641" t="s">
        <v>116</v>
      </c>
      <c r="F2641" t="s">
        <v>102</v>
      </c>
      <c r="G2641" s="33">
        <v>47</v>
      </c>
    </row>
    <row r="2642" spans="1:7">
      <c r="A2642" t="s">
        <v>22</v>
      </c>
      <c r="B2642" t="s">
        <v>200</v>
      </c>
      <c r="C2642" s="32">
        <v>545.46</v>
      </c>
      <c r="D2642" s="33">
        <v>57</v>
      </c>
      <c r="E2642" t="s">
        <v>117</v>
      </c>
      <c r="F2642" t="s">
        <v>93</v>
      </c>
      <c r="G2642" s="33">
        <v>47</v>
      </c>
    </row>
    <row r="2643" spans="1:7">
      <c r="A2643" t="s">
        <v>22</v>
      </c>
      <c r="B2643" t="s">
        <v>200</v>
      </c>
      <c r="C2643" s="32">
        <v>545.54</v>
      </c>
      <c r="D2643" s="33">
        <v>58</v>
      </c>
      <c r="E2643" t="s">
        <v>118</v>
      </c>
      <c r="F2643" t="s">
        <v>90</v>
      </c>
      <c r="G2643" s="33">
        <v>46</v>
      </c>
    </row>
    <row r="2644" spans="1:7">
      <c r="A2644" t="s">
        <v>22</v>
      </c>
      <c r="B2644" t="s">
        <v>200</v>
      </c>
      <c r="C2644" s="32">
        <v>545.62</v>
      </c>
      <c r="D2644" s="33">
        <v>59</v>
      </c>
      <c r="E2644" t="s">
        <v>122</v>
      </c>
      <c r="F2644" t="s">
        <v>90</v>
      </c>
      <c r="G2644" s="33">
        <v>47</v>
      </c>
    </row>
    <row r="2645" spans="1:7">
      <c r="A2645" t="s">
        <v>22</v>
      </c>
      <c r="B2645" t="s">
        <v>200</v>
      </c>
      <c r="C2645" s="32">
        <v>545.70000000000005</v>
      </c>
      <c r="D2645" s="33">
        <v>60</v>
      </c>
      <c r="E2645" t="s">
        <v>124</v>
      </c>
      <c r="F2645" t="s">
        <v>93</v>
      </c>
      <c r="G2645" s="33">
        <v>47</v>
      </c>
    </row>
    <row r="2646" spans="1:7">
      <c r="A2646" t="s">
        <v>22</v>
      </c>
      <c r="B2646" t="s">
        <v>200</v>
      </c>
      <c r="C2646" s="32">
        <v>545.78</v>
      </c>
      <c r="D2646" s="33">
        <v>61</v>
      </c>
      <c r="E2646" t="s">
        <v>125</v>
      </c>
      <c r="F2646" t="s">
        <v>90</v>
      </c>
      <c r="G2646" s="33">
        <v>47</v>
      </c>
    </row>
    <row r="2647" spans="1:7">
      <c r="A2647" t="s">
        <v>22</v>
      </c>
      <c r="B2647" t="s">
        <v>200</v>
      </c>
      <c r="C2647" s="32">
        <v>545.86</v>
      </c>
      <c r="D2647" s="33">
        <v>62</v>
      </c>
      <c r="E2647" t="s">
        <v>127</v>
      </c>
      <c r="F2647" t="s">
        <v>96</v>
      </c>
      <c r="G2647" s="33">
        <v>47</v>
      </c>
    </row>
    <row r="2648" spans="1:7">
      <c r="A2648" t="s">
        <v>22</v>
      </c>
      <c r="B2648" t="s">
        <v>200</v>
      </c>
      <c r="C2648" s="32">
        <v>545.94000000000005</v>
      </c>
      <c r="D2648" s="33">
        <v>63</v>
      </c>
      <c r="E2648" t="s">
        <v>128</v>
      </c>
      <c r="F2648" t="s">
        <v>90</v>
      </c>
      <c r="G2648" s="33">
        <v>47</v>
      </c>
    </row>
    <row r="2649" spans="1:7">
      <c r="A2649" t="s">
        <v>22</v>
      </c>
      <c r="B2649" t="s">
        <v>200</v>
      </c>
      <c r="C2649" s="32">
        <v>546.02</v>
      </c>
      <c r="D2649" s="33">
        <v>64</v>
      </c>
      <c r="E2649" t="s">
        <v>129</v>
      </c>
      <c r="F2649" t="s">
        <v>93</v>
      </c>
      <c r="G2649" s="33">
        <v>46</v>
      </c>
    </row>
    <row r="2650" spans="1:7">
      <c r="A2650" t="s">
        <v>22</v>
      </c>
      <c r="B2650" t="s">
        <v>200</v>
      </c>
      <c r="C2650" s="32">
        <v>546.1</v>
      </c>
      <c r="D2650" s="33">
        <v>65</v>
      </c>
      <c r="E2650" t="s">
        <v>130</v>
      </c>
      <c r="F2650" t="s">
        <v>90</v>
      </c>
      <c r="G2650" s="33">
        <v>47</v>
      </c>
    </row>
    <row r="2651" spans="1:7">
      <c r="A2651" t="s">
        <v>22</v>
      </c>
      <c r="B2651" t="s">
        <v>200</v>
      </c>
      <c r="C2651" s="32">
        <v>546.17999999999995</v>
      </c>
      <c r="D2651" s="33">
        <v>66</v>
      </c>
      <c r="E2651" t="s">
        <v>131</v>
      </c>
      <c r="F2651" t="s">
        <v>90</v>
      </c>
      <c r="G2651" s="33">
        <v>47</v>
      </c>
    </row>
    <row r="2652" spans="1:7">
      <c r="A2652" t="s">
        <v>22</v>
      </c>
      <c r="B2652" t="s">
        <v>200</v>
      </c>
      <c r="C2652" s="32">
        <v>546.26</v>
      </c>
      <c r="D2652" s="33">
        <v>67</v>
      </c>
      <c r="E2652" t="s">
        <v>133</v>
      </c>
      <c r="F2652" t="s">
        <v>93</v>
      </c>
      <c r="G2652" s="33">
        <v>47</v>
      </c>
    </row>
    <row r="2653" spans="1:7">
      <c r="A2653" t="s">
        <v>22</v>
      </c>
      <c r="B2653" t="s">
        <v>200</v>
      </c>
      <c r="C2653" s="32">
        <v>546.34</v>
      </c>
      <c r="D2653" s="33">
        <v>68</v>
      </c>
      <c r="E2653" t="s">
        <v>134</v>
      </c>
      <c r="F2653" t="s">
        <v>90</v>
      </c>
      <c r="G2653" s="33">
        <v>47</v>
      </c>
    </row>
    <row r="2654" spans="1:7">
      <c r="A2654" t="s">
        <v>22</v>
      </c>
      <c r="B2654" t="s">
        <v>200</v>
      </c>
      <c r="C2654" s="32">
        <v>546.41</v>
      </c>
      <c r="D2654" s="33">
        <v>69</v>
      </c>
      <c r="E2654" t="s">
        <v>135</v>
      </c>
      <c r="F2654" t="s">
        <v>96</v>
      </c>
      <c r="G2654" s="33">
        <v>47</v>
      </c>
    </row>
    <row r="2655" spans="1:7">
      <c r="A2655" t="s">
        <v>22</v>
      </c>
      <c r="B2655" t="s">
        <v>200</v>
      </c>
      <c r="C2655" s="32">
        <v>546.49</v>
      </c>
      <c r="D2655" s="33">
        <v>70</v>
      </c>
      <c r="E2655" t="s">
        <v>136</v>
      </c>
      <c r="F2655" t="s">
        <v>102</v>
      </c>
      <c r="G2655" s="33">
        <v>46</v>
      </c>
    </row>
    <row r="2656" spans="1:7">
      <c r="A2656" t="s">
        <v>22</v>
      </c>
      <c r="B2656" t="s">
        <v>200</v>
      </c>
      <c r="C2656" s="32">
        <v>546.57000000000005</v>
      </c>
      <c r="D2656" s="33">
        <v>71</v>
      </c>
      <c r="E2656" t="s">
        <v>137</v>
      </c>
      <c r="F2656" t="s">
        <v>93</v>
      </c>
      <c r="G2656" s="33">
        <v>47</v>
      </c>
    </row>
    <row r="2657" spans="1:7">
      <c r="A2657" t="s">
        <v>22</v>
      </c>
      <c r="B2657" t="s">
        <v>200</v>
      </c>
      <c r="C2657" s="32">
        <v>546.65</v>
      </c>
      <c r="D2657" s="33">
        <v>72</v>
      </c>
      <c r="E2657" t="s">
        <v>138</v>
      </c>
      <c r="F2657" t="s">
        <v>90</v>
      </c>
      <c r="G2657" s="33">
        <v>47</v>
      </c>
    </row>
    <row r="2658" spans="1:7">
      <c r="A2658" t="s">
        <v>22</v>
      </c>
      <c r="B2658" t="s">
        <v>200</v>
      </c>
      <c r="C2658" s="32">
        <v>546.73</v>
      </c>
      <c r="D2658" s="33">
        <v>73</v>
      </c>
      <c r="E2658" t="s">
        <v>140</v>
      </c>
      <c r="F2658" t="s">
        <v>90</v>
      </c>
      <c r="G2658" s="33">
        <v>47</v>
      </c>
    </row>
    <row r="2659" spans="1:7">
      <c r="A2659" t="s">
        <v>22</v>
      </c>
      <c r="B2659" t="s">
        <v>200</v>
      </c>
      <c r="C2659" s="32">
        <v>546.80999999999995</v>
      </c>
      <c r="D2659" s="33">
        <v>74</v>
      </c>
      <c r="E2659" t="s">
        <v>141</v>
      </c>
      <c r="F2659" t="s">
        <v>93</v>
      </c>
      <c r="G2659" s="33">
        <v>47</v>
      </c>
    </row>
    <row r="2660" spans="1:7">
      <c r="A2660" t="s">
        <v>22</v>
      </c>
      <c r="B2660" t="s">
        <v>200</v>
      </c>
      <c r="C2660" s="32">
        <v>546.89</v>
      </c>
      <c r="D2660" s="33">
        <v>75</v>
      </c>
      <c r="E2660" t="s">
        <v>142</v>
      </c>
      <c r="F2660" t="s">
        <v>90</v>
      </c>
      <c r="G2660" s="33">
        <v>47</v>
      </c>
    </row>
    <row r="2661" spans="1:7">
      <c r="A2661" t="s">
        <v>22</v>
      </c>
      <c r="B2661" t="s">
        <v>200</v>
      </c>
      <c r="C2661" s="32">
        <v>546.97</v>
      </c>
      <c r="D2661" s="33">
        <v>76</v>
      </c>
      <c r="E2661" t="s">
        <v>143</v>
      </c>
      <c r="F2661" t="s">
        <v>96</v>
      </c>
      <c r="G2661" s="33">
        <v>46</v>
      </c>
    </row>
    <row r="2662" spans="1:7">
      <c r="A2662" t="s">
        <v>22</v>
      </c>
      <c r="B2662" t="s">
        <v>200</v>
      </c>
      <c r="C2662" s="32">
        <v>547.04999999999995</v>
      </c>
      <c r="D2662" s="33">
        <v>77</v>
      </c>
      <c r="E2662" t="s">
        <v>144</v>
      </c>
      <c r="F2662" t="s">
        <v>90</v>
      </c>
      <c r="G2662" s="33">
        <v>47</v>
      </c>
    </row>
    <row r="2663" spans="1:7">
      <c r="A2663" t="s">
        <v>22</v>
      </c>
      <c r="B2663" t="s">
        <v>200</v>
      </c>
      <c r="C2663" s="32">
        <v>547.13</v>
      </c>
      <c r="D2663" s="33">
        <v>78</v>
      </c>
      <c r="E2663" t="s">
        <v>145</v>
      </c>
      <c r="F2663" t="s">
        <v>93</v>
      </c>
      <c r="G2663" s="33">
        <v>47</v>
      </c>
    </row>
    <row r="2664" spans="1:7">
      <c r="A2664" t="s">
        <v>22</v>
      </c>
      <c r="B2664" t="s">
        <v>200</v>
      </c>
      <c r="C2664" s="32">
        <v>547.21</v>
      </c>
      <c r="D2664" s="33">
        <v>79</v>
      </c>
      <c r="E2664" t="s">
        <v>146</v>
      </c>
      <c r="F2664" t="s">
        <v>90</v>
      </c>
      <c r="G2664" s="33">
        <v>47</v>
      </c>
    </row>
    <row r="2665" spans="1:7">
      <c r="A2665" t="s">
        <v>22</v>
      </c>
      <c r="B2665" t="s">
        <v>200</v>
      </c>
      <c r="C2665" s="32">
        <v>547.29</v>
      </c>
      <c r="D2665" s="33">
        <v>80</v>
      </c>
      <c r="E2665" t="s">
        <v>148</v>
      </c>
      <c r="F2665" t="s">
        <v>90</v>
      </c>
      <c r="G2665" s="33">
        <v>47</v>
      </c>
    </row>
    <row r="2666" spans="1:7">
      <c r="A2666" t="s">
        <v>22</v>
      </c>
      <c r="B2666" t="s">
        <v>200</v>
      </c>
      <c r="C2666" s="32">
        <v>547.37</v>
      </c>
      <c r="D2666" s="33">
        <v>81</v>
      </c>
      <c r="E2666" t="s">
        <v>149</v>
      </c>
      <c r="F2666" t="s">
        <v>93</v>
      </c>
      <c r="G2666" s="33">
        <v>47</v>
      </c>
    </row>
    <row r="2667" spans="1:7">
      <c r="A2667" t="s">
        <v>22</v>
      </c>
      <c r="B2667" t="s">
        <v>200</v>
      </c>
      <c r="C2667" s="32">
        <v>547.45000000000005</v>
      </c>
      <c r="D2667" s="33">
        <v>82</v>
      </c>
      <c r="E2667" t="s">
        <v>150</v>
      </c>
      <c r="F2667" t="s">
        <v>90</v>
      </c>
      <c r="G2667" s="33">
        <v>46</v>
      </c>
    </row>
    <row r="2668" spans="1:7">
      <c r="A2668" t="s">
        <v>22</v>
      </c>
      <c r="B2668" t="s">
        <v>200</v>
      </c>
      <c r="C2668" s="32">
        <v>547.53</v>
      </c>
      <c r="D2668" s="33">
        <v>83</v>
      </c>
      <c r="E2668" t="s">
        <v>151</v>
      </c>
      <c r="F2668" t="s">
        <v>96</v>
      </c>
      <c r="G2668" s="33">
        <v>47</v>
      </c>
    </row>
    <row r="2669" spans="1:7">
      <c r="A2669" t="s">
        <v>22</v>
      </c>
      <c r="B2669" t="s">
        <v>200</v>
      </c>
      <c r="C2669" s="32">
        <v>547.61</v>
      </c>
      <c r="D2669" s="33">
        <v>84</v>
      </c>
      <c r="E2669" t="s">
        <v>152</v>
      </c>
      <c r="F2669" t="s">
        <v>102</v>
      </c>
      <c r="G2669" s="33">
        <v>47</v>
      </c>
    </row>
    <row r="2670" spans="1:7">
      <c r="A2670" t="s">
        <v>22</v>
      </c>
      <c r="B2670" t="s">
        <v>200</v>
      </c>
      <c r="C2670" s="32">
        <v>547.69000000000005</v>
      </c>
      <c r="D2670" s="33">
        <v>85</v>
      </c>
      <c r="E2670" t="s">
        <v>153</v>
      </c>
      <c r="F2670" t="s">
        <v>93</v>
      </c>
      <c r="G2670" s="33">
        <v>47</v>
      </c>
    </row>
    <row r="2671" spans="1:7">
      <c r="A2671" t="s">
        <v>22</v>
      </c>
      <c r="B2671" t="s">
        <v>200</v>
      </c>
      <c r="C2671" s="32">
        <v>547.77</v>
      </c>
      <c r="D2671" s="33">
        <v>86</v>
      </c>
      <c r="E2671" t="s">
        <v>120</v>
      </c>
      <c r="F2671" t="s">
        <v>90</v>
      </c>
      <c r="G2671" s="33">
        <v>47</v>
      </c>
    </row>
    <row r="2672" spans="1:7">
      <c r="A2672" t="s">
        <v>22</v>
      </c>
      <c r="B2672" t="s">
        <v>200</v>
      </c>
      <c r="C2672" s="32">
        <v>547.85</v>
      </c>
      <c r="D2672" s="33">
        <v>87</v>
      </c>
      <c r="E2672" t="s">
        <v>115</v>
      </c>
      <c r="F2672" t="s">
        <v>93</v>
      </c>
      <c r="G2672" s="33">
        <v>47</v>
      </c>
    </row>
    <row r="2673" spans="1:7">
      <c r="A2673" t="s">
        <v>22</v>
      </c>
      <c r="B2673" t="s">
        <v>200</v>
      </c>
      <c r="C2673" s="32">
        <v>547.92999999999995</v>
      </c>
      <c r="D2673" s="33">
        <v>88</v>
      </c>
      <c r="E2673" t="s">
        <v>116</v>
      </c>
      <c r="F2673" t="s">
        <v>90</v>
      </c>
      <c r="G2673" s="33">
        <v>46</v>
      </c>
    </row>
    <row r="2674" spans="1:7">
      <c r="A2674" t="s">
        <v>22</v>
      </c>
      <c r="B2674" t="s">
        <v>200</v>
      </c>
      <c r="C2674" s="32">
        <v>548.01</v>
      </c>
      <c r="D2674" s="33">
        <v>89</v>
      </c>
      <c r="E2674" t="s">
        <v>117</v>
      </c>
      <c r="F2674" t="s">
        <v>90</v>
      </c>
      <c r="G2674" s="33">
        <v>47</v>
      </c>
    </row>
    <row r="2675" spans="1:7">
      <c r="A2675" t="s">
        <v>22</v>
      </c>
      <c r="B2675" t="s">
        <v>200</v>
      </c>
      <c r="C2675" s="32">
        <v>548.09</v>
      </c>
      <c r="D2675" s="33">
        <v>90</v>
      </c>
      <c r="E2675" t="s">
        <v>118</v>
      </c>
      <c r="F2675" t="s">
        <v>93</v>
      </c>
      <c r="G2675" s="33">
        <v>47</v>
      </c>
    </row>
    <row r="2676" spans="1:7">
      <c r="A2676" t="s">
        <v>22</v>
      </c>
      <c r="B2676" t="s">
        <v>200</v>
      </c>
      <c r="C2676" s="32">
        <v>548.16999999999996</v>
      </c>
      <c r="D2676" s="33">
        <v>91</v>
      </c>
      <c r="E2676" t="s">
        <v>122</v>
      </c>
      <c r="F2676" t="s">
        <v>90</v>
      </c>
      <c r="G2676" s="33">
        <v>47</v>
      </c>
    </row>
    <row r="2677" spans="1:7">
      <c r="A2677" t="s">
        <v>22</v>
      </c>
      <c r="B2677" t="s">
        <v>200</v>
      </c>
      <c r="C2677" s="32">
        <v>548.25</v>
      </c>
      <c r="D2677" s="33">
        <v>92</v>
      </c>
      <c r="E2677" t="s">
        <v>124</v>
      </c>
      <c r="F2677" t="s">
        <v>96</v>
      </c>
      <c r="G2677" s="33">
        <v>47</v>
      </c>
    </row>
    <row r="2678" spans="1:7">
      <c r="A2678" t="s">
        <v>22</v>
      </c>
      <c r="B2678" t="s">
        <v>200</v>
      </c>
      <c r="C2678" s="32">
        <v>548.33000000000004</v>
      </c>
      <c r="D2678" s="33">
        <v>93</v>
      </c>
      <c r="E2678" t="s">
        <v>125</v>
      </c>
      <c r="F2678" t="s">
        <v>90</v>
      </c>
      <c r="G2678" s="33">
        <v>47</v>
      </c>
    </row>
    <row r="2679" spans="1:7">
      <c r="A2679" t="s">
        <v>22</v>
      </c>
      <c r="B2679" t="s">
        <v>200</v>
      </c>
      <c r="C2679" s="32">
        <v>548.41</v>
      </c>
      <c r="D2679" s="33">
        <v>94</v>
      </c>
      <c r="E2679" t="s">
        <v>127</v>
      </c>
      <c r="F2679" t="s">
        <v>93</v>
      </c>
      <c r="G2679" s="33">
        <v>46</v>
      </c>
    </row>
    <row r="2680" spans="1:7">
      <c r="A2680" t="s">
        <v>22</v>
      </c>
      <c r="B2680" t="s">
        <v>200</v>
      </c>
      <c r="C2680" s="32">
        <v>548.49</v>
      </c>
      <c r="D2680" s="33">
        <v>95</v>
      </c>
      <c r="E2680" t="s">
        <v>128</v>
      </c>
      <c r="F2680" t="s">
        <v>90</v>
      </c>
      <c r="G2680" s="33">
        <v>47</v>
      </c>
    </row>
    <row r="2681" spans="1:7">
      <c r="A2681" t="s">
        <v>22</v>
      </c>
      <c r="B2681" t="s">
        <v>200</v>
      </c>
      <c r="C2681" s="32">
        <v>548.55999999999995</v>
      </c>
      <c r="D2681" s="33">
        <v>96</v>
      </c>
      <c r="E2681" t="s">
        <v>129</v>
      </c>
      <c r="F2681" t="s">
        <v>90</v>
      </c>
      <c r="G2681" s="33">
        <v>47</v>
      </c>
    </row>
    <row r="2682" spans="1:7">
      <c r="A2682" t="s">
        <v>22</v>
      </c>
      <c r="B2682" t="s">
        <v>200</v>
      </c>
      <c r="C2682" s="32">
        <v>548.64</v>
      </c>
      <c r="D2682" s="33">
        <v>97</v>
      </c>
      <c r="E2682" t="s">
        <v>130</v>
      </c>
      <c r="F2682" t="s">
        <v>93</v>
      </c>
      <c r="G2682" s="33">
        <v>47</v>
      </c>
    </row>
    <row r="2683" spans="1:7">
      <c r="A2683" t="s">
        <v>22</v>
      </c>
      <c r="B2683" t="s">
        <v>200</v>
      </c>
      <c r="C2683" s="32">
        <v>548.72</v>
      </c>
      <c r="D2683" s="33">
        <v>98</v>
      </c>
      <c r="E2683" t="s">
        <v>131</v>
      </c>
      <c r="F2683" t="s">
        <v>102</v>
      </c>
      <c r="G2683" s="33">
        <v>47</v>
      </c>
    </row>
    <row r="2684" spans="1:7">
      <c r="A2684" t="s">
        <v>22</v>
      </c>
      <c r="B2684" t="s">
        <v>200</v>
      </c>
      <c r="C2684" s="32">
        <v>548.79999999999995</v>
      </c>
      <c r="D2684" s="33">
        <v>99</v>
      </c>
      <c r="E2684" t="s">
        <v>133</v>
      </c>
      <c r="F2684" t="s">
        <v>96</v>
      </c>
      <c r="G2684" s="33">
        <v>47</v>
      </c>
    </row>
    <row r="2685" spans="1:7">
      <c r="A2685" t="s">
        <v>22</v>
      </c>
      <c r="B2685" t="s">
        <v>200</v>
      </c>
      <c r="C2685" s="32">
        <v>548.88</v>
      </c>
      <c r="D2685" s="33">
        <v>100</v>
      </c>
      <c r="E2685" t="s">
        <v>134</v>
      </c>
      <c r="F2685" t="s">
        <v>90</v>
      </c>
      <c r="G2685" s="33">
        <v>46</v>
      </c>
    </row>
    <row r="2686" spans="1:7">
      <c r="A2686" t="s">
        <v>22</v>
      </c>
      <c r="B2686" t="s">
        <v>200</v>
      </c>
      <c r="C2686" s="32">
        <v>548.96</v>
      </c>
      <c r="D2686" s="33">
        <v>101</v>
      </c>
      <c r="E2686" t="s">
        <v>135</v>
      </c>
      <c r="F2686" t="s">
        <v>93</v>
      </c>
      <c r="G2686" s="33">
        <v>47</v>
      </c>
    </row>
    <row r="2687" spans="1:7">
      <c r="A2687" t="s">
        <v>22</v>
      </c>
      <c r="B2687" t="s">
        <v>200</v>
      </c>
      <c r="C2687" s="32">
        <v>549.04</v>
      </c>
      <c r="D2687" s="33">
        <v>102</v>
      </c>
      <c r="E2687" t="s">
        <v>136</v>
      </c>
      <c r="F2687" t="s">
        <v>90</v>
      </c>
      <c r="G2687" s="33">
        <v>47</v>
      </c>
    </row>
    <row r="2688" spans="1:7">
      <c r="A2688" t="s">
        <v>22</v>
      </c>
      <c r="B2688" t="s">
        <v>200</v>
      </c>
      <c r="C2688" s="32">
        <v>549.12</v>
      </c>
      <c r="D2688" s="33">
        <v>103</v>
      </c>
      <c r="E2688" t="s">
        <v>137</v>
      </c>
      <c r="F2688" t="s">
        <v>90</v>
      </c>
      <c r="G2688" s="33">
        <v>47</v>
      </c>
    </row>
    <row r="2689" spans="1:7">
      <c r="A2689" t="s">
        <v>22</v>
      </c>
      <c r="B2689" t="s">
        <v>200</v>
      </c>
      <c r="C2689" s="32">
        <v>549.20000000000005</v>
      </c>
      <c r="D2689" s="33">
        <v>104</v>
      </c>
      <c r="E2689" t="s">
        <v>138</v>
      </c>
      <c r="F2689" t="s">
        <v>93</v>
      </c>
      <c r="G2689" s="33">
        <v>47</v>
      </c>
    </row>
    <row r="2690" spans="1:7">
      <c r="A2690" t="s">
        <v>22</v>
      </c>
      <c r="B2690" t="s">
        <v>200</v>
      </c>
      <c r="C2690" s="32">
        <v>549.28</v>
      </c>
      <c r="D2690" s="33">
        <v>105</v>
      </c>
      <c r="E2690" t="s">
        <v>140</v>
      </c>
      <c r="F2690" t="s">
        <v>90</v>
      </c>
      <c r="G2690" s="33">
        <v>47</v>
      </c>
    </row>
    <row r="2691" spans="1:7">
      <c r="A2691" t="s">
        <v>22</v>
      </c>
      <c r="B2691" t="s">
        <v>200</v>
      </c>
      <c r="C2691" s="32">
        <v>549.36</v>
      </c>
      <c r="D2691" s="33">
        <v>106</v>
      </c>
      <c r="E2691" t="s">
        <v>141</v>
      </c>
      <c r="F2691" t="s">
        <v>96</v>
      </c>
      <c r="G2691" s="33">
        <v>46</v>
      </c>
    </row>
    <row r="2692" spans="1:7">
      <c r="A2692" t="s">
        <v>22</v>
      </c>
      <c r="B2692" t="s">
        <v>200</v>
      </c>
      <c r="C2692" s="32">
        <v>549.44000000000005</v>
      </c>
      <c r="D2692" s="33">
        <v>107</v>
      </c>
      <c r="E2692" t="s">
        <v>142</v>
      </c>
      <c r="F2692" t="s">
        <v>90</v>
      </c>
      <c r="G2692" s="33">
        <v>47</v>
      </c>
    </row>
    <row r="2693" spans="1:7">
      <c r="A2693" t="s">
        <v>22</v>
      </c>
      <c r="B2693" t="s">
        <v>200</v>
      </c>
      <c r="C2693" s="32">
        <v>549.52</v>
      </c>
      <c r="D2693" s="33">
        <v>108</v>
      </c>
      <c r="E2693" t="s">
        <v>143</v>
      </c>
      <c r="F2693" t="s">
        <v>93</v>
      </c>
      <c r="G2693" s="33">
        <v>47</v>
      </c>
    </row>
    <row r="2694" spans="1:7">
      <c r="A2694" t="s">
        <v>22</v>
      </c>
      <c r="B2694" t="s">
        <v>200</v>
      </c>
      <c r="C2694" s="32">
        <v>549.6</v>
      </c>
      <c r="D2694" s="33">
        <v>109</v>
      </c>
      <c r="E2694" t="s">
        <v>144</v>
      </c>
      <c r="F2694" t="s">
        <v>90</v>
      </c>
      <c r="G2694" s="33">
        <v>47</v>
      </c>
    </row>
    <row r="2695" spans="1:7">
      <c r="A2695" t="s">
        <v>22</v>
      </c>
      <c r="B2695" t="s">
        <v>201</v>
      </c>
      <c r="C2695" s="32">
        <v>551</v>
      </c>
      <c r="D2695" s="33">
        <v>1</v>
      </c>
      <c r="E2695" t="s">
        <v>140</v>
      </c>
      <c r="F2695" t="s">
        <v>90</v>
      </c>
      <c r="G2695" s="33">
        <v>48</v>
      </c>
    </row>
    <row r="2696" spans="1:7">
      <c r="A2696" t="s">
        <v>22</v>
      </c>
      <c r="B2696" t="s">
        <v>201</v>
      </c>
      <c r="C2696" s="32">
        <v>551.08000000000004</v>
      </c>
      <c r="D2696" s="33">
        <v>2</v>
      </c>
      <c r="E2696" t="s">
        <v>141</v>
      </c>
      <c r="F2696" t="s">
        <v>93</v>
      </c>
      <c r="G2696" s="33">
        <v>48</v>
      </c>
    </row>
    <row r="2697" spans="1:7">
      <c r="A2697" t="s">
        <v>22</v>
      </c>
      <c r="B2697" t="s">
        <v>201</v>
      </c>
      <c r="C2697" s="32">
        <v>551.15</v>
      </c>
      <c r="D2697" s="33">
        <v>3</v>
      </c>
      <c r="E2697" t="s">
        <v>142</v>
      </c>
      <c r="F2697" t="s">
        <v>90</v>
      </c>
      <c r="G2697" s="33">
        <v>48</v>
      </c>
    </row>
    <row r="2698" spans="1:7">
      <c r="A2698" t="s">
        <v>22</v>
      </c>
      <c r="B2698" t="s">
        <v>201</v>
      </c>
      <c r="C2698" s="32">
        <v>551.23</v>
      </c>
      <c r="D2698" s="33">
        <v>4</v>
      </c>
      <c r="E2698" t="s">
        <v>143</v>
      </c>
      <c r="F2698" t="s">
        <v>96</v>
      </c>
      <c r="G2698" s="33">
        <v>47</v>
      </c>
    </row>
    <row r="2699" spans="1:7">
      <c r="A2699" t="s">
        <v>22</v>
      </c>
      <c r="B2699" t="s">
        <v>201</v>
      </c>
      <c r="C2699" s="32">
        <v>551.30999999999995</v>
      </c>
      <c r="D2699" s="33">
        <v>5</v>
      </c>
      <c r="E2699" t="s">
        <v>144</v>
      </c>
      <c r="F2699" t="s">
        <v>90</v>
      </c>
      <c r="G2699" s="33">
        <v>48</v>
      </c>
    </row>
    <row r="2700" spans="1:7">
      <c r="A2700" t="s">
        <v>22</v>
      </c>
      <c r="B2700" t="s">
        <v>201</v>
      </c>
      <c r="C2700" s="32">
        <v>551.39</v>
      </c>
      <c r="D2700" s="33">
        <v>6</v>
      </c>
      <c r="E2700" t="s">
        <v>145</v>
      </c>
      <c r="F2700" t="s">
        <v>93</v>
      </c>
      <c r="G2700" s="33">
        <v>48</v>
      </c>
    </row>
    <row r="2701" spans="1:7">
      <c r="A2701" t="s">
        <v>22</v>
      </c>
      <c r="B2701" t="s">
        <v>201</v>
      </c>
      <c r="C2701" s="32">
        <v>551.46</v>
      </c>
      <c r="D2701" s="33">
        <v>7</v>
      </c>
      <c r="E2701" t="s">
        <v>146</v>
      </c>
      <c r="F2701" t="s">
        <v>90</v>
      </c>
      <c r="G2701" s="33">
        <v>48</v>
      </c>
    </row>
    <row r="2702" spans="1:7">
      <c r="A2702" t="s">
        <v>22</v>
      </c>
      <c r="B2702" t="s">
        <v>201</v>
      </c>
      <c r="C2702" s="32">
        <v>551.54</v>
      </c>
      <c r="D2702" s="33">
        <v>8</v>
      </c>
      <c r="E2702" t="s">
        <v>148</v>
      </c>
      <c r="F2702" t="s">
        <v>90</v>
      </c>
      <c r="G2702" s="33">
        <v>48</v>
      </c>
    </row>
    <row r="2703" spans="1:7">
      <c r="A2703" t="s">
        <v>22</v>
      </c>
      <c r="B2703" t="s">
        <v>201</v>
      </c>
      <c r="C2703" s="32">
        <v>551.62</v>
      </c>
      <c r="D2703" s="33">
        <v>9</v>
      </c>
      <c r="E2703" t="s">
        <v>149</v>
      </c>
      <c r="F2703" t="s">
        <v>93</v>
      </c>
      <c r="G2703" s="33">
        <v>48</v>
      </c>
    </row>
    <row r="2704" spans="1:7">
      <c r="A2704" t="s">
        <v>22</v>
      </c>
      <c r="B2704" t="s">
        <v>201</v>
      </c>
      <c r="C2704" s="32">
        <v>551.70000000000005</v>
      </c>
      <c r="D2704" s="33">
        <v>10</v>
      </c>
      <c r="E2704" t="s">
        <v>150</v>
      </c>
      <c r="F2704" t="s">
        <v>90</v>
      </c>
      <c r="G2704" s="33">
        <v>48</v>
      </c>
    </row>
    <row r="2705" spans="1:7">
      <c r="A2705" t="s">
        <v>22</v>
      </c>
      <c r="B2705" t="s">
        <v>201</v>
      </c>
      <c r="C2705" s="32">
        <v>551.77</v>
      </c>
      <c r="D2705" s="33">
        <v>11</v>
      </c>
      <c r="E2705" t="s">
        <v>151</v>
      </c>
      <c r="F2705" t="s">
        <v>96</v>
      </c>
      <c r="G2705" s="33">
        <v>48</v>
      </c>
    </row>
    <row r="2706" spans="1:7">
      <c r="A2706" t="s">
        <v>22</v>
      </c>
      <c r="B2706" t="s">
        <v>201</v>
      </c>
      <c r="C2706" s="32">
        <v>551.85</v>
      </c>
      <c r="D2706" s="33">
        <v>12</v>
      </c>
      <c r="E2706" t="s">
        <v>152</v>
      </c>
      <c r="F2706" t="s">
        <v>90</v>
      </c>
      <c r="G2706" s="33">
        <v>47</v>
      </c>
    </row>
    <row r="2707" spans="1:7">
      <c r="A2707" t="s">
        <v>22</v>
      </c>
      <c r="B2707" t="s">
        <v>201</v>
      </c>
      <c r="C2707" s="32">
        <v>551.92999999999995</v>
      </c>
      <c r="D2707" s="33">
        <v>13</v>
      </c>
      <c r="E2707" t="s">
        <v>153</v>
      </c>
      <c r="F2707" t="s">
        <v>93</v>
      </c>
      <c r="G2707" s="33">
        <v>48</v>
      </c>
    </row>
    <row r="2708" spans="1:7">
      <c r="A2708" t="s">
        <v>22</v>
      </c>
      <c r="B2708" t="s">
        <v>201</v>
      </c>
      <c r="C2708" s="32">
        <v>552.01</v>
      </c>
      <c r="D2708" s="33">
        <v>14</v>
      </c>
      <c r="E2708" t="s">
        <v>120</v>
      </c>
      <c r="F2708" t="s">
        <v>102</v>
      </c>
      <c r="G2708" s="33">
        <v>48</v>
      </c>
    </row>
    <row r="2709" spans="1:7">
      <c r="A2709" t="s">
        <v>22</v>
      </c>
      <c r="B2709" t="s">
        <v>201</v>
      </c>
      <c r="C2709" s="32">
        <v>552.08000000000004</v>
      </c>
      <c r="D2709" s="33">
        <v>15</v>
      </c>
      <c r="E2709" t="s">
        <v>115</v>
      </c>
      <c r="F2709" t="s">
        <v>90</v>
      </c>
      <c r="G2709" s="33">
        <v>48</v>
      </c>
    </row>
    <row r="2710" spans="1:7">
      <c r="A2710" t="s">
        <v>22</v>
      </c>
      <c r="B2710" t="s">
        <v>201</v>
      </c>
      <c r="C2710" s="32">
        <v>552.16</v>
      </c>
      <c r="D2710" s="33">
        <v>16</v>
      </c>
      <c r="E2710" t="s">
        <v>116</v>
      </c>
      <c r="F2710" t="s">
        <v>93</v>
      </c>
      <c r="G2710" s="33">
        <v>48</v>
      </c>
    </row>
    <row r="2711" spans="1:7">
      <c r="A2711" t="s">
        <v>22</v>
      </c>
      <c r="B2711" t="s">
        <v>201</v>
      </c>
      <c r="C2711" s="32">
        <v>552.24</v>
      </c>
      <c r="D2711" s="33">
        <v>17</v>
      </c>
      <c r="E2711" t="s">
        <v>117</v>
      </c>
      <c r="F2711" t="s">
        <v>90</v>
      </c>
      <c r="G2711" s="33">
        <v>48</v>
      </c>
    </row>
    <row r="2712" spans="1:7">
      <c r="A2712" t="s">
        <v>22</v>
      </c>
      <c r="B2712" t="s">
        <v>201</v>
      </c>
      <c r="C2712" s="32">
        <v>552.32000000000005</v>
      </c>
      <c r="D2712" s="33">
        <v>18</v>
      </c>
      <c r="E2712" t="s">
        <v>118</v>
      </c>
      <c r="F2712" t="s">
        <v>96</v>
      </c>
      <c r="G2712" s="33">
        <v>48</v>
      </c>
    </row>
    <row r="2713" spans="1:7">
      <c r="A2713" t="s">
        <v>22</v>
      </c>
      <c r="B2713" t="s">
        <v>201</v>
      </c>
      <c r="C2713" s="32">
        <v>552.39</v>
      </c>
      <c r="D2713" s="33">
        <v>19</v>
      </c>
      <c r="E2713" t="s">
        <v>122</v>
      </c>
      <c r="F2713" t="s">
        <v>90</v>
      </c>
      <c r="G2713" s="33">
        <v>47</v>
      </c>
    </row>
    <row r="2714" spans="1:7">
      <c r="A2714" t="s">
        <v>22</v>
      </c>
      <c r="B2714" t="s">
        <v>201</v>
      </c>
      <c r="C2714" s="32">
        <v>552.47</v>
      </c>
      <c r="D2714" s="33">
        <v>20</v>
      </c>
      <c r="E2714" t="s">
        <v>124</v>
      </c>
      <c r="F2714" t="s">
        <v>93</v>
      </c>
      <c r="G2714" s="33">
        <v>48</v>
      </c>
    </row>
    <row r="2715" spans="1:7">
      <c r="A2715" t="s">
        <v>22</v>
      </c>
      <c r="B2715" t="s">
        <v>201</v>
      </c>
      <c r="C2715" s="32">
        <v>552.54999999999995</v>
      </c>
      <c r="D2715" s="33">
        <v>21</v>
      </c>
      <c r="E2715" t="s">
        <v>125</v>
      </c>
      <c r="F2715" t="s">
        <v>90</v>
      </c>
      <c r="G2715" s="33">
        <v>48</v>
      </c>
    </row>
    <row r="2716" spans="1:7">
      <c r="A2716" t="s">
        <v>22</v>
      </c>
      <c r="B2716" t="s">
        <v>201</v>
      </c>
      <c r="C2716" s="32">
        <v>552.63</v>
      </c>
      <c r="D2716" s="33">
        <v>22</v>
      </c>
      <c r="E2716" t="s">
        <v>127</v>
      </c>
      <c r="F2716" t="s">
        <v>93</v>
      </c>
      <c r="G2716" s="33">
        <v>48</v>
      </c>
    </row>
    <row r="2717" spans="1:7">
      <c r="A2717" t="s">
        <v>22</v>
      </c>
      <c r="B2717" t="s">
        <v>201</v>
      </c>
      <c r="C2717" s="32">
        <v>552.70000000000005</v>
      </c>
      <c r="D2717" s="33">
        <v>23</v>
      </c>
      <c r="E2717" t="s">
        <v>128</v>
      </c>
      <c r="F2717" t="s">
        <v>90</v>
      </c>
      <c r="G2717" s="33">
        <v>48</v>
      </c>
    </row>
    <row r="2718" spans="1:7">
      <c r="A2718" t="s">
        <v>22</v>
      </c>
      <c r="B2718" t="s">
        <v>201</v>
      </c>
      <c r="C2718" s="32">
        <v>552.78</v>
      </c>
      <c r="D2718" s="33">
        <v>24</v>
      </c>
      <c r="E2718" t="s">
        <v>129</v>
      </c>
      <c r="F2718" t="s">
        <v>90</v>
      </c>
      <c r="G2718" s="33">
        <v>48</v>
      </c>
    </row>
    <row r="2719" spans="1:7">
      <c r="A2719" t="s">
        <v>22</v>
      </c>
      <c r="B2719" t="s">
        <v>201</v>
      </c>
      <c r="C2719" s="32">
        <v>552.86</v>
      </c>
      <c r="D2719" s="33">
        <v>25</v>
      </c>
      <c r="E2719" t="s">
        <v>130</v>
      </c>
      <c r="F2719" t="s">
        <v>96</v>
      </c>
      <c r="G2719" s="33">
        <v>48</v>
      </c>
    </row>
    <row r="2720" spans="1:7">
      <c r="A2720" t="s">
        <v>22</v>
      </c>
      <c r="B2720" t="s">
        <v>201</v>
      </c>
      <c r="C2720" s="32">
        <v>552.94000000000005</v>
      </c>
      <c r="D2720" s="33">
        <v>26</v>
      </c>
      <c r="E2720" t="s">
        <v>131</v>
      </c>
      <c r="F2720" t="s">
        <v>93</v>
      </c>
      <c r="G2720" s="33">
        <v>48</v>
      </c>
    </row>
    <row r="2721" spans="1:7">
      <c r="A2721" t="s">
        <v>22</v>
      </c>
      <c r="B2721" t="s">
        <v>201</v>
      </c>
      <c r="C2721" s="32">
        <v>553.01</v>
      </c>
      <c r="D2721" s="33">
        <v>27</v>
      </c>
      <c r="E2721" t="s">
        <v>133</v>
      </c>
      <c r="F2721" t="s">
        <v>90</v>
      </c>
      <c r="G2721" s="33">
        <v>47</v>
      </c>
    </row>
    <row r="2722" spans="1:7">
      <c r="A2722" t="s">
        <v>22</v>
      </c>
      <c r="B2722" t="s">
        <v>201</v>
      </c>
      <c r="C2722" s="32">
        <v>553.09</v>
      </c>
      <c r="D2722" s="33">
        <v>28</v>
      </c>
      <c r="E2722" t="s">
        <v>134</v>
      </c>
      <c r="F2722" t="s">
        <v>102</v>
      </c>
      <c r="G2722" s="33">
        <v>48</v>
      </c>
    </row>
    <row r="2723" spans="1:7">
      <c r="A2723" t="s">
        <v>22</v>
      </c>
      <c r="B2723" t="s">
        <v>201</v>
      </c>
      <c r="C2723" s="32">
        <v>553.16999999999996</v>
      </c>
      <c r="D2723" s="33">
        <v>29</v>
      </c>
      <c r="E2723" t="s">
        <v>135</v>
      </c>
      <c r="F2723" t="s">
        <v>93</v>
      </c>
      <c r="G2723" s="33">
        <v>48</v>
      </c>
    </row>
    <row r="2724" spans="1:7">
      <c r="A2724" t="s">
        <v>22</v>
      </c>
      <c r="B2724" t="s">
        <v>201</v>
      </c>
      <c r="C2724" s="32">
        <v>553.25</v>
      </c>
      <c r="D2724" s="33">
        <v>30</v>
      </c>
      <c r="E2724" t="s">
        <v>136</v>
      </c>
      <c r="F2724" t="s">
        <v>90</v>
      </c>
      <c r="G2724" s="33">
        <v>48</v>
      </c>
    </row>
    <row r="2725" spans="1:7">
      <c r="A2725" t="s">
        <v>22</v>
      </c>
      <c r="B2725" t="s">
        <v>201</v>
      </c>
      <c r="C2725" s="32">
        <v>553.32000000000005</v>
      </c>
      <c r="D2725" s="33">
        <v>31</v>
      </c>
      <c r="E2725" t="s">
        <v>137</v>
      </c>
      <c r="F2725" t="s">
        <v>90</v>
      </c>
      <c r="G2725" s="33">
        <v>48</v>
      </c>
    </row>
    <row r="2726" spans="1:7">
      <c r="A2726" t="s">
        <v>22</v>
      </c>
      <c r="B2726" t="s">
        <v>201</v>
      </c>
      <c r="C2726" s="32">
        <v>553.4</v>
      </c>
      <c r="D2726" s="33">
        <v>32</v>
      </c>
      <c r="E2726" t="s">
        <v>138</v>
      </c>
      <c r="F2726" t="s">
        <v>96</v>
      </c>
      <c r="G2726" s="33">
        <v>48</v>
      </c>
    </row>
    <row r="2727" spans="1:7">
      <c r="A2727" t="s">
        <v>22</v>
      </c>
      <c r="B2727" t="s">
        <v>201</v>
      </c>
      <c r="C2727" s="32">
        <v>553.48</v>
      </c>
      <c r="D2727" s="33">
        <v>33</v>
      </c>
      <c r="E2727" t="s">
        <v>140</v>
      </c>
      <c r="F2727" t="s">
        <v>93</v>
      </c>
      <c r="G2727" s="33">
        <v>48</v>
      </c>
    </row>
    <row r="2728" spans="1:7">
      <c r="A2728" t="s">
        <v>22</v>
      </c>
      <c r="B2728" t="s">
        <v>201</v>
      </c>
      <c r="C2728" s="32">
        <v>553.55999999999995</v>
      </c>
      <c r="D2728" s="33">
        <v>34</v>
      </c>
      <c r="E2728" t="s">
        <v>141</v>
      </c>
      <c r="F2728" t="s">
        <v>90</v>
      </c>
      <c r="G2728" s="33">
        <v>47</v>
      </c>
    </row>
    <row r="2729" spans="1:7">
      <c r="A2729" t="s">
        <v>22</v>
      </c>
      <c r="B2729" t="s">
        <v>201</v>
      </c>
      <c r="C2729" s="32">
        <v>553.63</v>
      </c>
      <c r="D2729" s="33">
        <v>35</v>
      </c>
      <c r="E2729" t="s">
        <v>142</v>
      </c>
      <c r="F2729" t="s">
        <v>90</v>
      </c>
      <c r="G2729" s="33">
        <v>48</v>
      </c>
    </row>
    <row r="2730" spans="1:7">
      <c r="A2730" t="s">
        <v>22</v>
      </c>
      <c r="B2730" t="s">
        <v>201</v>
      </c>
      <c r="C2730" s="32">
        <v>553.71</v>
      </c>
      <c r="D2730" s="33">
        <v>36</v>
      </c>
      <c r="E2730" t="s">
        <v>143</v>
      </c>
      <c r="F2730" t="s">
        <v>93</v>
      </c>
      <c r="G2730" s="33">
        <v>48</v>
      </c>
    </row>
    <row r="2731" spans="1:7">
      <c r="A2731" t="s">
        <v>22</v>
      </c>
      <c r="B2731" t="s">
        <v>201</v>
      </c>
      <c r="C2731" s="32">
        <v>553.79</v>
      </c>
      <c r="D2731" s="33">
        <v>37</v>
      </c>
      <c r="E2731" t="s">
        <v>144</v>
      </c>
      <c r="F2731" t="s">
        <v>90</v>
      </c>
      <c r="G2731" s="33">
        <v>48</v>
      </c>
    </row>
    <row r="2732" spans="1:7">
      <c r="A2732" t="s">
        <v>22</v>
      </c>
      <c r="B2732" t="s">
        <v>201</v>
      </c>
      <c r="C2732" s="32">
        <v>553.87</v>
      </c>
      <c r="D2732" s="33">
        <v>38</v>
      </c>
      <c r="E2732" t="s">
        <v>145</v>
      </c>
      <c r="F2732" t="s">
        <v>96</v>
      </c>
      <c r="G2732" s="33">
        <v>48</v>
      </c>
    </row>
    <row r="2733" spans="1:7">
      <c r="A2733" t="s">
        <v>22</v>
      </c>
      <c r="B2733" t="s">
        <v>201</v>
      </c>
      <c r="C2733" s="32">
        <v>553.94000000000005</v>
      </c>
      <c r="D2733" s="33">
        <v>39</v>
      </c>
      <c r="E2733" t="s">
        <v>146</v>
      </c>
      <c r="F2733" t="s">
        <v>90</v>
      </c>
      <c r="G2733" s="33">
        <v>48</v>
      </c>
    </row>
    <row r="2734" spans="1:7">
      <c r="A2734" t="s">
        <v>22</v>
      </c>
      <c r="B2734" t="s">
        <v>201</v>
      </c>
      <c r="C2734" s="32">
        <v>554.02</v>
      </c>
      <c r="D2734" s="33">
        <v>40</v>
      </c>
      <c r="E2734" t="s">
        <v>148</v>
      </c>
      <c r="F2734" t="s">
        <v>93</v>
      </c>
      <c r="G2734" s="33">
        <v>48</v>
      </c>
    </row>
    <row r="2735" spans="1:7">
      <c r="A2735" t="s">
        <v>22</v>
      </c>
      <c r="B2735" t="s">
        <v>201</v>
      </c>
      <c r="C2735" s="32">
        <v>554.1</v>
      </c>
      <c r="D2735" s="33">
        <v>41</v>
      </c>
      <c r="E2735" t="s">
        <v>149</v>
      </c>
      <c r="F2735" t="s">
        <v>90</v>
      </c>
      <c r="G2735" s="33">
        <v>48</v>
      </c>
    </row>
    <row r="2736" spans="1:7">
      <c r="A2736" t="s">
        <v>22</v>
      </c>
      <c r="B2736" t="s">
        <v>201</v>
      </c>
      <c r="C2736" s="32">
        <v>554.17999999999995</v>
      </c>
      <c r="D2736" s="33">
        <v>42</v>
      </c>
      <c r="E2736" t="s">
        <v>150</v>
      </c>
      <c r="F2736" t="s">
        <v>102</v>
      </c>
      <c r="G2736" s="33">
        <v>47</v>
      </c>
    </row>
    <row r="2737" spans="1:7">
      <c r="A2737" t="s">
        <v>22</v>
      </c>
      <c r="B2737" t="s">
        <v>201</v>
      </c>
      <c r="C2737" s="32">
        <v>554.25</v>
      </c>
      <c r="D2737" s="33">
        <v>43</v>
      </c>
      <c r="E2737" t="s">
        <v>151</v>
      </c>
      <c r="F2737" t="s">
        <v>93</v>
      </c>
      <c r="G2737" s="33">
        <v>48</v>
      </c>
    </row>
    <row r="2738" spans="1:7">
      <c r="A2738" t="s">
        <v>22</v>
      </c>
      <c r="B2738" t="s">
        <v>201</v>
      </c>
      <c r="C2738" s="32">
        <v>554.33000000000004</v>
      </c>
      <c r="D2738" s="33">
        <v>44</v>
      </c>
      <c r="E2738" t="s">
        <v>152</v>
      </c>
      <c r="F2738" t="s">
        <v>90</v>
      </c>
      <c r="G2738" s="33">
        <v>48</v>
      </c>
    </row>
    <row r="2739" spans="1:7">
      <c r="A2739" t="s">
        <v>22</v>
      </c>
      <c r="B2739" t="s">
        <v>201</v>
      </c>
      <c r="C2739" s="32">
        <v>554.41</v>
      </c>
      <c r="D2739" s="33">
        <v>45</v>
      </c>
      <c r="E2739" t="s">
        <v>153</v>
      </c>
      <c r="F2739" t="s">
        <v>96</v>
      </c>
      <c r="G2739" s="33">
        <v>48</v>
      </c>
    </row>
    <row r="2740" spans="1:7">
      <c r="A2740" t="s">
        <v>22</v>
      </c>
      <c r="B2740" t="s">
        <v>201</v>
      </c>
      <c r="C2740" s="32">
        <v>554.49</v>
      </c>
      <c r="D2740" s="33">
        <v>46</v>
      </c>
      <c r="E2740" t="s">
        <v>120</v>
      </c>
      <c r="F2740" t="s">
        <v>90</v>
      </c>
      <c r="G2740" s="33">
        <v>48</v>
      </c>
    </row>
    <row r="2741" spans="1:7">
      <c r="A2741" t="s">
        <v>22</v>
      </c>
      <c r="B2741" t="s">
        <v>201</v>
      </c>
      <c r="C2741" s="32">
        <v>554.55999999999995</v>
      </c>
      <c r="D2741" s="33">
        <v>47</v>
      </c>
      <c r="E2741" t="s">
        <v>115</v>
      </c>
      <c r="F2741" t="s">
        <v>93</v>
      </c>
      <c r="G2741" s="33">
        <v>48</v>
      </c>
    </row>
    <row r="2742" spans="1:7">
      <c r="A2742" t="s">
        <v>22</v>
      </c>
      <c r="B2742" t="s">
        <v>201</v>
      </c>
      <c r="C2742" s="32">
        <v>554.64</v>
      </c>
      <c r="D2742" s="33">
        <v>48</v>
      </c>
      <c r="E2742" t="s">
        <v>116</v>
      </c>
      <c r="F2742" t="s">
        <v>90</v>
      </c>
      <c r="G2742" s="33">
        <v>48</v>
      </c>
    </row>
    <row r="2743" spans="1:7">
      <c r="A2743" t="s">
        <v>22</v>
      </c>
      <c r="B2743" t="s">
        <v>201</v>
      </c>
      <c r="C2743" s="32">
        <v>554.72</v>
      </c>
      <c r="D2743" s="33">
        <v>49</v>
      </c>
      <c r="E2743" t="s">
        <v>117</v>
      </c>
      <c r="F2743" t="s">
        <v>90</v>
      </c>
      <c r="G2743" s="33">
        <v>47</v>
      </c>
    </row>
    <row r="2744" spans="1:7">
      <c r="A2744" t="s">
        <v>22</v>
      </c>
      <c r="B2744" t="s">
        <v>201</v>
      </c>
      <c r="C2744" s="32">
        <v>554.79999999999995</v>
      </c>
      <c r="D2744" s="33">
        <v>50</v>
      </c>
      <c r="E2744" t="s">
        <v>118</v>
      </c>
      <c r="F2744" t="s">
        <v>93</v>
      </c>
      <c r="G2744" s="33">
        <v>48</v>
      </c>
    </row>
    <row r="2745" spans="1:7">
      <c r="A2745" t="s">
        <v>22</v>
      </c>
      <c r="B2745" t="s">
        <v>201</v>
      </c>
      <c r="C2745" s="32">
        <v>554.87</v>
      </c>
      <c r="D2745" s="33">
        <v>51</v>
      </c>
      <c r="E2745" t="s">
        <v>122</v>
      </c>
      <c r="F2745" t="s">
        <v>90</v>
      </c>
      <c r="G2745" s="33">
        <v>48</v>
      </c>
    </row>
    <row r="2746" spans="1:7">
      <c r="A2746" t="s">
        <v>22</v>
      </c>
      <c r="B2746" t="s">
        <v>201</v>
      </c>
      <c r="C2746" s="32">
        <v>554.95000000000005</v>
      </c>
      <c r="D2746" s="33">
        <v>52</v>
      </c>
      <c r="E2746" t="s">
        <v>124</v>
      </c>
      <c r="F2746" t="s">
        <v>96</v>
      </c>
      <c r="G2746" s="33">
        <v>48</v>
      </c>
    </row>
    <row r="2747" spans="1:7">
      <c r="A2747" t="s">
        <v>22</v>
      </c>
      <c r="B2747" t="s">
        <v>201</v>
      </c>
      <c r="C2747" s="32">
        <v>555.03</v>
      </c>
      <c r="D2747" s="33">
        <v>53</v>
      </c>
      <c r="E2747" t="s">
        <v>125</v>
      </c>
      <c r="F2747" t="s">
        <v>90</v>
      </c>
      <c r="G2747" s="33">
        <v>48</v>
      </c>
    </row>
    <row r="2748" spans="1:7">
      <c r="A2748" t="s">
        <v>22</v>
      </c>
      <c r="B2748" t="s">
        <v>201</v>
      </c>
      <c r="C2748" s="32">
        <v>555.11</v>
      </c>
      <c r="D2748" s="33">
        <v>54</v>
      </c>
      <c r="E2748" t="s">
        <v>127</v>
      </c>
      <c r="F2748" t="s">
        <v>93</v>
      </c>
      <c r="G2748" s="33">
        <v>48</v>
      </c>
    </row>
    <row r="2749" spans="1:7">
      <c r="A2749" t="s">
        <v>22</v>
      </c>
      <c r="B2749" t="s">
        <v>201</v>
      </c>
      <c r="C2749" s="32">
        <v>555.17999999999995</v>
      </c>
      <c r="D2749" s="33">
        <v>55</v>
      </c>
      <c r="E2749" t="s">
        <v>128</v>
      </c>
      <c r="F2749" t="s">
        <v>90</v>
      </c>
      <c r="G2749" s="33">
        <v>48</v>
      </c>
    </row>
    <row r="2750" spans="1:7">
      <c r="A2750" t="s">
        <v>22</v>
      </c>
      <c r="B2750" t="s">
        <v>201</v>
      </c>
      <c r="C2750" s="32">
        <v>555.26</v>
      </c>
      <c r="D2750" s="33">
        <v>56</v>
      </c>
      <c r="E2750" t="s">
        <v>129</v>
      </c>
      <c r="F2750" t="s">
        <v>102</v>
      </c>
      <c r="G2750" s="33">
        <v>47</v>
      </c>
    </row>
    <row r="2751" spans="1:7">
      <c r="A2751" t="s">
        <v>22</v>
      </c>
      <c r="B2751" t="s">
        <v>201</v>
      </c>
      <c r="C2751" s="32">
        <v>555.34</v>
      </c>
      <c r="D2751" s="33">
        <v>57</v>
      </c>
      <c r="E2751" t="s">
        <v>130</v>
      </c>
      <c r="F2751" t="s">
        <v>93</v>
      </c>
      <c r="G2751" s="33">
        <v>48</v>
      </c>
    </row>
    <row r="2752" spans="1:7">
      <c r="A2752" t="s">
        <v>22</v>
      </c>
      <c r="B2752" t="s">
        <v>201</v>
      </c>
      <c r="C2752" s="32">
        <v>555.41999999999996</v>
      </c>
      <c r="D2752" s="33">
        <v>58</v>
      </c>
      <c r="E2752" t="s">
        <v>131</v>
      </c>
      <c r="F2752" t="s">
        <v>90</v>
      </c>
      <c r="G2752" s="33">
        <v>48</v>
      </c>
    </row>
    <row r="2753" spans="1:7">
      <c r="A2753" t="s">
        <v>22</v>
      </c>
      <c r="B2753" t="s">
        <v>201</v>
      </c>
      <c r="C2753" s="32">
        <v>555.49</v>
      </c>
      <c r="D2753" s="33">
        <v>59</v>
      </c>
      <c r="E2753" t="s">
        <v>133</v>
      </c>
      <c r="F2753" t="s">
        <v>96</v>
      </c>
      <c r="G2753" s="33">
        <v>48</v>
      </c>
    </row>
    <row r="2754" spans="1:7">
      <c r="A2754" t="s">
        <v>22</v>
      </c>
      <c r="B2754" t="s">
        <v>201</v>
      </c>
      <c r="C2754" s="32">
        <v>555.57000000000005</v>
      </c>
      <c r="D2754" s="33">
        <v>60</v>
      </c>
      <c r="E2754" t="s">
        <v>134</v>
      </c>
      <c r="F2754" t="s">
        <v>90</v>
      </c>
      <c r="G2754" s="33">
        <v>48</v>
      </c>
    </row>
    <row r="2755" spans="1:7">
      <c r="A2755" t="s">
        <v>22</v>
      </c>
      <c r="B2755" t="s">
        <v>201</v>
      </c>
      <c r="C2755" s="32">
        <v>555.65</v>
      </c>
      <c r="D2755" s="33">
        <v>61</v>
      </c>
      <c r="E2755" t="s">
        <v>135</v>
      </c>
      <c r="F2755" t="s">
        <v>93</v>
      </c>
      <c r="G2755" s="33">
        <v>48</v>
      </c>
    </row>
    <row r="2756" spans="1:7">
      <c r="A2756" t="s">
        <v>22</v>
      </c>
      <c r="B2756" t="s">
        <v>201</v>
      </c>
      <c r="C2756" s="32">
        <v>555.73</v>
      </c>
      <c r="D2756" s="33">
        <v>62</v>
      </c>
      <c r="E2756" t="s">
        <v>136</v>
      </c>
      <c r="F2756" t="s">
        <v>90</v>
      </c>
      <c r="G2756" s="33">
        <v>48</v>
      </c>
    </row>
    <row r="2757" spans="1:7">
      <c r="A2757" t="s">
        <v>22</v>
      </c>
      <c r="B2757" t="s">
        <v>201</v>
      </c>
      <c r="C2757" s="32">
        <v>555.79999999999995</v>
      </c>
      <c r="D2757" s="33">
        <v>63</v>
      </c>
      <c r="E2757" t="s">
        <v>137</v>
      </c>
      <c r="F2757" t="s">
        <v>93</v>
      </c>
      <c r="G2757" s="33">
        <v>48</v>
      </c>
    </row>
    <row r="2758" spans="1:7">
      <c r="A2758" t="s">
        <v>22</v>
      </c>
      <c r="B2758" t="s">
        <v>201</v>
      </c>
      <c r="C2758" s="32">
        <v>555.88</v>
      </c>
      <c r="D2758" s="33">
        <v>64</v>
      </c>
      <c r="E2758" t="s">
        <v>138</v>
      </c>
      <c r="F2758" t="s">
        <v>90</v>
      </c>
      <c r="G2758" s="33">
        <v>47</v>
      </c>
    </row>
    <row r="2759" spans="1:7">
      <c r="A2759" t="s">
        <v>22</v>
      </c>
      <c r="B2759" t="s">
        <v>201</v>
      </c>
      <c r="C2759" s="32">
        <v>555.96</v>
      </c>
      <c r="D2759" s="33">
        <v>65</v>
      </c>
      <c r="E2759" t="s">
        <v>140</v>
      </c>
      <c r="F2759" t="s">
        <v>90</v>
      </c>
      <c r="G2759" s="33">
        <v>48</v>
      </c>
    </row>
    <row r="2760" spans="1:7">
      <c r="A2760" t="s">
        <v>22</v>
      </c>
      <c r="B2760" t="s">
        <v>201</v>
      </c>
      <c r="C2760" s="32">
        <v>556.04</v>
      </c>
      <c r="D2760" s="33">
        <v>66</v>
      </c>
      <c r="E2760" t="s">
        <v>141</v>
      </c>
      <c r="F2760" t="s">
        <v>93</v>
      </c>
      <c r="G2760" s="33">
        <v>48</v>
      </c>
    </row>
    <row r="2761" spans="1:7">
      <c r="A2761" t="s">
        <v>22</v>
      </c>
      <c r="B2761" t="s">
        <v>201</v>
      </c>
      <c r="C2761" s="32">
        <v>556.11</v>
      </c>
      <c r="D2761" s="33">
        <v>67</v>
      </c>
      <c r="E2761" t="s">
        <v>142</v>
      </c>
      <c r="F2761" t="s">
        <v>90</v>
      </c>
      <c r="G2761" s="33">
        <v>48</v>
      </c>
    </row>
    <row r="2762" spans="1:7">
      <c r="A2762" t="s">
        <v>22</v>
      </c>
      <c r="B2762" t="s">
        <v>201</v>
      </c>
      <c r="C2762" s="32">
        <v>556.19000000000005</v>
      </c>
      <c r="D2762" s="33">
        <v>68</v>
      </c>
      <c r="E2762" t="s">
        <v>143</v>
      </c>
      <c r="F2762" t="s">
        <v>96</v>
      </c>
      <c r="G2762" s="33">
        <v>48</v>
      </c>
    </row>
    <row r="2763" spans="1:7">
      <c r="A2763" t="s">
        <v>22</v>
      </c>
      <c r="B2763" t="s">
        <v>201</v>
      </c>
      <c r="C2763" s="32">
        <v>556.27</v>
      </c>
      <c r="D2763" s="33">
        <v>69</v>
      </c>
      <c r="E2763" t="s">
        <v>144</v>
      </c>
      <c r="F2763" t="s">
        <v>90</v>
      </c>
      <c r="G2763" s="33">
        <v>48</v>
      </c>
    </row>
    <row r="2764" spans="1:7">
      <c r="A2764" t="s">
        <v>22</v>
      </c>
      <c r="B2764" t="s">
        <v>201</v>
      </c>
      <c r="C2764" s="32">
        <v>556.35</v>
      </c>
      <c r="D2764" s="33">
        <v>70</v>
      </c>
      <c r="E2764" t="s">
        <v>145</v>
      </c>
      <c r="F2764" t="s">
        <v>93</v>
      </c>
      <c r="G2764" s="33">
        <v>48</v>
      </c>
    </row>
    <row r="2765" spans="1:7">
      <c r="A2765" t="s">
        <v>22</v>
      </c>
      <c r="B2765" t="s">
        <v>201</v>
      </c>
      <c r="C2765" s="32">
        <v>556.41999999999996</v>
      </c>
      <c r="D2765" s="33">
        <v>71</v>
      </c>
      <c r="E2765" t="s">
        <v>146</v>
      </c>
      <c r="F2765" t="s">
        <v>102</v>
      </c>
      <c r="G2765" s="33">
        <v>47</v>
      </c>
    </row>
    <row r="2766" spans="1:7">
      <c r="A2766" t="s">
        <v>22</v>
      </c>
      <c r="B2766" t="s">
        <v>201</v>
      </c>
      <c r="C2766" s="32">
        <v>556.5</v>
      </c>
      <c r="D2766" s="33">
        <v>72</v>
      </c>
      <c r="E2766" t="s">
        <v>148</v>
      </c>
      <c r="F2766" t="s">
        <v>90</v>
      </c>
      <c r="G2766" s="33">
        <v>48</v>
      </c>
    </row>
    <row r="2767" spans="1:7">
      <c r="A2767" t="s">
        <v>22</v>
      </c>
      <c r="B2767" t="s">
        <v>201</v>
      </c>
      <c r="C2767" s="32">
        <v>556.58000000000004</v>
      </c>
      <c r="D2767" s="33">
        <v>73</v>
      </c>
      <c r="E2767" t="s">
        <v>149</v>
      </c>
      <c r="F2767" t="s">
        <v>93</v>
      </c>
      <c r="G2767" s="33">
        <v>48</v>
      </c>
    </row>
    <row r="2768" spans="1:7">
      <c r="A2768" t="s">
        <v>22</v>
      </c>
      <c r="B2768" t="s">
        <v>201</v>
      </c>
      <c r="C2768" s="32">
        <v>556.66</v>
      </c>
      <c r="D2768" s="33">
        <v>74</v>
      </c>
      <c r="E2768" t="s">
        <v>150</v>
      </c>
      <c r="F2768" t="s">
        <v>90</v>
      </c>
      <c r="G2768" s="33">
        <v>48</v>
      </c>
    </row>
    <row r="2769" spans="1:7">
      <c r="A2769" t="s">
        <v>22</v>
      </c>
      <c r="B2769" t="s">
        <v>201</v>
      </c>
      <c r="C2769" s="32">
        <v>556.73</v>
      </c>
      <c r="D2769" s="33">
        <v>75</v>
      </c>
      <c r="E2769" t="s">
        <v>151</v>
      </c>
      <c r="F2769" t="s">
        <v>96</v>
      </c>
      <c r="G2769" s="33">
        <v>48</v>
      </c>
    </row>
    <row r="2770" spans="1:7">
      <c r="A2770" t="s">
        <v>22</v>
      </c>
      <c r="B2770" t="s">
        <v>201</v>
      </c>
      <c r="C2770" s="32">
        <v>556.80999999999995</v>
      </c>
      <c r="D2770" s="33">
        <v>76</v>
      </c>
      <c r="E2770" t="s">
        <v>152</v>
      </c>
      <c r="F2770" t="s">
        <v>90</v>
      </c>
      <c r="G2770" s="33">
        <v>48</v>
      </c>
    </row>
    <row r="2771" spans="1:7">
      <c r="A2771" t="s">
        <v>22</v>
      </c>
      <c r="B2771" t="s">
        <v>201</v>
      </c>
      <c r="C2771" s="32">
        <v>556.89</v>
      </c>
      <c r="D2771" s="33">
        <v>77</v>
      </c>
      <c r="E2771" t="s">
        <v>153</v>
      </c>
      <c r="F2771" t="s">
        <v>93</v>
      </c>
      <c r="G2771" s="33">
        <v>48</v>
      </c>
    </row>
    <row r="2772" spans="1:7">
      <c r="A2772" t="s">
        <v>22</v>
      </c>
      <c r="B2772" t="s">
        <v>201</v>
      </c>
      <c r="C2772" s="32">
        <v>556.97</v>
      </c>
      <c r="D2772" s="33">
        <v>78</v>
      </c>
      <c r="E2772" t="s">
        <v>120</v>
      </c>
      <c r="F2772" t="s">
        <v>90</v>
      </c>
      <c r="G2772" s="33">
        <v>48</v>
      </c>
    </row>
    <row r="2773" spans="1:7">
      <c r="A2773" t="s">
        <v>22</v>
      </c>
      <c r="B2773" t="s">
        <v>201</v>
      </c>
      <c r="C2773" s="32">
        <v>557.04</v>
      </c>
      <c r="D2773" s="33">
        <v>79</v>
      </c>
      <c r="E2773" t="s">
        <v>115</v>
      </c>
      <c r="F2773" t="s">
        <v>90</v>
      </c>
      <c r="G2773" s="33">
        <v>47</v>
      </c>
    </row>
    <row r="2774" spans="1:7">
      <c r="A2774" t="s">
        <v>22</v>
      </c>
      <c r="B2774" t="s">
        <v>201</v>
      </c>
      <c r="C2774" s="32">
        <v>557.12</v>
      </c>
      <c r="D2774" s="33">
        <v>80</v>
      </c>
      <c r="E2774" t="s">
        <v>116</v>
      </c>
      <c r="F2774" t="s">
        <v>93</v>
      </c>
      <c r="G2774" s="33">
        <v>48</v>
      </c>
    </row>
    <row r="2775" spans="1:7">
      <c r="A2775" t="s">
        <v>22</v>
      </c>
      <c r="B2775" t="s">
        <v>201</v>
      </c>
      <c r="C2775" s="32">
        <v>557.20000000000005</v>
      </c>
      <c r="D2775" s="33">
        <v>81</v>
      </c>
      <c r="E2775" t="s">
        <v>117</v>
      </c>
      <c r="F2775" t="s">
        <v>96</v>
      </c>
      <c r="G2775" s="33">
        <v>48</v>
      </c>
    </row>
    <row r="2776" spans="1:7">
      <c r="A2776" t="s">
        <v>22</v>
      </c>
      <c r="B2776" t="s">
        <v>201</v>
      </c>
      <c r="C2776" s="32">
        <v>557.28</v>
      </c>
      <c r="D2776" s="33">
        <v>82</v>
      </c>
      <c r="E2776" t="s">
        <v>118</v>
      </c>
      <c r="F2776" t="s">
        <v>90</v>
      </c>
      <c r="G2776" s="33">
        <v>48</v>
      </c>
    </row>
    <row r="2777" spans="1:7">
      <c r="A2777" t="s">
        <v>22</v>
      </c>
      <c r="B2777" t="s">
        <v>201</v>
      </c>
      <c r="C2777" s="32">
        <v>557.35</v>
      </c>
      <c r="D2777" s="33">
        <v>83</v>
      </c>
      <c r="E2777" t="s">
        <v>122</v>
      </c>
      <c r="F2777" t="s">
        <v>90</v>
      </c>
      <c r="G2777" s="33">
        <v>48</v>
      </c>
    </row>
    <row r="2778" spans="1:7">
      <c r="A2778" t="s">
        <v>22</v>
      </c>
      <c r="B2778" t="s">
        <v>201</v>
      </c>
      <c r="C2778" s="32">
        <v>557.42999999999995</v>
      </c>
      <c r="D2778" s="33">
        <v>84</v>
      </c>
      <c r="E2778" t="s">
        <v>124</v>
      </c>
      <c r="F2778" t="s">
        <v>93</v>
      </c>
      <c r="G2778" s="33">
        <v>48</v>
      </c>
    </row>
    <row r="2779" spans="1:7">
      <c r="A2779" t="s">
        <v>22</v>
      </c>
      <c r="B2779" t="s">
        <v>201</v>
      </c>
      <c r="C2779" s="32">
        <v>557.51</v>
      </c>
      <c r="D2779" s="33">
        <v>85</v>
      </c>
      <c r="E2779" t="s">
        <v>125</v>
      </c>
      <c r="F2779" t="s">
        <v>102</v>
      </c>
      <c r="G2779" s="33">
        <v>48</v>
      </c>
    </row>
    <row r="2780" spans="1:7">
      <c r="A2780" t="s">
        <v>22</v>
      </c>
      <c r="B2780" t="s">
        <v>201</v>
      </c>
      <c r="C2780" s="32">
        <v>557.59</v>
      </c>
      <c r="D2780" s="33">
        <v>86</v>
      </c>
      <c r="E2780" t="s">
        <v>127</v>
      </c>
      <c r="F2780" t="s">
        <v>90</v>
      </c>
      <c r="G2780" s="33">
        <v>47</v>
      </c>
    </row>
    <row r="2781" spans="1:7">
      <c r="A2781" t="s">
        <v>22</v>
      </c>
      <c r="B2781" t="s">
        <v>201</v>
      </c>
      <c r="C2781" s="32">
        <v>557.66</v>
      </c>
      <c r="D2781" s="33">
        <v>87</v>
      </c>
      <c r="E2781" t="s">
        <v>128</v>
      </c>
      <c r="F2781" t="s">
        <v>93</v>
      </c>
      <c r="G2781" s="33">
        <v>48</v>
      </c>
    </row>
    <row r="2782" spans="1:7">
      <c r="A2782" t="s">
        <v>22</v>
      </c>
      <c r="B2782" t="s">
        <v>201</v>
      </c>
      <c r="C2782" s="32">
        <v>557.74</v>
      </c>
      <c r="D2782" s="33">
        <v>88</v>
      </c>
      <c r="E2782" t="s">
        <v>129</v>
      </c>
      <c r="F2782" t="s">
        <v>96</v>
      </c>
      <c r="G2782" s="33">
        <v>48</v>
      </c>
    </row>
    <row r="2783" spans="1:7">
      <c r="A2783" t="s">
        <v>22</v>
      </c>
      <c r="B2783" t="s">
        <v>201</v>
      </c>
      <c r="C2783" s="32">
        <v>557.82000000000005</v>
      </c>
      <c r="D2783" s="33">
        <v>89</v>
      </c>
      <c r="E2783" t="s">
        <v>130</v>
      </c>
      <c r="F2783" t="s">
        <v>90</v>
      </c>
      <c r="G2783" s="33">
        <v>48</v>
      </c>
    </row>
    <row r="2784" spans="1:7">
      <c r="A2784" t="s">
        <v>22</v>
      </c>
      <c r="B2784" t="s">
        <v>201</v>
      </c>
      <c r="C2784" s="32">
        <v>557.9</v>
      </c>
      <c r="D2784" s="33">
        <v>90</v>
      </c>
      <c r="E2784" t="s">
        <v>131</v>
      </c>
      <c r="F2784" t="s">
        <v>90</v>
      </c>
      <c r="G2784" s="33">
        <v>48</v>
      </c>
    </row>
    <row r="2785" spans="1:7">
      <c r="A2785" t="s">
        <v>22</v>
      </c>
      <c r="B2785" t="s">
        <v>201</v>
      </c>
      <c r="C2785" s="32">
        <v>557.97</v>
      </c>
      <c r="D2785" s="33">
        <v>91</v>
      </c>
      <c r="E2785" t="s">
        <v>133</v>
      </c>
      <c r="F2785" t="s">
        <v>93</v>
      </c>
      <c r="G2785" s="33">
        <v>48</v>
      </c>
    </row>
    <row r="2786" spans="1:7">
      <c r="A2786" t="s">
        <v>22</v>
      </c>
      <c r="B2786" t="s">
        <v>201</v>
      </c>
      <c r="C2786" s="32">
        <v>558.04999999999995</v>
      </c>
      <c r="D2786" s="33">
        <v>92</v>
      </c>
      <c r="E2786" t="s">
        <v>134</v>
      </c>
      <c r="F2786" t="s">
        <v>90</v>
      </c>
      <c r="G2786" s="33">
        <v>48</v>
      </c>
    </row>
    <row r="2787" spans="1:7">
      <c r="A2787" t="s">
        <v>22</v>
      </c>
      <c r="B2787" t="s">
        <v>201</v>
      </c>
      <c r="C2787" s="32">
        <v>558.13</v>
      </c>
      <c r="D2787" s="33">
        <v>93</v>
      </c>
      <c r="E2787" t="s">
        <v>135</v>
      </c>
      <c r="F2787" t="s">
        <v>93</v>
      </c>
      <c r="G2787" s="33">
        <v>48</v>
      </c>
    </row>
    <row r="2788" spans="1:7">
      <c r="A2788" t="s">
        <v>22</v>
      </c>
      <c r="B2788" t="s">
        <v>201</v>
      </c>
      <c r="C2788" s="32">
        <v>558.21</v>
      </c>
      <c r="D2788" s="33">
        <v>94</v>
      </c>
      <c r="E2788" t="s">
        <v>136</v>
      </c>
      <c r="F2788" t="s">
        <v>90</v>
      </c>
      <c r="G2788" s="33">
        <v>47</v>
      </c>
    </row>
    <row r="2789" spans="1:7">
      <c r="A2789" t="s">
        <v>22</v>
      </c>
      <c r="B2789" t="s">
        <v>201</v>
      </c>
      <c r="C2789" s="32">
        <v>558.28</v>
      </c>
      <c r="D2789" s="33">
        <v>95</v>
      </c>
      <c r="E2789" t="s">
        <v>137</v>
      </c>
      <c r="F2789" t="s">
        <v>96</v>
      </c>
      <c r="G2789" s="33">
        <v>48</v>
      </c>
    </row>
    <row r="2790" spans="1:7">
      <c r="A2790" t="s">
        <v>22</v>
      </c>
      <c r="B2790" t="s">
        <v>201</v>
      </c>
      <c r="C2790" s="32">
        <v>558.36</v>
      </c>
      <c r="D2790" s="33">
        <v>96</v>
      </c>
      <c r="E2790" t="s">
        <v>138</v>
      </c>
      <c r="F2790" t="s">
        <v>90</v>
      </c>
      <c r="G2790" s="33">
        <v>48</v>
      </c>
    </row>
    <row r="2791" spans="1:7">
      <c r="A2791" t="s">
        <v>22</v>
      </c>
      <c r="B2791" t="s">
        <v>201</v>
      </c>
      <c r="C2791" s="32">
        <v>558.44000000000005</v>
      </c>
      <c r="D2791" s="33">
        <v>97</v>
      </c>
      <c r="E2791" t="s">
        <v>140</v>
      </c>
      <c r="F2791" t="s">
        <v>93</v>
      </c>
      <c r="G2791" s="33">
        <v>48</v>
      </c>
    </row>
    <row r="2792" spans="1:7">
      <c r="A2792" t="s">
        <v>22</v>
      </c>
      <c r="B2792" t="s">
        <v>201</v>
      </c>
      <c r="C2792" s="32">
        <v>558.52</v>
      </c>
      <c r="D2792" s="33">
        <v>98</v>
      </c>
      <c r="E2792" t="s">
        <v>141</v>
      </c>
      <c r="F2792" t="s">
        <v>90</v>
      </c>
      <c r="G2792" s="33">
        <v>48</v>
      </c>
    </row>
    <row r="2793" spans="1:7">
      <c r="A2793" t="s">
        <v>22</v>
      </c>
      <c r="B2793" t="s">
        <v>201</v>
      </c>
      <c r="C2793" s="32">
        <v>558.59</v>
      </c>
      <c r="D2793" s="33">
        <v>99</v>
      </c>
      <c r="E2793" t="s">
        <v>142</v>
      </c>
      <c r="F2793" t="s">
        <v>102</v>
      </c>
      <c r="G2793" s="33">
        <v>48</v>
      </c>
    </row>
    <row r="2794" spans="1:7">
      <c r="A2794" t="s">
        <v>22</v>
      </c>
      <c r="B2794" t="s">
        <v>201</v>
      </c>
      <c r="C2794" s="32">
        <v>558.66999999999996</v>
      </c>
      <c r="D2794" s="33">
        <v>100</v>
      </c>
      <c r="E2794" t="s">
        <v>143</v>
      </c>
      <c r="F2794" t="s">
        <v>93</v>
      </c>
      <c r="G2794" s="33">
        <v>48</v>
      </c>
    </row>
    <row r="2795" spans="1:7">
      <c r="A2795" t="s">
        <v>22</v>
      </c>
      <c r="B2795" t="s">
        <v>201</v>
      </c>
      <c r="C2795" s="32">
        <v>558.75</v>
      </c>
      <c r="D2795" s="33">
        <v>101</v>
      </c>
      <c r="E2795" t="s">
        <v>144</v>
      </c>
      <c r="F2795" t="s">
        <v>90</v>
      </c>
      <c r="G2795" s="33">
        <v>47</v>
      </c>
    </row>
    <row r="2796" spans="1:7">
      <c r="A2796" t="s">
        <v>22</v>
      </c>
      <c r="B2796" t="s">
        <v>201</v>
      </c>
      <c r="C2796" s="32">
        <v>558.83000000000004</v>
      </c>
      <c r="D2796" s="33">
        <v>102</v>
      </c>
      <c r="E2796" t="s">
        <v>145</v>
      </c>
      <c r="F2796" t="s">
        <v>96</v>
      </c>
      <c r="G2796" s="33">
        <v>48</v>
      </c>
    </row>
    <row r="2797" spans="1:7">
      <c r="A2797" t="s">
        <v>22</v>
      </c>
      <c r="B2797" t="s">
        <v>201</v>
      </c>
      <c r="C2797" s="32">
        <v>558.9</v>
      </c>
      <c r="D2797" s="33">
        <v>103</v>
      </c>
      <c r="E2797" t="s">
        <v>146</v>
      </c>
      <c r="F2797" t="s">
        <v>90</v>
      </c>
      <c r="G2797" s="33">
        <v>48</v>
      </c>
    </row>
    <row r="2798" spans="1:7">
      <c r="A2798" t="s">
        <v>22</v>
      </c>
      <c r="B2798" t="s">
        <v>201</v>
      </c>
      <c r="C2798" s="32">
        <v>558.98</v>
      </c>
      <c r="D2798" s="33">
        <v>104</v>
      </c>
      <c r="E2798" t="s">
        <v>148</v>
      </c>
      <c r="F2798" t="s">
        <v>93</v>
      </c>
      <c r="G2798" s="33">
        <v>48</v>
      </c>
    </row>
    <row r="2799" spans="1:7">
      <c r="A2799" t="s">
        <v>22</v>
      </c>
      <c r="B2799" t="s">
        <v>201</v>
      </c>
      <c r="C2799" s="32">
        <v>559.05999999999995</v>
      </c>
      <c r="D2799" s="33">
        <v>105</v>
      </c>
      <c r="E2799" t="s">
        <v>149</v>
      </c>
      <c r="F2799" t="s">
        <v>90</v>
      </c>
      <c r="G2799" s="33">
        <v>48</v>
      </c>
    </row>
    <row r="2800" spans="1:7">
      <c r="A2800" t="s">
        <v>22</v>
      </c>
      <c r="B2800" t="s">
        <v>201</v>
      </c>
      <c r="C2800" s="32">
        <v>559.14</v>
      </c>
      <c r="D2800" s="33">
        <v>106</v>
      </c>
      <c r="E2800" t="s">
        <v>150</v>
      </c>
      <c r="F2800" t="s">
        <v>90</v>
      </c>
      <c r="G2800" s="33">
        <v>48</v>
      </c>
    </row>
    <row r="2801" spans="1:7">
      <c r="A2801" t="s">
        <v>22</v>
      </c>
      <c r="B2801" t="s">
        <v>201</v>
      </c>
      <c r="C2801" s="32">
        <v>559.21</v>
      </c>
      <c r="D2801" s="33">
        <v>107</v>
      </c>
      <c r="E2801" t="s">
        <v>151</v>
      </c>
      <c r="F2801" t="s">
        <v>93</v>
      </c>
      <c r="G2801" s="33">
        <v>48</v>
      </c>
    </row>
    <row r="2802" spans="1:7">
      <c r="A2802" t="s">
        <v>22</v>
      </c>
      <c r="B2802" t="s">
        <v>201</v>
      </c>
      <c r="C2802" s="32">
        <v>559.29</v>
      </c>
      <c r="D2802" s="33">
        <v>108</v>
      </c>
      <c r="E2802" t="s">
        <v>152</v>
      </c>
      <c r="F2802" t="s">
        <v>90</v>
      </c>
      <c r="G2802" s="33">
        <v>48</v>
      </c>
    </row>
    <row r="2803" spans="1:7">
      <c r="A2803" t="s">
        <v>22</v>
      </c>
      <c r="B2803" t="s">
        <v>201</v>
      </c>
      <c r="C2803" s="32">
        <v>559.37</v>
      </c>
      <c r="D2803" s="33">
        <v>109</v>
      </c>
      <c r="E2803" t="s">
        <v>153</v>
      </c>
      <c r="F2803" t="s">
        <v>96</v>
      </c>
      <c r="G2803" s="33">
        <v>47</v>
      </c>
    </row>
    <row r="2804" spans="1:7">
      <c r="A2804" t="s">
        <v>22</v>
      </c>
      <c r="B2804" t="s">
        <v>201</v>
      </c>
      <c r="C2804" s="32">
        <v>559.45000000000005</v>
      </c>
      <c r="D2804" s="33">
        <v>110</v>
      </c>
      <c r="E2804" t="s">
        <v>120</v>
      </c>
      <c r="F2804" t="s">
        <v>90</v>
      </c>
      <c r="G2804" s="33">
        <v>48</v>
      </c>
    </row>
    <row r="2805" spans="1:7">
      <c r="A2805" t="s">
        <v>22</v>
      </c>
      <c r="B2805" t="s">
        <v>201</v>
      </c>
      <c r="C2805" s="32">
        <v>559.52</v>
      </c>
      <c r="D2805" s="33">
        <v>111</v>
      </c>
      <c r="E2805" t="s">
        <v>115</v>
      </c>
      <c r="F2805" t="s">
        <v>93</v>
      </c>
      <c r="G2805" s="33">
        <v>48</v>
      </c>
    </row>
    <row r="2806" spans="1:7">
      <c r="A2806" t="s">
        <v>22</v>
      </c>
      <c r="B2806" t="s">
        <v>201</v>
      </c>
      <c r="C2806" s="32">
        <v>559.6</v>
      </c>
      <c r="D2806" s="33">
        <v>112</v>
      </c>
      <c r="E2806" t="s">
        <v>116</v>
      </c>
      <c r="F2806" t="s">
        <v>90</v>
      </c>
      <c r="G2806" s="33">
        <v>48</v>
      </c>
    </row>
    <row r="2807" spans="1:7">
      <c r="A2807" t="s">
        <v>22</v>
      </c>
      <c r="B2807" t="s">
        <v>202</v>
      </c>
      <c r="C2807" s="32">
        <v>561</v>
      </c>
      <c r="D2807" s="33">
        <v>1</v>
      </c>
      <c r="E2807" t="s">
        <v>152</v>
      </c>
      <c r="F2807" t="s">
        <v>90</v>
      </c>
      <c r="G2807" s="33">
        <v>49</v>
      </c>
    </row>
    <row r="2808" spans="1:7">
      <c r="A2808" t="s">
        <v>22</v>
      </c>
      <c r="B2808" t="s">
        <v>202</v>
      </c>
      <c r="C2808" s="32">
        <v>561.08000000000004</v>
      </c>
      <c r="D2808" s="33">
        <v>2</v>
      </c>
      <c r="E2808" t="s">
        <v>153</v>
      </c>
      <c r="F2808" t="s">
        <v>93</v>
      </c>
      <c r="G2808" s="33">
        <v>49</v>
      </c>
    </row>
    <row r="2809" spans="1:7">
      <c r="A2809" t="s">
        <v>22</v>
      </c>
      <c r="B2809" t="s">
        <v>202</v>
      </c>
      <c r="C2809" s="32">
        <v>561.15</v>
      </c>
      <c r="D2809" s="33">
        <v>3</v>
      </c>
      <c r="E2809" t="s">
        <v>120</v>
      </c>
      <c r="F2809" t="s">
        <v>90</v>
      </c>
      <c r="G2809" s="33">
        <v>49</v>
      </c>
    </row>
    <row r="2810" spans="1:7">
      <c r="A2810" t="s">
        <v>22</v>
      </c>
      <c r="B2810" t="s">
        <v>202</v>
      </c>
      <c r="C2810" s="32">
        <v>561.23</v>
      </c>
      <c r="D2810" s="33">
        <v>4</v>
      </c>
      <c r="E2810" t="s">
        <v>115</v>
      </c>
      <c r="F2810" t="s">
        <v>96</v>
      </c>
      <c r="G2810" s="33">
        <v>49</v>
      </c>
    </row>
    <row r="2811" spans="1:7">
      <c r="A2811" t="s">
        <v>22</v>
      </c>
      <c r="B2811" t="s">
        <v>202</v>
      </c>
      <c r="C2811" s="32">
        <v>561.29999999999995</v>
      </c>
      <c r="D2811" s="33">
        <v>5</v>
      </c>
      <c r="E2811" t="s">
        <v>116</v>
      </c>
      <c r="F2811" t="s">
        <v>90</v>
      </c>
      <c r="G2811" s="33">
        <v>48</v>
      </c>
    </row>
    <row r="2812" spans="1:7">
      <c r="A2812" t="s">
        <v>22</v>
      </c>
      <c r="B2812" t="s">
        <v>202</v>
      </c>
      <c r="C2812" s="32">
        <v>561.38</v>
      </c>
      <c r="D2812" s="33">
        <v>6</v>
      </c>
      <c r="E2812" t="s">
        <v>117</v>
      </c>
      <c r="F2812" t="s">
        <v>93</v>
      </c>
      <c r="G2812" s="33">
        <v>49</v>
      </c>
    </row>
    <row r="2813" spans="1:7">
      <c r="A2813" t="s">
        <v>22</v>
      </c>
      <c r="B2813" t="s">
        <v>202</v>
      </c>
      <c r="C2813" s="32">
        <v>561.45000000000005</v>
      </c>
      <c r="D2813" s="33">
        <v>7</v>
      </c>
      <c r="E2813" t="s">
        <v>118</v>
      </c>
      <c r="F2813" t="s">
        <v>90</v>
      </c>
      <c r="G2813" s="33">
        <v>49</v>
      </c>
    </row>
    <row r="2814" spans="1:7">
      <c r="A2814" t="s">
        <v>22</v>
      </c>
      <c r="B2814" t="s">
        <v>202</v>
      </c>
      <c r="C2814" s="32">
        <v>561.53</v>
      </c>
      <c r="D2814" s="33">
        <v>8</v>
      </c>
      <c r="E2814" t="s">
        <v>122</v>
      </c>
      <c r="F2814" t="s">
        <v>90</v>
      </c>
      <c r="G2814" s="33">
        <v>49</v>
      </c>
    </row>
    <row r="2815" spans="1:7">
      <c r="A2815" t="s">
        <v>22</v>
      </c>
      <c r="B2815" t="s">
        <v>202</v>
      </c>
      <c r="C2815" s="32">
        <v>561.6</v>
      </c>
      <c r="D2815" s="33">
        <v>9</v>
      </c>
      <c r="E2815" t="s">
        <v>124</v>
      </c>
      <c r="F2815" t="s">
        <v>93</v>
      </c>
      <c r="G2815" s="33">
        <v>49</v>
      </c>
    </row>
    <row r="2816" spans="1:7">
      <c r="A2816" t="s">
        <v>22</v>
      </c>
      <c r="B2816" t="s">
        <v>202</v>
      </c>
      <c r="C2816" s="32">
        <v>561.67999999999995</v>
      </c>
      <c r="D2816" s="33">
        <v>10</v>
      </c>
      <c r="E2816" t="s">
        <v>125</v>
      </c>
      <c r="F2816" t="s">
        <v>90</v>
      </c>
      <c r="G2816" s="33">
        <v>49</v>
      </c>
    </row>
    <row r="2817" spans="1:7">
      <c r="A2817" t="s">
        <v>22</v>
      </c>
      <c r="B2817" t="s">
        <v>202</v>
      </c>
      <c r="C2817" s="32">
        <v>561.75</v>
      </c>
      <c r="D2817" s="33">
        <v>11</v>
      </c>
      <c r="E2817" t="s">
        <v>127</v>
      </c>
      <c r="F2817" t="s">
        <v>96</v>
      </c>
      <c r="G2817" s="33">
        <v>49</v>
      </c>
    </row>
    <row r="2818" spans="1:7">
      <c r="A2818" t="s">
        <v>22</v>
      </c>
      <c r="B2818" t="s">
        <v>202</v>
      </c>
      <c r="C2818" s="32">
        <v>561.83000000000004</v>
      </c>
      <c r="D2818" s="33">
        <v>12</v>
      </c>
      <c r="E2818" t="s">
        <v>128</v>
      </c>
      <c r="F2818" t="s">
        <v>90</v>
      </c>
      <c r="G2818" s="33">
        <v>49</v>
      </c>
    </row>
    <row r="2819" spans="1:7">
      <c r="A2819" t="s">
        <v>22</v>
      </c>
      <c r="B2819" t="s">
        <v>202</v>
      </c>
      <c r="C2819" s="32">
        <v>561.91</v>
      </c>
      <c r="D2819" s="33">
        <v>13</v>
      </c>
      <c r="E2819" t="s">
        <v>129</v>
      </c>
      <c r="F2819" t="s">
        <v>93</v>
      </c>
      <c r="G2819" s="33">
        <v>49</v>
      </c>
    </row>
    <row r="2820" spans="1:7">
      <c r="A2820" t="s">
        <v>22</v>
      </c>
      <c r="B2820" t="s">
        <v>202</v>
      </c>
      <c r="C2820" s="32">
        <v>561.98</v>
      </c>
      <c r="D2820" s="33">
        <v>14</v>
      </c>
      <c r="E2820" t="s">
        <v>130</v>
      </c>
      <c r="F2820" t="s">
        <v>102</v>
      </c>
      <c r="G2820" s="33">
        <v>49</v>
      </c>
    </row>
    <row r="2821" spans="1:7">
      <c r="A2821" t="s">
        <v>22</v>
      </c>
      <c r="B2821" t="s">
        <v>202</v>
      </c>
      <c r="C2821" s="32">
        <v>562.05999999999995</v>
      </c>
      <c r="D2821" s="33">
        <v>15</v>
      </c>
      <c r="E2821" t="s">
        <v>131</v>
      </c>
      <c r="F2821" t="s">
        <v>93</v>
      </c>
      <c r="G2821" s="33">
        <v>48</v>
      </c>
    </row>
    <row r="2822" spans="1:7">
      <c r="A2822" t="s">
        <v>22</v>
      </c>
      <c r="B2822" t="s">
        <v>202</v>
      </c>
      <c r="C2822" s="32">
        <v>562.13</v>
      </c>
      <c r="D2822" s="33">
        <v>16</v>
      </c>
      <c r="E2822" t="s">
        <v>133</v>
      </c>
      <c r="F2822" t="s">
        <v>90</v>
      </c>
      <c r="G2822" s="33">
        <v>49</v>
      </c>
    </row>
    <row r="2823" spans="1:7">
      <c r="A2823" t="s">
        <v>22</v>
      </c>
      <c r="B2823" t="s">
        <v>202</v>
      </c>
      <c r="C2823" s="32">
        <v>562.21</v>
      </c>
      <c r="D2823" s="33">
        <v>17</v>
      </c>
      <c r="E2823" t="s">
        <v>134</v>
      </c>
      <c r="F2823" t="s">
        <v>96</v>
      </c>
      <c r="G2823" s="33">
        <v>49</v>
      </c>
    </row>
    <row r="2824" spans="1:7">
      <c r="A2824" t="s">
        <v>22</v>
      </c>
      <c r="B2824" t="s">
        <v>202</v>
      </c>
      <c r="C2824" s="32">
        <v>562.28</v>
      </c>
      <c r="D2824" s="33">
        <v>18</v>
      </c>
      <c r="E2824" t="s">
        <v>135</v>
      </c>
      <c r="F2824" t="s">
        <v>90</v>
      </c>
      <c r="G2824" s="33">
        <v>49</v>
      </c>
    </row>
    <row r="2825" spans="1:7">
      <c r="A2825" t="s">
        <v>22</v>
      </c>
      <c r="B2825" t="s">
        <v>202</v>
      </c>
      <c r="C2825" s="32">
        <v>562.36</v>
      </c>
      <c r="D2825" s="33">
        <v>19</v>
      </c>
      <c r="E2825" t="s">
        <v>136</v>
      </c>
      <c r="F2825" t="s">
        <v>93</v>
      </c>
      <c r="G2825" s="33">
        <v>49</v>
      </c>
    </row>
    <row r="2826" spans="1:7">
      <c r="A2826" t="s">
        <v>22</v>
      </c>
      <c r="B2826" t="s">
        <v>202</v>
      </c>
      <c r="C2826" s="32">
        <v>562.42999999999995</v>
      </c>
      <c r="D2826" s="33">
        <v>20</v>
      </c>
      <c r="E2826" t="s">
        <v>137</v>
      </c>
      <c r="F2826" t="s">
        <v>90</v>
      </c>
      <c r="G2826" s="33">
        <v>49</v>
      </c>
    </row>
    <row r="2827" spans="1:7">
      <c r="A2827" t="s">
        <v>22</v>
      </c>
      <c r="B2827" t="s">
        <v>202</v>
      </c>
      <c r="C2827" s="32">
        <v>562.51</v>
      </c>
      <c r="D2827" s="33">
        <v>21</v>
      </c>
      <c r="E2827" t="s">
        <v>138</v>
      </c>
      <c r="F2827" t="s">
        <v>90</v>
      </c>
      <c r="G2827" s="33">
        <v>49</v>
      </c>
    </row>
    <row r="2828" spans="1:7">
      <c r="A2828" t="s">
        <v>22</v>
      </c>
      <c r="B2828" t="s">
        <v>202</v>
      </c>
      <c r="C2828" s="32">
        <v>562.58000000000004</v>
      </c>
      <c r="D2828" s="33">
        <v>22</v>
      </c>
      <c r="E2828" t="s">
        <v>140</v>
      </c>
      <c r="F2828" t="s">
        <v>93</v>
      </c>
      <c r="G2828" s="33">
        <v>49</v>
      </c>
    </row>
    <row r="2829" spans="1:7">
      <c r="A2829" t="s">
        <v>22</v>
      </c>
      <c r="B2829" t="s">
        <v>202</v>
      </c>
      <c r="C2829" s="32">
        <v>562.66</v>
      </c>
      <c r="D2829" s="33">
        <v>23</v>
      </c>
      <c r="E2829" t="s">
        <v>141</v>
      </c>
      <c r="F2829" t="s">
        <v>90</v>
      </c>
      <c r="G2829" s="33">
        <v>49</v>
      </c>
    </row>
    <row r="2830" spans="1:7">
      <c r="A2830" t="s">
        <v>22</v>
      </c>
      <c r="B2830" t="s">
        <v>202</v>
      </c>
      <c r="C2830" s="32">
        <v>562.74</v>
      </c>
      <c r="D2830" s="33">
        <v>24</v>
      </c>
      <c r="E2830" t="s">
        <v>142</v>
      </c>
      <c r="F2830" t="s">
        <v>96</v>
      </c>
      <c r="G2830" s="33">
        <v>48</v>
      </c>
    </row>
    <row r="2831" spans="1:7">
      <c r="A2831" t="s">
        <v>22</v>
      </c>
      <c r="B2831" t="s">
        <v>202</v>
      </c>
      <c r="C2831" s="32">
        <v>562.80999999999995</v>
      </c>
      <c r="D2831" s="33">
        <v>25</v>
      </c>
      <c r="E2831" t="s">
        <v>143</v>
      </c>
      <c r="F2831" t="s">
        <v>90</v>
      </c>
      <c r="G2831" s="33">
        <v>49</v>
      </c>
    </row>
    <row r="2832" spans="1:7">
      <c r="A2832" t="s">
        <v>22</v>
      </c>
      <c r="B2832" t="s">
        <v>202</v>
      </c>
      <c r="C2832" s="32">
        <v>562.89</v>
      </c>
      <c r="D2832" s="33">
        <v>26</v>
      </c>
      <c r="E2832" t="s">
        <v>144</v>
      </c>
      <c r="F2832" t="s">
        <v>93</v>
      </c>
      <c r="G2832" s="33">
        <v>49</v>
      </c>
    </row>
    <row r="2833" spans="1:7">
      <c r="A2833" t="s">
        <v>22</v>
      </c>
      <c r="B2833" t="s">
        <v>202</v>
      </c>
      <c r="C2833" s="32">
        <v>562.96</v>
      </c>
      <c r="D2833" s="33">
        <v>27</v>
      </c>
      <c r="E2833" t="s">
        <v>145</v>
      </c>
      <c r="F2833" t="s">
        <v>90</v>
      </c>
      <c r="G2833" s="33">
        <v>49</v>
      </c>
    </row>
    <row r="2834" spans="1:7">
      <c r="A2834" t="s">
        <v>22</v>
      </c>
      <c r="B2834" t="s">
        <v>202</v>
      </c>
      <c r="C2834" s="32">
        <v>563.04</v>
      </c>
      <c r="D2834" s="33">
        <v>28</v>
      </c>
      <c r="E2834" t="s">
        <v>146</v>
      </c>
      <c r="F2834" t="s">
        <v>102</v>
      </c>
      <c r="G2834" s="33">
        <v>49</v>
      </c>
    </row>
    <row r="2835" spans="1:7">
      <c r="A2835" t="s">
        <v>22</v>
      </c>
      <c r="B2835" t="s">
        <v>202</v>
      </c>
      <c r="C2835" s="32">
        <v>563.11</v>
      </c>
      <c r="D2835" s="33">
        <v>29</v>
      </c>
      <c r="E2835" t="s">
        <v>148</v>
      </c>
      <c r="F2835" t="s">
        <v>93</v>
      </c>
      <c r="G2835" s="33">
        <v>49</v>
      </c>
    </row>
    <row r="2836" spans="1:7">
      <c r="A2836" t="s">
        <v>22</v>
      </c>
      <c r="B2836" t="s">
        <v>202</v>
      </c>
      <c r="C2836" s="32">
        <v>563.19000000000005</v>
      </c>
      <c r="D2836" s="33">
        <v>30</v>
      </c>
      <c r="E2836" t="s">
        <v>149</v>
      </c>
      <c r="F2836" t="s">
        <v>90</v>
      </c>
      <c r="G2836" s="33">
        <v>49</v>
      </c>
    </row>
    <row r="2837" spans="1:7">
      <c r="A2837" t="s">
        <v>22</v>
      </c>
      <c r="B2837" t="s">
        <v>202</v>
      </c>
      <c r="C2837" s="32">
        <v>563.26</v>
      </c>
      <c r="D2837" s="33">
        <v>31</v>
      </c>
      <c r="E2837" t="s">
        <v>150</v>
      </c>
      <c r="F2837" t="s">
        <v>96</v>
      </c>
      <c r="G2837" s="33">
        <v>49</v>
      </c>
    </row>
    <row r="2838" spans="1:7">
      <c r="A2838" t="s">
        <v>22</v>
      </c>
      <c r="B2838" t="s">
        <v>202</v>
      </c>
      <c r="C2838" s="32">
        <v>563.34</v>
      </c>
      <c r="D2838" s="33">
        <v>32</v>
      </c>
      <c r="E2838" t="s">
        <v>151</v>
      </c>
      <c r="F2838" t="s">
        <v>90</v>
      </c>
      <c r="G2838" s="33">
        <v>49</v>
      </c>
    </row>
    <row r="2839" spans="1:7">
      <c r="A2839" t="s">
        <v>22</v>
      </c>
      <c r="B2839" t="s">
        <v>202</v>
      </c>
      <c r="C2839" s="32">
        <v>563.41</v>
      </c>
      <c r="D2839" s="33">
        <v>33</v>
      </c>
      <c r="E2839" t="s">
        <v>152</v>
      </c>
      <c r="F2839" t="s">
        <v>93</v>
      </c>
      <c r="G2839" s="33">
        <v>49</v>
      </c>
    </row>
    <row r="2840" spans="1:7">
      <c r="A2840" t="s">
        <v>22</v>
      </c>
      <c r="B2840" t="s">
        <v>202</v>
      </c>
      <c r="C2840" s="32">
        <v>563.49</v>
      </c>
      <c r="D2840" s="33">
        <v>34</v>
      </c>
      <c r="E2840" t="s">
        <v>153</v>
      </c>
      <c r="F2840" t="s">
        <v>90</v>
      </c>
      <c r="G2840" s="33">
        <v>48</v>
      </c>
    </row>
    <row r="2841" spans="1:7">
      <c r="A2841" t="s">
        <v>22</v>
      </c>
      <c r="B2841" t="s">
        <v>202</v>
      </c>
      <c r="C2841" s="32">
        <v>563.55999999999995</v>
      </c>
      <c r="D2841" s="33">
        <v>35</v>
      </c>
      <c r="E2841" t="s">
        <v>120</v>
      </c>
      <c r="F2841" t="s">
        <v>90</v>
      </c>
      <c r="G2841" s="33">
        <v>49</v>
      </c>
    </row>
    <row r="2842" spans="1:7">
      <c r="A2842" t="s">
        <v>22</v>
      </c>
      <c r="B2842" t="s">
        <v>202</v>
      </c>
      <c r="C2842" s="32">
        <v>563.64</v>
      </c>
      <c r="D2842" s="33">
        <v>36</v>
      </c>
      <c r="E2842" t="s">
        <v>115</v>
      </c>
      <c r="F2842" t="s">
        <v>93</v>
      </c>
      <c r="G2842" s="33">
        <v>49</v>
      </c>
    </row>
    <row r="2843" spans="1:7">
      <c r="A2843" t="s">
        <v>22</v>
      </c>
      <c r="B2843" t="s">
        <v>202</v>
      </c>
      <c r="C2843" s="32">
        <v>563.72</v>
      </c>
      <c r="D2843" s="33">
        <v>37</v>
      </c>
      <c r="E2843" t="s">
        <v>116</v>
      </c>
      <c r="F2843" t="s">
        <v>90</v>
      </c>
      <c r="G2843" s="33">
        <v>49</v>
      </c>
    </row>
    <row r="2844" spans="1:7">
      <c r="A2844" t="s">
        <v>22</v>
      </c>
      <c r="B2844" t="s">
        <v>202</v>
      </c>
      <c r="C2844" s="32">
        <v>563.79</v>
      </c>
      <c r="D2844" s="33">
        <v>38</v>
      </c>
      <c r="E2844" t="s">
        <v>117</v>
      </c>
      <c r="F2844" t="s">
        <v>96</v>
      </c>
      <c r="G2844" s="33">
        <v>49</v>
      </c>
    </row>
    <row r="2845" spans="1:7">
      <c r="A2845" t="s">
        <v>22</v>
      </c>
      <c r="B2845" t="s">
        <v>202</v>
      </c>
      <c r="C2845" s="32">
        <v>563.87</v>
      </c>
      <c r="D2845" s="33">
        <v>39</v>
      </c>
      <c r="E2845" t="s">
        <v>118</v>
      </c>
      <c r="F2845" t="s">
        <v>90</v>
      </c>
      <c r="G2845" s="33">
        <v>49</v>
      </c>
    </row>
    <row r="2846" spans="1:7">
      <c r="A2846" t="s">
        <v>22</v>
      </c>
      <c r="B2846" t="s">
        <v>202</v>
      </c>
      <c r="C2846" s="32">
        <v>563.94000000000005</v>
      </c>
      <c r="D2846" s="33">
        <v>40</v>
      </c>
      <c r="E2846" t="s">
        <v>122</v>
      </c>
      <c r="F2846" t="s">
        <v>93</v>
      </c>
      <c r="G2846" s="33">
        <v>49</v>
      </c>
    </row>
    <row r="2847" spans="1:7">
      <c r="A2847" t="s">
        <v>22</v>
      </c>
      <c r="B2847" t="s">
        <v>202</v>
      </c>
      <c r="C2847" s="32">
        <v>564.02</v>
      </c>
      <c r="D2847" s="33">
        <v>41</v>
      </c>
      <c r="E2847" t="s">
        <v>124</v>
      </c>
      <c r="F2847" t="s">
        <v>90</v>
      </c>
      <c r="G2847" s="33">
        <v>49</v>
      </c>
    </row>
    <row r="2848" spans="1:7">
      <c r="A2848" t="s">
        <v>22</v>
      </c>
      <c r="B2848" t="s">
        <v>202</v>
      </c>
      <c r="C2848" s="32">
        <v>564.09</v>
      </c>
      <c r="D2848" s="33">
        <v>42</v>
      </c>
      <c r="E2848" t="s">
        <v>125</v>
      </c>
      <c r="F2848" t="s">
        <v>93</v>
      </c>
      <c r="G2848" s="33">
        <v>49</v>
      </c>
    </row>
    <row r="2849" spans="1:7">
      <c r="A2849" t="s">
        <v>22</v>
      </c>
      <c r="B2849" t="s">
        <v>202</v>
      </c>
      <c r="C2849" s="32">
        <v>564.16999999999996</v>
      </c>
      <c r="D2849" s="33">
        <v>43</v>
      </c>
      <c r="E2849" t="s">
        <v>127</v>
      </c>
      <c r="F2849" t="s">
        <v>102</v>
      </c>
      <c r="G2849" s="33">
        <v>49</v>
      </c>
    </row>
    <row r="2850" spans="1:7">
      <c r="A2850" t="s">
        <v>22</v>
      </c>
      <c r="B2850" t="s">
        <v>202</v>
      </c>
      <c r="C2850" s="32">
        <v>564.24</v>
      </c>
      <c r="D2850" s="33">
        <v>44</v>
      </c>
      <c r="E2850" t="s">
        <v>128</v>
      </c>
      <c r="F2850" t="s">
        <v>96</v>
      </c>
      <c r="G2850" s="33">
        <v>48</v>
      </c>
    </row>
    <row r="2851" spans="1:7">
      <c r="A2851" t="s">
        <v>22</v>
      </c>
      <c r="B2851" t="s">
        <v>202</v>
      </c>
      <c r="C2851" s="32">
        <v>564.32000000000005</v>
      </c>
      <c r="D2851" s="33">
        <v>45</v>
      </c>
      <c r="E2851" t="s">
        <v>129</v>
      </c>
      <c r="F2851" t="s">
        <v>90</v>
      </c>
      <c r="G2851" s="33">
        <v>49</v>
      </c>
    </row>
    <row r="2852" spans="1:7">
      <c r="A2852" t="s">
        <v>22</v>
      </c>
      <c r="B2852" t="s">
        <v>202</v>
      </c>
      <c r="C2852" s="32">
        <v>564.39</v>
      </c>
      <c r="D2852" s="33">
        <v>46</v>
      </c>
      <c r="E2852" t="s">
        <v>130</v>
      </c>
      <c r="F2852" t="s">
        <v>90</v>
      </c>
      <c r="G2852" s="33">
        <v>49</v>
      </c>
    </row>
    <row r="2853" spans="1:7">
      <c r="A2853" t="s">
        <v>22</v>
      </c>
      <c r="B2853" t="s">
        <v>202</v>
      </c>
      <c r="C2853" s="32">
        <v>564.47</v>
      </c>
      <c r="D2853" s="33">
        <v>47</v>
      </c>
      <c r="E2853" t="s">
        <v>131</v>
      </c>
      <c r="F2853" t="s">
        <v>93</v>
      </c>
      <c r="G2853" s="33">
        <v>49</v>
      </c>
    </row>
    <row r="2854" spans="1:7">
      <c r="A2854" t="s">
        <v>22</v>
      </c>
      <c r="B2854" t="s">
        <v>202</v>
      </c>
      <c r="C2854" s="32">
        <v>564.54999999999995</v>
      </c>
      <c r="D2854" s="33">
        <v>48</v>
      </c>
      <c r="E2854" t="s">
        <v>133</v>
      </c>
      <c r="F2854" t="s">
        <v>90</v>
      </c>
      <c r="G2854" s="33">
        <v>49</v>
      </c>
    </row>
    <row r="2855" spans="1:7">
      <c r="A2855" t="s">
        <v>22</v>
      </c>
      <c r="B2855" t="s">
        <v>202</v>
      </c>
      <c r="C2855" s="32">
        <v>564.62</v>
      </c>
      <c r="D2855" s="33">
        <v>49</v>
      </c>
      <c r="E2855" t="s">
        <v>134</v>
      </c>
      <c r="F2855" t="s">
        <v>93</v>
      </c>
      <c r="G2855" s="33">
        <v>49</v>
      </c>
    </row>
    <row r="2856" spans="1:7">
      <c r="A2856" t="s">
        <v>22</v>
      </c>
      <c r="B2856" t="s">
        <v>202</v>
      </c>
      <c r="C2856" s="32">
        <v>564.70000000000005</v>
      </c>
      <c r="D2856" s="33">
        <v>50</v>
      </c>
      <c r="E2856" t="s">
        <v>135</v>
      </c>
      <c r="F2856" t="s">
        <v>90</v>
      </c>
      <c r="G2856" s="33">
        <v>49</v>
      </c>
    </row>
    <row r="2857" spans="1:7">
      <c r="A2857" t="s">
        <v>22</v>
      </c>
      <c r="B2857" t="s">
        <v>202</v>
      </c>
      <c r="C2857" s="32">
        <v>564.77</v>
      </c>
      <c r="D2857" s="33">
        <v>51</v>
      </c>
      <c r="E2857" t="s">
        <v>136</v>
      </c>
      <c r="F2857" t="s">
        <v>96</v>
      </c>
      <c r="G2857" s="33">
        <v>49</v>
      </c>
    </row>
    <row r="2858" spans="1:7">
      <c r="A2858" t="s">
        <v>22</v>
      </c>
      <c r="B2858" t="s">
        <v>202</v>
      </c>
      <c r="C2858" s="32">
        <v>564.85</v>
      </c>
      <c r="D2858" s="33">
        <v>52</v>
      </c>
      <c r="E2858" t="s">
        <v>137</v>
      </c>
      <c r="F2858" t="s">
        <v>90</v>
      </c>
      <c r="G2858" s="33">
        <v>49</v>
      </c>
    </row>
    <row r="2859" spans="1:7">
      <c r="A2859" t="s">
        <v>22</v>
      </c>
      <c r="B2859" t="s">
        <v>202</v>
      </c>
      <c r="C2859" s="32">
        <v>564.91999999999996</v>
      </c>
      <c r="D2859" s="33">
        <v>53</v>
      </c>
      <c r="E2859" t="s">
        <v>138</v>
      </c>
      <c r="F2859" t="s">
        <v>93</v>
      </c>
      <c r="G2859" s="33">
        <v>48</v>
      </c>
    </row>
    <row r="2860" spans="1:7">
      <c r="A2860" t="s">
        <v>22</v>
      </c>
      <c r="B2860" t="s">
        <v>202</v>
      </c>
      <c r="C2860" s="32">
        <v>565</v>
      </c>
      <c r="D2860" s="33">
        <v>54</v>
      </c>
      <c r="E2860" t="s">
        <v>140</v>
      </c>
      <c r="F2860" t="s">
        <v>90</v>
      </c>
      <c r="G2860" s="33">
        <v>49</v>
      </c>
    </row>
    <row r="2861" spans="1:7">
      <c r="A2861" t="s">
        <v>22</v>
      </c>
      <c r="B2861" t="s">
        <v>202</v>
      </c>
      <c r="C2861" s="32">
        <v>565.07000000000005</v>
      </c>
      <c r="D2861" s="33">
        <v>55</v>
      </c>
      <c r="E2861" t="s">
        <v>141</v>
      </c>
      <c r="F2861" t="s">
        <v>90</v>
      </c>
      <c r="G2861" s="33">
        <v>49</v>
      </c>
    </row>
    <row r="2862" spans="1:7">
      <c r="A2862" t="s">
        <v>22</v>
      </c>
      <c r="B2862" t="s">
        <v>202</v>
      </c>
      <c r="C2862" s="32">
        <v>565.15</v>
      </c>
      <c r="D2862" s="33">
        <v>56</v>
      </c>
      <c r="E2862" t="s">
        <v>142</v>
      </c>
      <c r="F2862" t="s">
        <v>93</v>
      </c>
      <c r="G2862" s="33">
        <v>49</v>
      </c>
    </row>
    <row r="2863" spans="1:7">
      <c r="A2863" t="s">
        <v>22</v>
      </c>
      <c r="B2863" t="s">
        <v>202</v>
      </c>
      <c r="C2863" s="32">
        <v>565.22</v>
      </c>
      <c r="D2863" s="33">
        <v>57</v>
      </c>
      <c r="E2863" t="s">
        <v>143</v>
      </c>
      <c r="F2863" t="s">
        <v>102</v>
      </c>
      <c r="G2863" s="33">
        <v>49</v>
      </c>
    </row>
    <row r="2864" spans="1:7">
      <c r="A2864" t="s">
        <v>22</v>
      </c>
      <c r="B2864" t="s">
        <v>202</v>
      </c>
      <c r="C2864" s="32">
        <v>565.29999999999995</v>
      </c>
      <c r="D2864" s="33">
        <v>58</v>
      </c>
      <c r="E2864" t="s">
        <v>144</v>
      </c>
      <c r="F2864" t="s">
        <v>96</v>
      </c>
      <c r="G2864" s="33">
        <v>49</v>
      </c>
    </row>
    <row r="2865" spans="1:7">
      <c r="A2865" t="s">
        <v>22</v>
      </c>
      <c r="B2865" t="s">
        <v>202</v>
      </c>
      <c r="C2865" s="32">
        <v>565.38</v>
      </c>
      <c r="D2865" s="33">
        <v>59</v>
      </c>
      <c r="E2865" t="s">
        <v>145</v>
      </c>
      <c r="F2865" t="s">
        <v>90</v>
      </c>
      <c r="G2865" s="33">
        <v>49</v>
      </c>
    </row>
    <row r="2866" spans="1:7">
      <c r="A2866" t="s">
        <v>22</v>
      </c>
      <c r="B2866" t="s">
        <v>202</v>
      </c>
      <c r="C2866" s="32">
        <v>565.45000000000005</v>
      </c>
      <c r="D2866" s="33">
        <v>60</v>
      </c>
      <c r="E2866" t="s">
        <v>146</v>
      </c>
      <c r="F2866" t="s">
        <v>93</v>
      </c>
      <c r="G2866" s="33">
        <v>49</v>
      </c>
    </row>
    <row r="2867" spans="1:7">
      <c r="A2867" t="s">
        <v>22</v>
      </c>
      <c r="B2867" t="s">
        <v>202</v>
      </c>
      <c r="C2867" s="32">
        <v>565.53</v>
      </c>
      <c r="D2867" s="33">
        <v>61</v>
      </c>
      <c r="E2867" t="s">
        <v>148</v>
      </c>
      <c r="F2867" t="s">
        <v>90</v>
      </c>
      <c r="G2867" s="33">
        <v>49</v>
      </c>
    </row>
    <row r="2868" spans="1:7">
      <c r="A2868" t="s">
        <v>22</v>
      </c>
      <c r="B2868" t="s">
        <v>202</v>
      </c>
      <c r="C2868" s="32">
        <v>565.6</v>
      </c>
      <c r="D2868" s="33">
        <v>62</v>
      </c>
      <c r="E2868" t="s">
        <v>149</v>
      </c>
      <c r="F2868" t="s">
        <v>90</v>
      </c>
      <c r="G2868" s="33">
        <v>49</v>
      </c>
    </row>
    <row r="2869" spans="1:7">
      <c r="A2869" t="s">
        <v>22</v>
      </c>
      <c r="B2869" t="s">
        <v>202</v>
      </c>
      <c r="C2869" s="32">
        <v>565.67999999999995</v>
      </c>
      <c r="D2869" s="33">
        <v>63</v>
      </c>
      <c r="E2869" t="s">
        <v>150</v>
      </c>
      <c r="F2869" t="s">
        <v>93</v>
      </c>
      <c r="G2869" s="33">
        <v>48</v>
      </c>
    </row>
    <row r="2870" spans="1:7">
      <c r="A2870" t="s">
        <v>22</v>
      </c>
      <c r="B2870" t="s">
        <v>202</v>
      </c>
      <c r="C2870" s="32">
        <v>565.75</v>
      </c>
      <c r="D2870" s="33">
        <v>64</v>
      </c>
      <c r="E2870" t="s">
        <v>151</v>
      </c>
      <c r="F2870" t="s">
        <v>90</v>
      </c>
      <c r="G2870" s="33">
        <v>49</v>
      </c>
    </row>
    <row r="2871" spans="1:7">
      <c r="A2871" t="s">
        <v>22</v>
      </c>
      <c r="B2871" t="s">
        <v>202</v>
      </c>
      <c r="C2871" s="32">
        <v>565.83000000000004</v>
      </c>
      <c r="D2871" s="33">
        <v>65</v>
      </c>
      <c r="E2871" t="s">
        <v>152</v>
      </c>
      <c r="F2871" t="s">
        <v>96</v>
      </c>
      <c r="G2871" s="33">
        <v>49</v>
      </c>
    </row>
    <row r="2872" spans="1:7">
      <c r="A2872" t="s">
        <v>22</v>
      </c>
      <c r="B2872" t="s">
        <v>202</v>
      </c>
      <c r="C2872" s="32">
        <v>565.9</v>
      </c>
      <c r="D2872" s="33">
        <v>66</v>
      </c>
      <c r="E2872" t="s">
        <v>153</v>
      </c>
      <c r="F2872" t="s">
        <v>90</v>
      </c>
      <c r="G2872" s="33">
        <v>49</v>
      </c>
    </row>
    <row r="2873" spans="1:7">
      <c r="A2873" t="s">
        <v>22</v>
      </c>
      <c r="B2873" t="s">
        <v>202</v>
      </c>
      <c r="C2873" s="32">
        <v>565.98</v>
      </c>
      <c r="D2873" s="33">
        <v>67</v>
      </c>
      <c r="E2873" t="s">
        <v>120</v>
      </c>
      <c r="F2873" t="s">
        <v>93</v>
      </c>
      <c r="G2873" s="33">
        <v>49</v>
      </c>
    </row>
    <row r="2874" spans="1:7">
      <c r="A2874" t="s">
        <v>22</v>
      </c>
      <c r="B2874" t="s">
        <v>202</v>
      </c>
      <c r="C2874" s="32">
        <v>566.04999999999995</v>
      </c>
      <c r="D2874" s="33">
        <v>68</v>
      </c>
      <c r="E2874" t="s">
        <v>115</v>
      </c>
      <c r="F2874" t="s">
        <v>90</v>
      </c>
      <c r="G2874" s="33">
        <v>49</v>
      </c>
    </row>
    <row r="2875" spans="1:7">
      <c r="A2875" t="s">
        <v>22</v>
      </c>
      <c r="B2875" t="s">
        <v>202</v>
      </c>
      <c r="C2875" s="32">
        <v>566.13</v>
      </c>
      <c r="D2875" s="33">
        <v>69</v>
      </c>
      <c r="E2875" t="s">
        <v>116</v>
      </c>
      <c r="F2875" t="s">
        <v>90</v>
      </c>
      <c r="G2875" s="33">
        <v>49</v>
      </c>
    </row>
    <row r="2876" spans="1:7">
      <c r="A2876" t="s">
        <v>22</v>
      </c>
      <c r="B2876" t="s">
        <v>202</v>
      </c>
      <c r="C2876" s="32">
        <v>566.21</v>
      </c>
      <c r="D2876" s="33">
        <v>70</v>
      </c>
      <c r="E2876" t="s">
        <v>117</v>
      </c>
      <c r="F2876" t="s">
        <v>93</v>
      </c>
      <c r="G2876" s="33">
        <v>49</v>
      </c>
    </row>
    <row r="2877" spans="1:7">
      <c r="A2877" t="s">
        <v>22</v>
      </c>
      <c r="B2877" t="s">
        <v>202</v>
      </c>
      <c r="C2877" s="32">
        <v>566.28</v>
      </c>
      <c r="D2877" s="33">
        <v>71</v>
      </c>
      <c r="E2877" t="s">
        <v>118</v>
      </c>
      <c r="F2877" t="s">
        <v>102</v>
      </c>
      <c r="G2877" s="33">
        <v>49</v>
      </c>
    </row>
    <row r="2878" spans="1:7">
      <c r="A2878" t="s">
        <v>22</v>
      </c>
      <c r="B2878" t="s">
        <v>202</v>
      </c>
      <c r="C2878" s="32">
        <v>566.36</v>
      </c>
      <c r="D2878" s="33">
        <v>72</v>
      </c>
      <c r="E2878" t="s">
        <v>122</v>
      </c>
      <c r="F2878" t="s">
        <v>96</v>
      </c>
      <c r="G2878" s="33">
        <v>48</v>
      </c>
    </row>
    <row r="2879" spans="1:7">
      <c r="A2879" t="s">
        <v>22</v>
      </c>
      <c r="B2879" t="s">
        <v>202</v>
      </c>
      <c r="C2879" s="32">
        <v>566.42999999999995</v>
      </c>
      <c r="D2879" s="33">
        <v>73</v>
      </c>
      <c r="E2879" t="s">
        <v>124</v>
      </c>
      <c r="F2879" t="s">
        <v>90</v>
      </c>
      <c r="G2879" s="33">
        <v>49</v>
      </c>
    </row>
    <row r="2880" spans="1:7">
      <c r="A2880" t="s">
        <v>22</v>
      </c>
      <c r="B2880" t="s">
        <v>202</v>
      </c>
      <c r="C2880" s="32">
        <v>566.51</v>
      </c>
      <c r="D2880" s="33">
        <v>74</v>
      </c>
      <c r="E2880" t="s">
        <v>125</v>
      </c>
      <c r="F2880" t="s">
        <v>93</v>
      </c>
      <c r="G2880" s="33">
        <v>49</v>
      </c>
    </row>
    <row r="2881" spans="1:7">
      <c r="A2881" t="s">
        <v>22</v>
      </c>
      <c r="B2881" t="s">
        <v>202</v>
      </c>
      <c r="C2881" s="32">
        <v>566.58000000000004</v>
      </c>
      <c r="D2881" s="33">
        <v>75</v>
      </c>
      <c r="E2881" t="s">
        <v>127</v>
      </c>
      <c r="F2881" t="s">
        <v>90</v>
      </c>
      <c r="G2881" s="33">
        <v>49</v>
      </c>
    </row>
    <row r="2882" spans="1:7">
      <c r="A2882" t="s">
        <v>22</v>
      </c>
      <c r="B2882" t="s">
        <v>202</v>
      </c>
      <c r="C2882" s="32">
        <v>566.66</v>
      </c>
      <c r="D2882" s="33">
        <v>76</v>
      </c>
      <c r="E2882" t="s">
        <v>128</v>
      </c>
      <c r="F2882" t="s">
        <v>93</v>
      </c>
      <c r="G2882" s="33">
        <v>49</v>
      </c>
    </row>
    <row r="2883" spans="1:7">
      <c r="A2883" t="s">
        <v>22</v>
      </c>
      <c r="B2883" t="s">
        <v>202</v>
      </c>
      <c r="C2883" s="32">
        <v>566.73</v>
      </c>
      <c r="D2883" s="33">
        <v>77</v>
      </c>
      <c r="E2883" t="s">
        <v>129</v>
      </c>
      <c r="F2883" t="s">
        <v>90</v>
      </c>
      <c r="G2883" s="33">
        <v>49</v>
      </c>
    </row>
    <row r="2884" spans="1:7">
      <c r="A2884" t="s">
        <v>22</v>
      </c>
      <c r="B2884" t="s">
        <v>202</v>
      </c>
      <c r="C2884" s="32">
        <v>566.80999999999995</v>
      </c>
      <c r="D2884" s="33">
        <v>78</v>
      </c>
      <c r="E2884" t="s">
        <v>130</v>
      </c>
      <c r="F2884" t="s">
        <v>96</v>
      </c>
      <c r="G2884" s="33">
        <v>49</v>
      </c>
    </row>
    <row r="2885" spans="1:7">
      <c r="A2885" t="s">
        <v>22</v>
      </c>
      <c r="B2885" t="s">
        <v>202</v>
      </c>
      <c r="C2885" s="32">
        <v>566.88</v>
      </c>
      <c r="D2885" s="33">
        <v>79</v>
      </c>
      <c r="E2885" t="s">
        <v>131</v>
      </c>
      <c r="F2885" t="s">
        <v>90</v>
      </c>
      <c r="G2885" s="33">
        <v>49</v>
      </c>
    </row>
    <row r="2886" spans="1:7">
      <c r="A2886" t="s">
        <v>22</v>
      </c>
      <c r="B2886" t="s">
        <v>202</v>
      </c>
      <c r="C2886" s="32">
        <v>566.96</v>
      </c>
      <c r="D2886" s="33">
        <v>80</v>
      </c>
      <c r="E2886" t="s">
        <v>133</v>
      </c>
      <c r="F2886" t="s">
        <v>93</v>
      </c>
      <c r="G2886" s="33">
        <v>49</v>
      </c>
    </row>
    <row r="2887" spans="1:7">
      <c r="A2887" t="s">
        <v>22</v>
      </c>
      <c r="B2887" t="s">
        <v>202</v>
      </c>
      <c r="C2887" s="32">
        <v>567.04</v>
      </c>
      <c r="D2887" s="33">
        <v>81</v>
      </c>
      <c r="E2887" t="s">
        <v>134</v>
      </c>
      <c r="F2887" t="s">
        <v>90</v>
      </c>
      <c r="G2887" s="33">
        <v>49</v>
      </c>
    </row>
    <row r="2888" spans="1:7">
      <c r="A2888" t="s">
        <v>22</v>
      </c>
      <c r="B2888" t="s">
        <v>202</v>
      </c>
      <c r="C2888" s="32">
        <v>567.11</v>
      </c>
      <c r="D2888" s="33">
        <v>82</v>
      </c>
      <c r="E2888" t="s">
        <v>135</v>
      </c>
      <c r="F2888" t="s">
        <v>90</v>
      </c>
      <c r="G2888" s="33">
        <v>48</v>
      </c>
    </row>
    <row r="2889" spans="1:7">
      <c r="A2889" t="s">
        <v>22</v>
      </c>
      <c r="B2889" t="s">
        <v>202</v>
      </c>
      <c r="C2889" s="32">
        <v>567.19000000000005</v>
      </c>
      <c r="D2889" s="33">
        <v>83</v>
      </c>
      <c r="E2889" t="s">
        <v>136</v>
      </c>
      <c r="F2889" t="s">
        <v>93</v>
      </c>
      <c r="G2889" s="33">
        <v>49</v>
      </c>
    </row>
    <row r="2890" spans="1:7">
      <c r="A2890" t="s">
        <v>22</v>
      </c>
      <c r="B2890" t="s">
        <v>202</v>
      </c>
      <c r="C2890" s="32">
        <v>567.26</v>
      </c>
      <c r="D2890" s="33">
        <v>84</v>
      </c>
      <c r="E2890" t="s">
        <v>137</v>
      </c>
      <c r="F2890" t="s">
        <v>90</v>
      </c>
      <c r="G2890" s="33">
        <v>49</v>
      </c>
    </row>
    <row r="2891" spans="1:7">
      <c r="A2891" t="s">
        <v>22</v>
      </c>
      <c r="B2891" t="s">
        <v>202</v>
      </c>
      <c r="C2891" s="32">
        <v>567.34</v>
      </c>
      <c r="D2891" s="33">
        <v>85</v>
      </c>
      <c r="E2891" t="s">
        <v>138</v>
      </c>
      <c r="F2891" t="s">
        <v>96</v>
      </c>
      <c r="G2891" s="33">
        <v>49</v>
      </c>
    </row>
    <row r="2892" spans="1:7">
      <c r="A2892" t="s">
        <v>22</v>
      </c>
      <c r="B2892" t="s">
        <v>202</v>
      </c>
      <c r="C2892" s="32">
        <v>567.41</v>
      </c>
      <c r="D2892" s="33">
        <v>86</v>
      </c>
      <c r="E2892" t="s">
        <v>140</v>
      </c>
      <c r="F2892" t="s">
        <v>102</v>
      </c>
      <c r="G2892" s="33">
        <v>49</v>
      </c>
    </row>
    <row r="2893" spans="1:7">
      <c r="A2893" t="s">
        <v>22</v>
      </c>
      <c r="B2893" t="s">
        <v>202</v>
      </c>
      <c r="C2893" s="32">
        <v>567.49</v>
      </c>
      <c r="D2893" s="33">
        <v>87</v>
      </c>
      <c r="E2893" t="s">
        <v>141</v>
      </c>
      <c r="F2893" t="s">
        <v>93</v>
      </c>
      <c r="G2893" s="33">
        <v>49</v>
      </c>
    </row>
    <row r="2894" spans="1:7">
      <c r="A2894" t="s">
        <v>22</v>
      </c>
      <c r="B2894" t="s">
        <v>202</v>
      </c>
      <c r="C2894" s="32">
        <v>567.55999999999995</v>
      </c>
      <c r="D2894" s="33">
        <v>88</v>
      </c>
      <c r="E2894" t="s">
        <v>142</v>
      </c>
      <c r="F2894" t="s">
        <v>90</v>
      </c>
      <c r="G2894" s="33">
        <v>49</v>
      </c>
    </row>
    <row r="2895" spans="1:7">
      <c r="A2895" t="s">
        <v>22</v>
      </c>
      <c r="B2895" t="s">
        <v>202</v>
      </c>
      <c r="C2895" s="32">
        <v>567.64</v>
      </c>
      <c r="D2895" s="33">
        <v>89</v>
      </c>
      <c r="E2895" t="s">
        <v>143</v>
      </c>
      <c r="F2895" t="s">
        <v>90</v>
      </c>
      <c r="G2895" s="33">
        <v>49</v>
      </c>
    </row>
    <row r="2896" spans="1:7">
      <c r="A2896" t="s">
        <v>22</v>
      </c>
      <c r="B2896" t="s">
        <v>202</v>
      </c>
      <c r="C2896" s="32">
        <v>567.71</v>
      </c>
      <c r="D2896" s="33">
        <v>90</v>
      </c>
      <c r="E2896" t="s">
        <v>144</v>
      </c>
      <c r="F2896" t="s">
        <v>93</v>
      </c>
      <c r="G2896" s="33">
        <v>49</v>
      </c>
    </row>
    <row r="2897" spans="1:7">
      <c r="A2897" t="s">
        <v>22</v>
      </c>
      <c r="B2897" t="s">
        <v>202</v>
      </c>
      <c r="C2897" s="32">
        <v>567.79</v>
      </c>
      <c r="D2897" s="33">
        <v>91</v>
      </c>
      <c r="E2897" t="s">
        <v>145</v>
      </c>
      <c r="F2897" t="s">
        <v>90</v>
      </c>
      <c r="G2897" s="33">
        <v>49</v>
      </c>
    </row>
    <row r="2898" spans="1:7">
      <c r="A2898" t="s">
        <v>22</v>
      </c>
      <c r="B2898" t="s">
        <v>202</v>
      </c>
      <c r="C2898" s="32">
        <v>567.86</v>
      </c>
      <c r="D2898" s="33">
        <v>92</v>
      </c>
      <c r="E2898" t="s">
        <v>146</v>
      </c>
      <c r="F2898" t="s">
        <v>96</v>
      </c>
      <c r="G2898" s="33">
        <v>48</v>
      </c>
    </row>
    <row r="2899" spans="1:7">
      <c r="A2899" t="s">
        <v>22</v>
      </c>
      <c r="B2899" t="s">
        <v>202</v>
      </c>
      <c r="C2899" s="32">
        <v>567.94000000000005</v>
      </c>
      <c r="D2899" s="33">
        <v>93</v>
      </c>
      <c r="E2899" t="s">
        <v>148</v>
      </c>
      <c r="F2899" t="s">
        <v>90</v>
      </c>
      <c r="G2899" s="33">
        <v>49</v>
      </c>
    </row>
    <row r="2900" spans="1:7">
      <c r="A2900" t="s">
        <v>22</v>
      </c>
      <c r="B2900" t="s">
        <v>202</v>
      </c>
      <c r="C2900" s="32">
        <v>568.02</v>
      </c>
      <c r="D2900" s="33">
        <v>94</v>
      </c>
      <c r="E2900" t="s">
        <v>149</v>
      </c>
      <c r="F2900" t="s">
        <v>93</v>
      </c>
      <c r="G2900" s="33">
        <v>49</v>
      </c>
    </row>
    <row r="2901" spans="1:7">
      <c r="A2901" t="s">
        <v>22</v>
      </c>
      <c r="B2901" t="s">
        <v>202</v>
      </c>
      <c r="C2901" s="32">
        <v>568.09</v>
      </c>
      <c r="D2901" s="33">
        <v>95</v>
      </c>
      <c r="E2901" t="s">
        <v>150</v>
      </c>
      <c r="F2901" t="s">
        <v>90</v>
      </c>
      <c r="G2901" s="33">
        <v>49</v>
      </c>
    </row>
    <row r="2902" spans="1:7">
      <c r="A2902" t="s">
        <v>22</v>
      </c>
      <c r="B2902" t="s">
        <v>202</v>
      </c>
      <c r="C2902" s="32">
        <v>568.16999999999996</v>
      </c>
      <c r="D2902" s="33">
        <v>96</v>
      </c>
      <c r="E2902" t="s">
        <v>151</v>
      </c>
      <c r="F2902" t="s">
        <v>90</v>
      </c>
      <c r="G2902" s="33">
        <v>49</v>
      </c>
    </row>
    <row r="2903" spans="1:7">
      <c r="A2903" t="s">
        <v>22</v>
      </c>
      <c r="B2903" t="s">
        <v>202</v>
      </c>
      <c r="C2903" s="32">
        <v>568.24</v>
      </c>
      <c r="D2903" s="33">
        <v>97</v>
      </c>
      <c r="E2903" t="s">
        <v>152</v>
      </c>
      <c r="F2903" t="s">
        <v>93</v>
      </c>
      <c r="G2903" s="33">
        <v>49</v>
      </c>
    </row>
    <row r="2904" spans="1:7">
      <c r="A2904" t="s">
        <v>22</v>
      </c>
      <c r="B2904" t="s">
        <v>202</v>
      </c>
      <c r="C2904" s="32">
        <v>568.32000000000005</v>
      </c>
      <c r="D2904" s="33">
        <v>98</v>
      </c>
      <c r="E2904" t="s">
        <v>153</v>
      </c>
      <c r="F2904" t="s">
        <v>90</v>
      </c>
      <c r="G2904" s="33">
        <v>49</v>
      </c>
    </row>
    <row r="2905" spans="1:7">
      <c r="A2905" t="s">
        <v>22</v>
      </c>
      <c r="B2905" t="s">
        <v>202</v>
      </c>
      <c r="C2905" s="32">
        <v>568.39</v>
      </c>
      <c r="D2905" s="33">
        <v>99</v>
      </c>
      <c r="E2905" t="s">
        <v>120</v>
      </c>
      <c r="F2905" t="s">
        <v>96</v>
      </c>
      <c r="G2905" s="33">
        <v>49</v>
      </c>
    </row>
    <row r="2906" spans="1:7">
      <c r="A2906" t="s">
        <v>22</v>
      </c>
      <c r="B2906" t="s">
        <v>202</v>
      </c>
      <c r="C2906" s="32">
        <v>568.47</v>
      </c>
      <c r="D2906" s="33">
        <v>100</v>
      </c>
      <c r="E2906" t="s">
        <v>115</v>
      </c>
      <c r="F2906" t="s">
        <v>102</v>
      </c>
      <c r="G2906" s="33">
        <v>49</v>
      </c>
    </row>
    <row r="2907" spans="1:7">
      <c r="A2907" t="s">
        <v>22</v>
      </c>
      <c r="B2907" t="s">
        <v>202</v>
      </c>
      <c r="C2907" s="32">
        <v>568.54</v>
      </c>
      <c r="D2907" s="33">
        <v>101</v>
      </c>
      <c r="E2907" t="s">
        <v>116</v>
      </c>
      <c r="F2907" t="s">
        <v>93</v>
      </c>
      <c r="G2907" s="33">
        <v>48</v>
      </c>
    </row>
    <row r="2908" spans="1:7">
      <c r="A2908" t="s">
        <v>22</v>
      </c>
      <c r="B2908" t="s">
        <v>202</v>
      </c>
      <c r="C2908" s="32">
        <v>568.62</v>
      </c>
      <c r="D2908" s="33">
        <v>102</v>
      </c>
      <c r="E2908" t="s">
        <v>117</v>
      </c>
      <c r="F2908" t="s">
        <v>90</v>
      </c>
      <c r="G2908" s="33">
        <v>49</v>
      </c>
    </row>
    <row r="2909" spans="1:7">
      <c r="A2909" t="s">
        <v>22</v>
      </c>
      <c r="B2909" t="s">
        <v>202</v>
      </c>
      <c r="C2909" s="32">
        <v>568.69000000000005</v>
      </c>
      <c r="D2909" s="33">
        <v>103</v>
      </c>
      <c r="E2909" t="s">
        <v>118</v>
      </c>
      <c r="F2909" t="s">
        <v>93</v>
      </c>
      <c r="G2909" s="33">
        <v>49</v>
      </c>
    </row>
    <row r="2910" spans="1:7">
      <c r="A2910" t="s">
        <v>22</v>
      </c>
      <c r="B2910" t="s">
        <v>202</v>
      </c>
      <c r="C2910" s="32">
        <v>568.77</v>
      </c>
      <c r="D2910" s="33">
        <v>104</v>
      </c>
      <c r="E2910" t="s">
        <v>122</v>
      </c>
      <c r="F2910" t="s">
        <v>90</v>
      </c>
      <c r="G2910" s="33">
        <v>49</v>
      </c>
    </row>
    <row r="2911" spans="1:7">
      <c r="A2911" t="s">
        <v>22</v>
      </c>
      <c r="B2911" t="s">
        <v>202</v>
      </c>
      <c r="C2911" s="32">
        <v>568.85</v>
      </c>
      <c r="D2911" s="33">
        <v>105</v>
      </c>
      <c r="E2911" t="s">
        <v>124</v>
      </c>
      <c r="F2911" t="s">
        <v>96</v>
      </c>
      <c r="G2911" s="33">
        <v>49</v>
      </c>
    </row>
    <row r="2912" spans="1:7">
      <c r="A2912" t="s">
        <v>22</v>
      </c>
      <c r="B2912" t="s">
        <v>202</v>
      </c>
      <c r="C2912" s="32">
        <v>568.91999999999996</v>
      </c>
      <c r="D2912" s="33">
        <v>106</v>
      </c>
      <c r="E2912" t="s">
        <v>125</v>
      </c>
      <c r="F2912" t="s">
        <v>90</v>
      </c>
      <c r="G2912" s="33">
        <v>49</v>
      </c>
    </row>
    <row r="2913" spans="1:7">
      <c r="A2913" t="s">
        <v>22</v>
      </c>
      <c r="B2913" t="s">
        <v>202</v>
      </c>
      <c r="C2913" s="32">
        <v>569</v>
      </c>
      <c r="D2913" s="33">
        <v>107</v>
      </c>
      <c r="E2913" t="s">
        <v>127</v>
      </c>
      <c r="F2913" t="s">
        <v>93</v>
      </c>
      <c r="G2913" s="33">
        <v>49</v>
      </c>
    </row>
    <row r="2914" spans="1:7">
      <c r="A2914" t="s">
        <v>22</v>
      </c>
      <c r="B2914" t="s">
        <v>202</v>
      </c>
      <c r="C2914" s="32">
        <v>569.07000000000005</v>
      </c>
      <c r="D2914" s="33">
        <v>108</v>
      </c>
      <c r="E2914" t="s">
        <v>128</v>
      </c>
      <c r="F2914" t="s">
        <v>90</v>
      </c>
      <c r="G2914" s="33">
        <v>49</v>
      </c>
    </row>
    <row r="2915" spans="1:7">
      <c r="A2915" t="s">
        <v>22</v>
      </c>
      <c r="B2915" t="s">
        <v>202</v>
      </c>
      <c r="C2915" s="32">
        <v>569.15</v>
      </c>
      <c r="D2915" s="33">
        <v>109</v>
      </c>
      <c r="E2915" t="s">
        <v>129</v>
      </c>
      <c r="F2915" t="s">
        <v>90</v>
      </c>
      <c r="G2915" s="33">
        <v>49</v>
      </c>
    </row>
    <row r="2916" spans="1:7">
      <c r="A2916" t="s">
        <v>22</v>
      </c>
      <c r="B2916" t="s">
        <v>202</v>
      </c>
      <c r="C2916" s="32">
        <v>569.22</v>
      </c>
      <c r="D2916" s="33">
        <v>110</v>
      </c>
      <c r="E2916" t="s">
        <v>130</v>
      </c>
      <c r="F2916" t="s">
        <v>93</v>
      </c>
      <c r="G2916" s="33">
        <v>49</v>
      </c>
    </row>
    <row r="2917" spans="1:7">
      <c r="A2917" t="s">
        <v>22</v>
      </c>
      <c r="B2917" t="s">
        <v>202</v>
      </c>
      <c r="C2917" s="32">
        <v>569.29999999999995</v>
      </c>
      <c r="D2917" s="33">
        <v>111</v>
      </c>
      <c r="E2917" t="s">
        <v>131</v>
      </c>
      <c r="F2917" t="s">
        <v>90</v>
      </c>
      <c r="G2917" s="33">
        <v>48</v>
      </c>
    </row>
    <row r="2918" spans="1:7">
      <c r="A2918" t="s">
        <v>22</v>
      </c>
      <c r="B2918" t="s">
        <v>202</v>
      </c>
      <c r="C2918" s="32">
        <v>569.37</v>
      </c>
      <c r="D2918" s="33">
        <v>112</v>
      </c>
      <c r="E2918" t="s">
        <v>133</v>
      </c>
      <c r="F2918" t="s">
        <v>96</v>
      </c>
      <c r="G2918" s="33">
        <v>49</v>
      </c>
    </row>
    <row r="2919" spans="1:7">
      <c r="A2919" t="s">
        <v>22</v>
      </c>
      <c r="B2919" t="s">
        <v>202</v>
      </c>
      <c r="C2919" s="32">
        <v>569.45000000000005</v>
      </c>
      <c r="D2919" s="33">
        <v>113</v>
      </c>
      <c r="E2919" t="s">
        <v>134</v>
      </c>
      <c r="F2919" t="s">
        <v>90</v>
      </c>
      <c r="G2919" s="33">
        <v>49</v>
      </c>
    </row>
    <row r="2920" spans="1:7">
      <c r="A2920" t="s">
        <v>22</v>
      </c>
      <c r="B2920" t="s">
        <v>202</v>
      </c>
      <c r="C2920" s="32">
        <v>569.52</v>
      </c>
      <c r="D2920" s="33">
        <v>114</v>
      </c>
      <c r="E2920" t="s">
        <v>135</v>
      </c>
      <c r="F2920" t="s">
        <v>93</v>
      </c>
      <c r="G2920" s="33">
        <v>49</v>
      </c>
    </row>
    <row r="2921" spans="1:7">
      <c r="A2921" t="s">
        <v>22</v>
      </c>
      <c r="B2921" t="s">
        <v>202</v>
      </c>
      <c r="C2921" s="32">
        <v>569.6</v>
      </c>
      <c r="D2921" s="33">
        <v>115</v>
      </c>
      <c r="E2921" t="s">
        <v>136</v>
      </c>
      <c r="F2921" t="s">
        <v>102</v>
      </c>
      <c r="G2921" s="33">
        <v>49</v>
      </c>
    </row>
    <row r="2922" spans="1:7">
      <c r="A2922" t="s">
        <v>22</v>
      </c>
      <c r="B2922" t="s">
        <v>203</v>
      </c>
      <c r="C2922" s="32">
        <v>571</v>
      </c>
      <c r="D2922" s="33">
        <v>1</v>
      </c>
      <c r="E2922" t="s">
        <v>131</v>
      </c>
      <c r="F2922" t="s">
        <v>90</v>
      </c>
      <c r="G2922" s="33">
        <v>50</v>
      </c>
    </row>
    <row r="2923" spans="1:7">
      <c r="A2923" t="s">
        <v>22</v>
      </c>
      <c r="B2923" t="s">
        <v>203</v>
      </c>
      <c r="C2923" s="32">
        <v>571.07000000000005</v>
      </c>
      <c r="D2923" s="33">
        <v>2</v>
      </c>
      <c r="E2923" t="s">
        <v>133</v>
      </c>
      <c r="F2923" t="s">
        <v>93</v>
      </c>
      <c r="G2923" s="33">
        <v>50</v>
      </c>
    </row>
    <row r="2924" spans="1:7">
      <c r="A2924" t="s">
        <v>22</v>
      </c>
      <c r="B2924" t="s">
        <v>203</v>
      </c>
      <c r="C2924" s="32">
        <v>571.15</v>
      </c>
      <c r="D2924" s="33">
        <v>3</v>
      </c>
      <c r="E2924" t="s">
        <v>134</v>
      </c>
      <c r="F2924" t="s">
        <v>90</v>
      </c>
      <c r="G2924" s="33">
        <v>50</v>
      </c>
    </row>
    <row r="2925" spans="1:7">
      <c r="A2925" t="s">
        <v>22</v>
      </c>
      <c r="B2925" t="s">
        <v>203</v>
      </c>
      <c r="C2925" s="32">
        <v>571.22</v>
      </c>
      <c r="D2925" s="33">
        <v>4</v>
      </c>
      <c r="E2925" t="s">
        <v>135</v>
      </c>
      <c r="F2925" t="s">
        <v>96</v>
      </c>
      <c r="G2925" s="33">
        <v>50</v>
      </c>
    </row>
    <row r="2926" spans="1:7">
      <c r="A2926" t="s">
        <v>22</v>
      </c>
      <c r="B2926" t="s">
        <v>203</v>
      </c>
      <c r="C2926" s="32">
        <v>571.29</v>
      </c>
      <c r="D2926" s="33">
        <v>5</v>
      </c>
      <c r="E2926" t="s">
        <v>136</v>
      </c>
      <c r="F2926" t="s">
        <v>90</v>
      </c>
      <c r="G2926" s="33">
        <v>50</v>
      </c>
    </row>
    <row r="2927" spans="1:7">
      <c r="A2927" t="s">
        <v>22</v>
      </c>
      <c r="B2927" t="s">
        <v>203</v>
      </c>
      <c r="C2927" s="32">
        <v>571.37</v>
      </c>
      <c r="D2927" s="33">
        <v>6</v>
      </c>
      <c r="E2927" t="s">
        <v>137</v>
      </c>
      <c r="F2927" t="s">
        <v>93</v>
      </c>
      <c r="G2927" s="33">
        <v>50</v>
      </c>
    </row>
    <row r="2928" spans="1:7">
      <c r="A2928" t="s">
        <v>22</v>
      </c>
      <c r="B2928" t="s">
        <v>203</v>
      </c>
      <c r="C2928" s="32">
        <v>571.44000000000005</v>
      </c>
      <c r="D2928" s="33">
        <v>7</v>
      </c>
      <c r="E2928" t="s">
        <v>138</v>
      </c>
      <c r="F2928" t="s">
        <v>90</v>
      </c>
      <c r="G2928" s="33">
        <v>50</v>
      </c>
    </row>
    <row r="2929" spans="1:7">
      <c r="A2929" t="s">
        <v>22</v>
      </c>
      <c r="B2929" t="s">
        <v>203</v>
      </c>
      <c r="C2929" s="32">
        <v>571.51</v>
      </c>
      <c r="D2929" s="33">
        <v>8</v>
      </c>
      <c r="E2929" t="s">
        <v>140</v>
      </c>
      <c r="F2929" t="s">
        <v>90</v>
      </c>
      <c r="G2929" s="33">
        <v>49</v>
      </c>
    </row>
    <row r="2930" spans="1:7">
      <c r="A2930" t="s">
        <v>22</v>
      </c>
      <c r="B2930" t="s">
        <v>203</v>
      </c>
      <c r="C2930" s="32">
        <v>571.59</v>
      </c>
      <c r="D2930" s="33">
        <v>9</v>
      </c>
      <c r="E2930" t="s">
        <v>141</v>
      </c>
      <c r="F2930" t="s">
        <v>93</v>
      </c>
      <c r="G2930" s="33">
        <v>50</v>
      </c>
    </row>
    <row r="2931" spans="1:7">
      <c r="A2931" t="s">
        <v>22</v>
      </c>
      <c r="B2931" t="s">
        <v>203</v>
      </c>
      <c r="C2931" s="32">
        <v>571.66</v>
      </c>
      <c r="D2931" s="33">
        <v>10</v>
      </c>
      <c r="E2931" t="s">
        <v>142</v>
      </c>
      <c r="F2931" t="s">
        <v>90</v>
      </c>
      <c r="G2931" s="33">
        <v>50</v>
      </c>
    </row>
    <row r="2932" spans="1:7">
      <c r="A2932" t="s">
        <v>22</v>
      </c>
      <c r="B2932" t="s">
        <v>203</v>
      </c>
      <c r="C2932" s="32">
        <v>571.74</v>
      </c>
      <c r="D2932" s="33">
        <v>11</v>
      </c>
      <c r="E2932" t="s">
        <v>143</v>
      </c>
      <c r="F2932" t="s">
        <v>96</v>
      </c>
      <c r="G2932" s="33">
        <v>50</v>
      </c>
    </row>
    <row r="2933" spans="1:7">
      <c r="A2933" t="s">
        <v>22</v>
      </c>
      <c r="B2933" t="s">
        <v>203</v>
      </c>
      <c r="C2933" s="32">
        <v>571.80999999999995</v>
      </c>
      <c r="D2933" s="33">
        <v>12</v>
      </c>
      <c r="E2933" t="s">
        <v>144</v>
      </c>
      <c r="F2933" t="s">
        <v>90</v>
      </c>
      <c r="G2933" s="33">
        <v>50</v>
      </c>
    </row>
    <row r="2934" spans="1:7">
      <c r="A2934" t="s">
        <v>22</v>
      </c>
      <c r="B2934" t="s">
        <v>203</v>
      </c>
      <c r="C2934" s="32">
        <v>571.88</v>
      </c>
      <c r="D2934" s="33">
        <v>13</v>
      </c>
      <c r="E2934" t="s">
        <v>145</v>
      </c>
      <c r="F2934" t="s">
        <v>93</v>
      </c>
      <c r="G2934" s="33">
        <v>50</v>
      </c>
    </row>
    <row r="2935" spans="1:7">
      <c r="A2935" t="s">
        <v>22</v>
      </c>
      <c r="B2935" t="s">
        <v>203</v>
      </c>
      <c r="C2935" s="32">
        <v>571.96</v>
      </c>
      <c r="D2935" s="33">
        <v>14</v>
      </c>
      <c r="E2935" t="s">
        <v>146</v>
      </c>
      <c r="F2935" t="s">
        <v>102</v>
      </c>
      <c r="G2935" s="33">
        <v>50</v>
      </c>
    </row>
    <row r="2936" spans="1:7">
      <c r="A2936" t="s">
        <v>22</v>
      </c>
      <c r="B2936" t="s">
        <v>203</v>
      </c>
      <c r="C2936" s="32">
        <v>572.03</v>
      </c>
      <c r="D2936" s="33">
        <v>15</v>
      </c>
      <c r="E2936" t="s">
        <v>148</v>
      </c>
      <c r="F2936" t="s">
        <v>93</v>
      </c>
      <c r="G2936" s="33">
        <v>50</v>
      </c>
    </row>
    <row r="2937" spans="1:7">
      <c r="A2937" t="s">
        <v>22</v>
      </c>
      <c r="B2937" t="s">
        <v>203</v>
      </c>
      <c r="C2937" s="32">
        <v>572.1</v>
      </c>
      <c r="D2937" s="33">
        <v>16</v>
      </c>
      <c r="E2937" t="s">
        <v>149</v>
      </c>
      <c r="F2937" t="s">
        <v>90</v>
      </c>
      <c r="G2937" s="33">
        <v>50</v>
      </c>
    </row>
    <row r="2938" spans="1:7">
      <c r="A2938" t="s">
        <v>22</v>
      </c>
      <c r="B2938" t="s">
        <v>203</v>
      </c>
      <c r="C2938" s="32">
        <v>572.17999999999995</v>
      </c>
      <c r="D2938" s="33">
        <v>17</v>
      </c>
      <c r="E2938" t="s">
        <v>150</v>
      </c>
      <c r="F2938" t="s">
        <v>90</v>
      </c>
      <c r="G2938" s="33">
        <v>50</v>
      </c>
    </row>
    <row r="2939" spans="1:7">
      <c r="A2939" t="s">
        <v>22</v>
      </c>
      <c r="B2939" t="s">
        <v>203</v>
      </c>
      <c r="C2939" s="32">
        <v>572.25</v>
      </c>
      <c r="D2939" s="33">
        <v>18</v>
      </c>
      <c r="E2939" t="s">
        <v>151</v>
      </c>
      <c r="F2939" t="s">
        <v>96</v>
      </c>
      <c r="G2939" s="33">
        <v>50</v>
      </c>
    </row>
    <row r="2940" spans="1:7">
      <c r="A2940" t="s">
        <v>22</v>
      </c>
      <c r="B2940" t="s">
        <v>203</v>
      </c>
      <c r="C2940" s="32">
        <v>572.32000000000005</v>
      </c>
      <c r="D2940" s="33">
        <v>19</v>
      </c>
      <c r="E2940" t="s">
        <v>152</v>
      </c>
      <c r="F2940" t="s">
        <v>93</v>
      </c>
      <c r="G2940" s="33">
        <v>50</v>
      </c>
    </row>
    <row r="2941" spans="1:7">
      <c r="A2941" t="s">
        <v>22</v>
      </c>
      <c r="B2941" t="s">
        <v>203</v>
      </c>
      <c r="C2941" s="32">
        <v>572.4</v>
      </c>
      <c r="D2941" s="33">
        <v>20</v>
      </c>
      <c r="E2941" t="s">
        <v>153</v>
      </c>
      <c r="F2941" t="s">
        <v>90</v>
      </c>
      <c r="G2941" s="33">
        <v>50</v>
      </c>
    </row>
    <row r="2942" spans="1:7">
      <c r="A2942" t="s">
        <v>22</v>
      </c>
      <c r="B2942" t="s">
        <v>203</v>
      </c>
      <c r="C2942" s="32">
        <v>572.47</v>
      </c>
      <c r="D2942" s="33">
        <v>21</v>
      </c>
      <c r="E2942" t="s">
        <v>120</v>
      </c>
      <c r="F2942" t="s">
        <v>90</v>
      </c>
      <c r="G2942" s="33">
        <v>50</v>
      </c>
    </row>
    <row r="2943" spans="1:7">
      <c r="A2943" t="s">
        <v>22</v>
      </c>
      <c r="B2943" t="s">
        <v>203</v>
      </c>
      <c r="C2943" s="32">
        <v>572.54</v>
      </c>
      <c r="D2943" s="33">
        <v>22</v>
      </c>
      <c r="E2943" t="s">
        <v>115</v>
      </c>
      <c r="F2943" t="s">
        <v>93</v>
      </c>
      <c r="G2943" s="33">
        <v>50</v>
      </c>
    </row>
    <row r="2944" spans="1:7">
      <c r="A2944" t="s">
        <v>22</v>
      </c>
      <c r="B2944" t="s">
        <v>203</v>
      </c>
      <c r="C2944" s="32">
        <v>572.62</v>
      </c>
      <c r="D2944" s="33">
        <v>23</v>
      </c>
      <c r="E2944" t="s">
        <v>116</v>
      </c>
      <c r="F2944" t="s">
        <v>90</v>
      </c>
      <c r="G2944" s="33">
        <v>49</v>
      </c>
    </row>
    <row r="2945" spans="1:7">
      <c r="A2945" t="s">
        <v>22</v>
      </c>
      <c r="B2945" t="s">
        <v>203</v>
      </c>
      <c r="C2945" s="32">
        <v>572.69000000000005</v>
      </c>
      <c r="D2945" s="33">
        <v>24</v>
      </c>
      <c r="E2945" t="s">
        <v>117</v>
      </c>
      <c r="F2945" t="s">
        <v>96</v>
      </c>
      <c r="G2945" s="33">
        <v>50</v>
      </c>
    </row>
    <row r="2946" spans="1:7">
      <c r="A2946" t="s">
        <v>22</v>
      </c>
      <c r="B2946" t="s">
        <v>203</v>
      </c>
      <c r="C2946" s="32">
        <v>572.76</v>
      </c>
      <c r="D2946" s="33">
        <v>25</v>
      </c>
      <c r="E2946" t="s">
        <v>118</v>
      </c>
      <c r="F2946" t="s">
        <v>90</v>
      </c>
      <c r="G2946" s="33">
        <v>50</v>
      </c>
    </row>
    <row r="2947" spans="1:7">
      <c r="A2947" t="s">
        <v>22</v>
      </c>
      <c r="B2947" t="s">
        <v>203</v>
      </c>
      <c r="C2947" s="32">
        <v>572.84</v>
      </c>
      <c r="D2947" s="33">
        <v>26</v>
      </c>
      <c r="E2947" t="s">
        <v>122</v>
      </c>
      <c r="F2947" t="s">
        <v>93</v>
      </c>
      <c r="G2947" s="33">
        <v>50</v>
      </c>
    </row>
    <row r="2948" spans="1:7">
      <c r="A2948" t="s">
        <v>22</v>
      </c>
      <c r="B2948" t="s">
        <v>203</v>
      </c>
      <c r="C2948" s="32">
        <v>572.91</v>
      </c>
      <c r="D2948" s="33">
        <v>27</v>
      </c>
      <c r="E2948" t="s">
        <v>124</v>
      </c>
      <c r="F2948" t="s">
        <v>90</v>
      </c>
      <c r="G2948" s="33">
        <v>50</v>
      </c>
    </row>
    <row r="2949" spans="1:7">
      <c r="A2949" t="s">
        <v>22</v>
      </c>
      <c r="B2949" t="s">
        <v>203</v>
      </c>
      <c r="C2949" s="32">
        <v>572.98</v>
      </c>
      <c r="D2949" s="33">
        <v>28</v>
      </c>
      <c r="E2949" t="s">
        <v>125</v>
      </c>
      <c r="F2949" t="s">
        <v>102</v>
      </c>
      <c r="G2949" s="33">
        <v>50</v>
      </c>
    </row>
    <row r="2950" spans="1:7">
      <c r="A2950" t="s">
        <v>22</v>
      </c>
      <c r="B2950" t="s">
        <v>203</v>
      </c>
      <c r="C2950" s="32">
        <v>573.05999999999995</v>
      </c>
      <c r="D2950" s="33">
        <v>29</v>
      </c>
      <c r="E2950" t="s">
        <v>127</v>
      </c>
      <c r="F2950" t="s">
        <v>93</v>
      </c>
      <c r="G2950" s="33">
        <v>50</v>
      </c>
    </row>
    <row r="2951" spans="1:7">
      <c r="A2951" t="s">
        <v>22</v>
      </c>
      <c r="B2951" t="s">
        <v>203</v>
      </c>
      <c r="C2951" s="32">
        <v>573.13</v>
      </c>
      <c r="D2951" s="33">
        <v>30</v>
      </c>
      <c r="E2951" t="s">
        <v>128</v>
      </c>
      <c r="F2951" t="s">
        <v>90</v>
      </c>
      <c r="G2951" s="33">
        <v>50</v>
      </c>
    </row>
    <row r="2952" spans="1:7">
      <c r="A2952" t="s">
        <v>22</v>
      </c>
      <c r="B2952" t="s">
        <v>203</v>
      </c>
      <c r="C2952" s="32">
        <v>573.21</v>
      </c>
      <c r="D2952" s="33">
        <v>31</v>
      </c>
      <c r="E2952" t="s">
        <v>129</v>
      </c>
      <c r="F2952" t="s">
        <v>96</v>
      </c>
      <c r="G2952" s="33">
        <v>50</v>
      </c>
    </row>
    <row r="2953" spans="1:7">
      <c r="A2953" t="s">
        <v>22</v>
      </c>
      <c r="B2953" t="s">
        <v>203</v>
      </c>
      <c r="C2953" s="32">
        <v>573.28</v>
      </c>
      <c r="D2953" s="33">
        <v>32</v>
      </c>
      <c r="E2953" t="s">
        <v>130</v>
      </c>
      <c r="F2953" t="s">
        <v>90</v>
      </c>
      <c r="G2953" s="33">
        <v>50</v>
      </c>
    </row>
    <row r="2954" spans="1:7">
      <c r="A2954" t="s">
        <v>22</v>
      </c>
      <c r="B2954" t="s">
        <v>203</v>
      </c>
      <c r="C2954" s="32">
        <v>573.35</v>
      </c>
      <c r="D2954" s="33">
        <v>33</v>
      </c>
      <c r="E2954" t="s">
        <v>131</v>
      </c>
      <c r="F2954" t="s">
        <v>93</v>
      </c>
      <c r="G2954" s="33">
        <v>50</v>
      </c>
    </row>
    <row r="2955" spans="1:7">
      <c r="A2955" t="s">
        <v>22</v>
      </c>
      <c r="B2955" t="s">
        <v>203</v>
      </c>
      <c r="C2955" s="32">
        <v>573.42999999999995</v>
      </c>
      <c r="D2955" s="33">
        <v>34</v>
      </c>
      <c r="E2955" t="s">
        <v>133</v>
      </c>
      <c r="F2955" t="s">
        <v>90</v>
      </c>
      <c r="G2955" s="33">
        <v>50</v>
      </c>
    </row>
    <row r="2956" spans="1:7">
      <c r="A2956" t="s">
        <v>22</v>
      </c>
      <c r="B2956" t="s">
        <v>203</v>
      </c>
      <c r="C2956" s="32">
        <v>573.5</v>
      </c>
      <c r="D2956" s="33">
        <v>35</v>
      </c>
      <c r="E2956" t="s">
        <v>134</v>
      </c>
      <c r="F2956" t="s">
        <v>90</v>
      </c>
      <c r="G2956" s="33">
        <v>50</v>
      </c>
    </row>
    <row r="2957" spans="1:7">
      <c r="A2957" t="s">
        <v>22</v>
      </c>
      <c r="B2957" t="s">
        <v>203</v>
      </c>
      <c r="C2957" s="32">
        <v>573.57000000000005</v>
      </c>
      <c r="D2957" s="33">
        <v>36</v>
      </c>
      <c r="E2957" t="s">
        <v>135</v>
      </c>
      <c r="F2957" t="s">
        <v>93</v>
      </c>
      <c r="G2957" s="33">
        <v>50</v>
      </c>
    </row>
    <row r="2958" spans="1:7">
      <c r="A2958" t="s">
        <v>22</v>
      </c>
      <c r="B2958" t="s">
        <v>203</v>
      </c>
      <c r="C2958" s="32">
        <v>573.65</v>
      </c>
      <c r="D2958" s="33">
        <v>37</v>
      </c>
      <c r="E2958" t="s">
        <v>136</v>
      </c>
      <c r="F2958" t="s">
        <v>90</v>
      </c>
      <c r="G2958" s="33">
        <v>49</v>
      </c>
    </row>
    <row r="2959" spans="1:7">
      <c r="A2959" t="s">
        <v>22</v>
      </c>
      <c r="B2959" t="s">
        <v>203</v>
      </c>
      <c r="C2959" s="32">
        <v>573.72</v>
      </c>
      <c r="D2959" s="33">
        <v>38</v>
      </c>
      <c r="E2959" t="s">
        <v>137</v>
      </c>
      <c r="F2959" t="s">
        <v>96</v>
      </c>
      <c r="G2959" s="33">
        <v>50</v>
      </c>
    </row>
    <row r="2960" spans="1:7">
      <c r="A2960" t="s">
        <v>22</v>
      </c>
      <c r="B2960" t="s">
        <v>203</v>
      </c>
      <c r="C2960" s="32">
        <v>573.79</v>
      </c>
      <c r="D2960" s="33">
        <v>39</v>
      </c>
      <c r="E2960" t="s">
        <v>138</v>
      </c>
      <c r="F2960" t="s">
        <v>90</v>
      </c>
      <c r="G2960" s="33">
        <v>50</v>
      </c>
    </row>
    <row r="2961" spans="1:7">
      <c r="A2961" t="s">
        <v>22</v>
      </c>
      <c r="B2961" t="s">
        <v>203</v>
      </c>
      <c r="C2961" s="32">
        <v>573.87</v>
      </c>
      <c r="D2961" s="33">
        <v>40</v>
      </c>
      <c r="E2961" t="s">
        <v>140</v>
      </c>
      <c r="F2961" t="s">
        <v>93</v>
      </c>
      <c r="G2961" s="33">
        <v>50</v>
      </c>
    </row>
    <row r="2962" spans="1:7">
      <c r="A2962" t="s">
        <v>22</v>
      </c>
      <c r="B2962" t="s">
        <v>203</v>
      </c>
      <c r="C2962" s="32">
        <v>573.94000000000005</v>
      </c>
      <c r="D2962" s="33">
        <v>41</v>
      </c>
      <c r="E2962" t="s">
        <v>141</v>
      </c>
      <c r="F2962" t="s">
        <v>90</v>
      </c>
      <c r="G2962" s="33">
        <v>50</v>
      </c>
    </row>
    <row r="2963" spans="1:7">
      <c r="A2963" t="s">
        <v>22</v>
      </c>
      <c r="B2963" t="s">
        <v>203</v>
      </c>
      <c r="C2963" s="32">
        <v>574.01</v>
      </c>
      <c r="D2963" s="33">
        <v>42</v>
      </c>
      <c r="E2963" t="s">
        <v>142</v>
      </c>
      <c r="F2963" t="s">
        <v>102</v>
      </c>
      <c r="G2963" s="33">
        <v>50</v>
      </c>
    </row>
    <row r="2964" spans="1:7">
      <c r="A2964" t="s">
        <v>22</v>
      </c>
      <c r="B2964" t="s">
        <v>203</v>
      </c>
      <c r="C2964" s="32">
        <v>574.09</v>
      </c>
      <c r="D2964" s="33">
        <v>43</v>
      </c>
      <c r="E2964" t="s">
        <v>143</v>
      </c>
      <c r="F2964" t="s">
        <v>93</v>
      </c>
      <c r="G2964" s="33">
        <v>50</v>
      </c>
    </row>
    <row r="2965" spans="1:7">
      <c r="A2965" t="s">
        <v>22</v>
      </c>
      <c r="B2965" t="s">
        <v>203</v>
      </c>
      <c r="C2965" s="32">
        <v>574.16</v>
      </c>
      <c r="D2965" s="33">
        <v>44</v>
      </c>
      <c r="E2965" t="s">
        <v>144</v>
      </c>
      <c r="F2965" t="s">
        <v>90</v>
      </c>
      <c r="G2965" s="33">
        <v>50</v>
      </c>
    </row>
    <row r="2966" spans="1:7">
      <c r="A2966" t="s">
        <v>22</v>
      </c>
      <c r="B2966" t="s">
        <v>203</v>
      </c>
      <c r="C2966" s="32">
        <v>574.23</v>
      </c>
      <c r="D2966" s="33">
        <v>45</v>
      </c>
      <c r="E2966" t="s">
        <v>145</v>
      </c>
      <c r="F2966" t="s">
        <v>96</v>
      </c>
      <c r="G2966" s="33">
        <v>50</v>
      </c>
    </row>
    <row r="2967" spans="1:7">
      <c r="A2967" t="s">
        <v>22</v>
      </c>
      <c r="B2967" t="s">
        <v>203</v>
      </c>
      <c r="C2967" s="32">
        <v>574.30999999999995</v>
      </c>
      <c r="D2967" s="33">
        <v>46</v>
      </c>
      <c r="E2967" t="s">
        <v>146</v>
      </c>
      <c r="F2967" t="s">
        <v>90</v>
      </c>
      <c r="G2967" s="33">
        <v>50</v>
      </c>
    </row>
    <row r="2968" spans="1:7">
      <c r="A2968" t="s">
        <v>22</v>
      </c>
      <c r="B2968" t="s">
        <v>203</v>
      </c>
      <c r="C2968" s="32">
        <v>574.38</v>
      </c>
      <c r="D2968" s="33">
        <v>47</v>
      </c>
      <c r="E2968" t="s">
        <v>148</v>
      </c>
      <c r="F2968" t="s">
        <v>93</v>
      </c>
      <c r="G2968" s="33">
        <v>50</v>
      </c>
    </row>
    <row r="2969" spans="1:7">
      <c r="A2969" t="s">
        <v>22</v>
      </c>
      <c r="B2969" t="s">
        <v>203</v>
      </c>
      <c r="C2969" s="32">
        <v>574.45000000000005</v>
      </c>
      <c r="D2969" s="33">
        <v>48</v>
      </c>
      <c r="E2969" t="s">
        <v>149</v>
      </c>
      <c r="F2969" t="s">
        <v>90</v>
      </c>
      <c r="G2969" s="33">
        <v>50</v>
      </c>
    </row>
    <row r="2970" spans="1:7">
      <c r="A2970" t="s">
        <v>22</v>
      </c>
      <c r="B2970" t="s">
        <v>203</v>
      </c>
      <c r="C2970" s="32">
        <v>574.53</v>
      </c>
      <c r="D2970" s="33">
        <v>49</v>
      </c>
      <c r="E2970" t="s">
        <v>150</v>
      </c>
      <c r="F2970" t="s">
        <v>93</v>
      </c>
      <c r="G2970" s="33">
        <v>50</v>
      </c>
    </row>
    <row r="2971" spans="1:7">
      <c r="A2971" t="s">
        <v>22</v>
      </c>
      <c r="B2971" t="s">
        <v>203</v>
      </c>
      <c r="C2971" s="32">
        <v>574.6</v>
      </c>
      <c r="D2971" s="33">
        <v>50</v>
      </c>
      <c r="E2971" t="s">
        <v>151</v>
      </c>
      <c r="F2971" t="s">
        <v>90</v>
      </c>
      <c r="G2971" s="33">
        <v>50</v>
      </c>
    </row>
    <row r="2972" spans="1:7">
      <c r="A2972" t="s">
        <v>22</v>
      </c>
      <c r="B2972" t="s">
        <v>203</v>
      </c>
      <c r="C2972" s="32">
        <v>574.67999999999995</v>
      </c>
      <c r="D2972" s="33">
        <v>51</v>
      </c>
      <c r="E2972" t="s">
        <v>152</v>
      </c>
      <c r="F2972" t="s">
        <v>90</v>
      </c>
      <c r="G2972" s="33">
        <v>50</v>
      </c>
    </row>
    <row r="2973" spans="1:7">
      <c r="A2973" t="s">
        <v>22</v>
      </c>
      <c r="B2973" t="s">
        <v>203</v>
      </c>
      <c r="C2973" s="32">
        <v>574.75</v>
      </c>
      <c r="D2973" s="33">
        <v>52</v>
      </c>
      <c r="E2973" t="s">
        <v>153</v>
      </c>
      <c r="F2973" t="s">
        <v>96</v>
      </c>
      <c r="G2973" s="33">
        <v>49</v>
      </c>
    </row>
    <row r="2974" spans="1:7">
      <c r="A2974" t="s">
        <v>22</v>
      </c>
      <c r="B2974" t="s">
        <v>203</v>
      </c>
      <c r="C2974" s="32">
        <v>574.82000000000005</v>
      </c>
      <c r="D2974" s="33">
        <v>53</v>
      </c>
      <c r="E2974" t="s">
        <v>120</v>
      </c>
      <c r="F2974" t="s">
        <v>93</v>
      </c>
      <c r="G2974" s="33">
        <v>50</v>
      </c>
    </row>
    <row r="2975" spans="1:7">
      <c r="A2975" t="s">
        <v>22</v>
      </c>
      <c r="B2975" t="s">
        <v>203</v>
      </c>
      <c r="C2975" s="32">
        <v>574.9</v>
      </c>
      <c r="D2975" s="33">
        <v>54</v>
      </c>
      <c r="E2975" t="s">
        <v>115</v>
      </c>
      <c r="F2975" t="s">
        <v>90</v>
      </c>
      <c r="G2975" s="33">
        <v>50</v>
      </c>
    </row>
    <row r="2976" spans="1:7">
      <c r="A2976" t="s">
        <v>22</v>
      </c>
      <c r="B2976" t="s">
        <v>203</v>
      </c>
      <c r="C2976" s="32">
        <v>574.97</v>
      </c>
      <c r="D2976" s="33">
        <v>55</v>
      </c>
      <c r="E2976" t="s">
        <v>116</v>
      </c>
      <c r="F2976" t="s">
        <v>90</v>
      </c>
      <c r="G2976" s="33">
        <v>50</v>
      </c>
    </row>
    <row r="2977" spans="1:7">
      <c r="A2977" t="s">
        <v>22</v>
      </c>
      <c r="B2977" t="s">
        <v>203</v>
      </c>
      <c r="C2977" s="32">
        <v>575.04</v>
      </c>
      <c r="D2977" s="33">
        <v>56</v>
      </c>
      <c r="E2977" t="s">
        <v>117</v>
      </c>
      <c r="F2977" t="s">
        <v>93</v>
      </c>
      <c r="G2977" s="33">
        <v>50</v>
      </c>
    </row>
    <row r="2978" spans="1:7">
      <c r="A2978" t="s">
        <v>22</v>
      </c>
      <c r="B2978" t="s">
        <v>203</v>
      </c>
      <c r="C2978" s="32">
        <v>575.12</v>
      </c>
      <c r="D2978" s="33">
        <v>57</v>
      </c>
      <c r="E2978" t="s">
        <v>118</v>
      </c>
      <c r="F2978" t="s">
        <v>102</v>
      </c>
      <c r="G2978" s="33">
        <v>50</v>
      </c>
    </row>
    <row r="2979" spans="1:7">
      <c r="A2979" t="s">
        <v>22</v>
      </c>
      <c r="B2979" t="s">
        <v>203</v>
      </c>
      <c r="C2979" s="32">
        <v>575.19000000000005</v>
      </c>
      <c r="D2979" s="33">
        <v>58</v>
      </c>
      <c r="E2979" t="s">
        <v>122</v>
      </c>
      <c r="F2979" t="s">
        <v>90</v>
      </c>
      <c r="G2979" s="33">
        <v>50</v>
      </c>
    </row>
    <row r="2980" spans="1:7">
      <c r="A2980" t="s">
        <v>22</v>
      </c>
      <c r="B2980" t="s">
        <v>203</v>
      </c>
      <c r="C2980" s="32">
        <v>575.26</v>
      </c>
      <c r="D2980" s="33">
        <v>59</v>
      </c>
      <c r="E2980" t="s">
        <v>124</v>
      </c>
      <c r="F2980" t="s">
        <v>93</v>
      </c>
      <c r="G2980" s="33">
        <v>50</v>
      </c>
    </row>
    <row r="2981" spans="1:7">
      <c r="A2981" t="s">
        <v>22</v>
      </c>
      <c r="B2981" t="s">
        <v>203</v>
      </c>
      <c r="C2981" s="32">
        <v>575.34</v>
      </c>
      <c r="D2981" s="33">
        <v>60</v>
      </c>
      <c r="E2981" t="s">
        <v>125</v>
      </c>
      <c r="F2981" t="s">
        <v>96</v>
      </c>
      <c r="G2981" s="33">
        <v>50</v>
      </c>
    </row>
    <row r="2982" spans="1:7">
      <c r="A2982" t="s">
        <v>22</v>
      </c>
      <c r="B2982" t="s">
        <v>203</v>
      </c>
      <c r="C2982" s="32">
        <v>575.41</v>
      </c>
      <c r="D2982" s="33">
        <v>61</v>
      </c>
      <c r="E2982" t="s">
        <v>127</v>
      </c>
      <c r="F2982" t="s">
        <v>90</v>
      </c>
      <c r="G2982" s="33">
        <v>50</v>
      </c>
    </row>
    <row r="2983" spans="1:7">
      <c r="A2983" t="s">
        <v>22</v>
      </c>
      <c r="B2983" t="s">
        <v>203</v>
      </c>
      <c r="C2983" s="32">
        <v>575.48</v>
      </c>
      <c r="D2983" s="33">
        <v>62</v>
      </c>
      <c r="E2983" t="s">
        <v>128</v>
      </c>
      <c r="F2983" t="s">
        <v>90</v>
      </c>
      <c r="G2983" s="33">
        <v>50</v>
      </c>
    </row>
    <row r="2984" spans="1:7">
      <c r="A2984" t="s">
        <v>22</v>
      </c>
      <c r="B2984" t="s">
        <v>203</v>
      </c>
      <c r="C2984" s="32">
        <v>575.55999999999995</v>
      </c>
      <c r="D2984" s="33">
        <v>63</v>
      </c>
      <c r="E2984" t="s">
        <v>129</v>
      </c>
      <c r="F2984" t="s">
        <v>93</v>
      </c>
      <c r="G2984" s="33">
        <v>50</v>
      </c>
    </row>
    <row r="2985" spans="1:7">
      <c r="A2985" t="s">
        <v>22</v>
      </c>
      <c r="B2985" t="s">
        <v>203</v>
      </c>
      <c r="C2985" s="32">
        <v>575.63</v>
      </c>
      <c r="D2985" s="33">
        <v>64</v>
      </c>
      <c r="E2985" t="s">
        <v>130</v>
      </c>
      <c r="F2985" t="s">
        <v>90</v>
      </c>
      <c r="G2985" s="33">
        <v>50</v>
      </c>
    </row>
    <row r="2986" spans="1:7">
      <c r="A2986" t="s">
        <v>22</v>
      </c>
      <c r="B2986" t="s">
        <v>203</v>
      </c>
      <c r="C2986" s="32">
        <v>575.70000000000005</v>
      </c>
      <c r="D2986" s="33">
        <v>65</v>
      </c>
      <c r="E2986" t="s">
        <v>131</v>
      </c>
      <c r="F2986" t="s">
        <v>96</v>
      </c>
      <c r="G2986" s="33">
        <v>50</v>
      </c>
    </row>
    <row r="2987" spans="1:7">
      <c r="A2987" t="s">
        <v>22</v>
      </c>
      <c r="B2987" t="s">
        <v>203</v>
      </c>
      <c r="C2987" s="32">
        <v>575.78</v>
      </c>
      <c r="D2987" s="33">
        <v>66</v>
      </c>
      <c r="E2987" t="s">
        <v>133</v>
      </c>
      <c r="F2987" t="s">
        <v>90</v>
      </c>
      <c r="G2987" s="33">
        <v>50</v>
      </c>
    </row>
    <row r="2988" spans="1:7">
      <c r="A2988" t="s">
        <v>22</v>
      </c>
      <c r="B2988" t="s">
        <v>203</v>
      </c>
      <c r="C2988" s="32">
        <v>575.85</v>
      </c>
      <c r="D2988" s="33">
        <v>67</v>
      </c>
      <c r="E2988" t="s">
        <v>134</v>
      </c>
      <c r="F2988" t="s">
        <v>93</v>
      </c>
      <c r="G2988" s="33">
        <v>49</v>
      </c>
    </row>
    <row r="2989" spans="1:7">
      <c r="A2989" t="s">
        <v>22</v>
      </c>
      <c r="B2989" t="s">
        <v>203</v>
      </c>
      <c r="C2989" s="32">
        <v>575.91999999999996</v>
      </c>
      <c r="D2989" s="33">
        <v>68</v>
      </c>
      <c r="E2989" t="s">
        <v>135</v>
      </c>
      <c r="F2989" t="s">
        <v>90</v>
      </c>
      <c r="G2989" s="33">
        <v>50</v>
      </c>
    </row>
    <row r="2990" spans="1:7">
      <c r="A2990" t="s">
        <v>22</v>
      </c>
      <c r="B2990" t="s">
        <v>203</v>
      </c>
      <c r="C2990" s="32">
        <v>576</v>
      </c>
      <c r="D2990" s="33">
        <v>69</v>
      </c>
      <c r="E2990" t="s">
        <v>136</v>
      </c>
      <c r="F2990" t="s">
        <v>90</v>
      </c>
      <c r="G2990" s="33">
        <v>50</v>
      </c>
    </row>
    <row r="2991" spans="1:7">
      <c r="A2991" t="s">
        <v>22</v>
      </c>
      <c r="B2991" t="s">
        <v>203</v>
      </c>
      <c r="C2991" s="32">
        <v>576.07000000000005</v>
      </c>
      <c r="D2991" s="33">
        <v>70</v>
      </c>
      <c r="E2991" t="s">
        <v>137</v>
      </c>
      <c r="F2991" t="s">
        <v>93</v>
      </c>
      <c r="G2991" s="33">
        <v>50</v>
      </c>
    </row>
    <row r="2992" spans="1:7">
      <c r="A2992" t="s">
        <v>22</v>
      </c>
      <c r="B2992" t="s">
        <v>203</v>
      </c>
      <c r="C2992" s="32">
        <v>576.15</v>
      </c>
      <c r="D2992" s="33">
        <v>71</v>
      </c>
      <c r="E2992" t="s">
        <v>138</v>
      </c>
      <c r="F2992" t="s">
        <v>102</v>
      </c>
      <c r="G2992" s="33">
        <v>50</v>
      </c>
    </row>
    <row r="2993" spans="1:7">
      <c r="A2993" t="s">
        <v>22</v>
      </c>
      <c r="B2993" t="s">
        <v>203</v>
      </c>
      <c r="C2993" s="32">
        <v>576.22</v>
      </c>
      <c r="D2993" s="33">
        <v>72</v>
      </c>
      <c r="E2993" t="s">
        <v>140</v>
      </c>
      <c r="F2993" t="s">
        <v>96</v>
      </c>
      <c r="G2993" s="33">
        <v>50</v>
      </c>
    </row>
    <row r="2994" spans="1:7">
      <c r="A2994" t="s">
        <v>22</v>
      </c>
      <c r="B2994" t="s">
        <v>203</v>
      </c>
      <c r="C2994" s="32">
        <v>576.29</v>
      </c>
      <c r="D2994" s="33">
        <v>73</v>
      </c>
      <c r="E2994" t="s">
        <v>141</v>
      </c>
      <c r="F2994" t="s">
        <v>90</v>
      </c>
      <c r="G2994" s="33">
        <v>50</v>
      </c>
    </row>
    <row r="2995" spans="1:7">
      <c r="A2995" t="s">
        <v>22</v>
      </c>
      <c r="B2995" t="s">
        <v>203</v>
      </c>
      <c r="C2995" s="32">
        <v>576.37</v>
      </c>
      <c r="D2995" s="33">
        <v>74</v>
      </c>
      <c r="E2995" t="s">
        <v>142</v>
      </c>
      <c r="F2995" t="s">
        <v>93</v>
      </c>
      <c r="G2995" s="33">
        <v>50</v>
      </c>
    </row>
    <row r="2996" spans="1:7">
      <c r="A2996" t="s">
        <v>22</v>
      </c>
      <c r="B2996" t="s">
        <v>203</v>
      </c>
      <c r="C2996" s="32">
        <v>576.44000000000005</v>
      </c>
      <c r="D2996" s="33">
        <v>75</v>
      </c>
      <c r="E2996" t="s">
        <v>143</v>
      </c>
      <c r="F2996" t="s">
        <v>90</v>
      </c>
      <c r="G2996" s="33">
        <v>50</v>
      </c>
    </row>
    <row r="2997" spans="1:7">
      <c r="A2997" t="s">
        <v>22</v>
      </c>
      <c r="B2997" t="s">
        <v>203</v>
      </c>
      <c r="C2997" s="32">
        <v>576.51</v>
      </c>
      <c r="D2997" s="33">
        <v>76</v>
      </c>
      <c r="E2997" t="s">
        <v>144</v>
      </c>
      <c r="F2997" t="s">
        <v>93</v>
      </c>
      <c r="G2997" s="33">
        <v>50</v>
      </c>
    </row>
    <row r="2998" spans="1:7">
      <c r="A2998" t="s">
        <v>22</v>
      </c>
      <c r="B2998" t="s">
        <v>203</v>
      </c>
      <c r="C2998" s="32">
        <v>576.59</v>
      </c>
      <c r="D2998" s="33">
        <v>77</v>
      </c>
      <c r="E2998" t="s">
        <v>145</v>
      </c>
      <c r="F2998" t="s">
        <v>90</v>
      </c>
      <c r="G2998" s="33">
        <v>50</v>
      </c>
    </row>
    <row r="2999" spans="1:7">
      <c r="A2999" t="s">
        <v>22</v>
      </c>
      <c r="B2999" t="s">
        <v>203</v>
      </c>
      <c r="C2999" s="32">
        <v>576.66</v>
      </c>
      <c r="D2999" s="33">
        <v>78</v>
      </c>
      <c r="E2999" t="s">
        <v>146</v>
      </c>
      <c r="F2999" t="s">
        <v>90</v>
      </c>
      <c r="G2999" s="33">
        <v>50</v>
      </c>
    </row>
    <row r="3000" spans="1:7">
      <c r="A3000" t="s">
        <v>22</v>
      </c>
      <c r="B3000" t="s">
        <v>203</v>
      </c>
      <c r="C3000" s="32">
        <v>576.73</v>
      </c>
      <c r="D3000" s="33">
        <v>79</v>
      </c>
      <c r="E3000" t="s">
        <v>148</v>
      </c>
      <c r="F3000" t="s">
        <v>93</v>
      </c>
      <c r="G3000" s="33">
        <v>50</v>
      </c>
    </row>
    <row r="3001" spans="1:7">
      <c r="A3001" t="s">
        <v>22</v>
      </c>
      <c r="B3001" t="s">
        <v>203</v>
      </c>
      <c r="C3001" s="32">
        <v>576.80999999999995</v>
      </c>
      <c r="D3001" s="33">
        <v>80</v>
      </c>
      <c r="E3001" t="s">
        <v>149</v>
      </c>
      <c r="F3001" t="s">
        <v>90</v>
      </c>
      <c r="G3001" s="33">
        <v>50</v>
      </c>
    </row>
    <row r="3002" spans="1:7">
      <c r="A3002" t="s">
        <v>22</v>
      </c>
      <c r="B3002" t="s">
        <v>203</v>
      </c>
      <c r="C3002" s="32">
        <v>576.88</v>
      </c>
      <c r="D3002" s="33">
        <v>81</v>
      </c>
      <c r="E3002" t="s">
        <v>150</v>
      </c>
      <c r="F3002" t="s">
        <v>96</v>
      </c>
      <c r="G3002" s="33">
        <v>50</v>
      </c>
    </row>
    <row r="3003" spans="1:7">
      <c r="A3003" t="s">
        <v>22</v>
      </c>
      <c r="B3003" t="s">
        <v>203</v>
      </c>
      <c r="C3003" s="32">
        <v>576.95000000000005</v>
      </c>
      <c r="D3003" s="33">
        <v>82</v>
      </c>
      <c r="E3003" t="s">
        <v>151</v>
      </c>
      <c r="F3003" t="s">
        <v>90</v>
      </c>
      <c r="G3003" s="33">
        <v>49</v>
      </c>
    </row>
    <row r="3004" spans="1:7">
      <c r="A3004" t="s">
        <v>22</v>
      </c>
      <c r="B3004" t="s">
        <v>203</v>
      </c>
      <c r="C3004" s="32">
        <v>577.03</v>
      </c>
      <c r="D3004" s="33">
        <v>83</v>
      </c>
      <c r="E3004" t="s">
        <v>152</v>
      </c>
      <c r="F3004" t="s">
        <v>93</v>
      </c>
      <c r="G3004" s="33">
        <v>50</v>
      </c>
    </row>
    <row r="3005" spans="1:7">
      <c r="A3005" t="s">
        <v>22</v>
      </c>
      <c r="B3005" t="s">
        <v>203</v>
      </c>
      <c r="C3005" s="32">
        <v>577.1</v>
      </c>
      <c r="D3005" s="33">
        <v>84</v>
      </c>
      <c r="E3005" t="s">
        <v>153</v>
      </c>
      <c r="F3005" t="s">
        <v>90</v>
      </c>
      <c r="G3005" s="33">
        <v>50</v>
      </c>
    </row>
    <row r="3006" spans="1:7">
      <c r="A3006" t="s">
        <v>22</v>
      </c>
      <c r="B3006" t="s">
        <v>203</v>
      </c>
      <c r="C3006" s="32">
        <v>577.16999999999996</v>
      </c>
      <c r="D3006" s="33">
        <v>85</v>
      </c>
      <c r="E3006" t="s">
        <v>120</v>
      </c>
      <c r="F3006" t="s">
        <v>102</v>
      </c>
      <c r="G3006" s="33">
        <v>50</v>
      </c>
    </row>
    <row r="3007" spans="1:7">
      <c r="A3007" t="s">
        <v>22</v>
      </c>
      <c r="B3007" t="s">
        <v>203</v>
      </c>
      <c r="C3007" s="32">
        <v>577.25</v>
      </c>
      <c r="D3007" s="33">
        <v>86</v>
      </c>
      <c r="E3007" t="s">
        <v>115</v>
      </c>
      <c r="F3007" t="s">
        <v>93</v>
      </c>
      <c r="G3007" s="33">
        <v>50</v>
      </c>
    </row>
    <row r="3008" spans="1:7">
      <c r="A3008" t="s">
        <v>22</v>
      </c>
      <c r="B3008" t="s">
        <v>203</v>
      </c>
      <c r="C3008" s="32">
        <v>577.32000000000005</v>
      </c>
      <c r="D3008" s="33">
        <v>87</v>
      </c>
      <c r="E3008" t="s">
        <v>116</v>
      </c>
      <c r="F3008" t="s">
        <v>90</v>
      </c>
      <c r="G3008" s="33">
        <v>50</v>
      </c>
    </row>
    <row r="3009" spans="1:7">
      <c r="A3009" t="s">
        <v>22</v>
      </c>
      <c r="B3009" t="s">
        <v>203</v>
      </c>
      <c r="C3009" s="32">
        <v>577.39</v>
      </c>
      <c r="D3009" s="33">
        <v>88</v>
      </c>
      <c r="E3009" t="s">
        <v>117</v>
      </c>
      <c r="F3009" t="s">
        <v>96</v>
      </c>
      <c r="G3009" s="33">
        <v>50</v>
      </c>
    </row>
    <row r="3010" spans="1:7">
      <c r="A3010" t="s">
        <v>22</v>
      </c>
      <c r="B3010" t="s">
        <v>203</v>
      </c>
      <c r="C3010" s="32">
        <v>577.47</v>
      </c>
      <c r="D3010" s="33">
        <v>89</v>
      </c>
      <c r="E3010" t="s">
        <v>118</v>
      </c>
      <c r="F3010" t="s">
        <v>90</v>
      </c>
      <c r="G3010" s="33">
        <v>50</v>
      </c>
    </row>
    <row r="3011" spans="1:7">
      <c r="A3011" t="s">
        <v>22</v>
      </c>
      <c r="B3011" t="s">
        <v>203</v>
      </c>
      <c r="C3011" s="32">
        <v>577.54</v>
      </c>
      <c r="D3011" s="33">
        <v>90</v>
      </c>
      <c r="E3011" t="s">
        <v>122</v>
      </c>
      <c r="F3011" t="s">
        <v>93</v>
      </c>
      <c r="G3011" s="33">
        <v>50</v>
      </c>
    </row>
    <row r="3012" spans="1:7">
      <c r="A3012" t="s">
        <v>22</v>
      </c>
      <c r="B3012" t="s">
        <v>203</v>
      </c>
      <c r="C3012" s="32">
        <v>577.62</v>
      </c>
      <c r="D3012" s="33">
        <v>91</v>
      </c>
      <c r="E3012" t="s">
        <v>124</v>
      </c>
      <c r="F3012" t="s">
        <v>90</v>
      </c>
      <c r="G3012" s="33">
        <v>50</v>
      </c>
    </row>
    <row r="3013" spans="1:7">
      <c r="A3013" t="s">
        <v>22</v>
      </c>
      <c r="B3013" t="s">
        <v>203</v>
      </c>
      <c r="C3013" s="32">
        <v>577.69000000000005</v>
      </c>
      <c r="D3013" s="33">
        <v>92</v>
      </c>
      <c r="E3013" t="s">
        <v>125</v>
      </c>
      <c r="F3013" t="s">
        <v>90</v>
      </c>
      <c r="G3013" s="33">
        <v>50</v>
      </c>
    </row>
    <row r="3014" spans="1:7">
      <c r="A3014" t="s">
        <v>22</v>
      </c>
      <c r="B3014" t="s">
        <v>203</v>
      </c>
      <c r="C3014" s="32">
        <v>577.76</v>
      </c>
      <c r="D3014" s="33">
        <v>93</v>
      </c>
      <c r="E3014" t="s">
        <v>127</v>
      </c>
      <c r="F3014" t="s">
        <v>93</v>
      </c>
      <c r="G3014" s="33">
        <v>50</v>
      </c>
    </row>
    <row r="3015" spans="1:7">
      <c r="A3015" t="s">
        <v>22</v>
      </c>
      <c r="B3015" t="s">
        <v>203</v>
      </c>
      <c r="C3015" s="32">
        <v>577.84</v>
      </c>
      <c r="D3015" s="33">
        <v>94</v>
      </c>
      <c r="E3015" t="s">
        <v>128</v>
      </c>
      <c r="F3015" t="s">
        <v>90</v>
      </c>
      <c r="G3015" s="33">
        <v>50</v>
      </c>
    </row>
    <row r="3016" spans="1:7">
      <c r="A3016" t="s">
        <v>22</v>
      </c>
      <c r="B3016" t="s">
        <v>203</v>
      </c>
      <c r="C3016" s="32">
        <v>577.91</v>
      </c>
      <c r="D3016" s="33">
        <v>95</v>
      </c>
      <c r="E3016" t="s">
        <v>129</v>
      </c>
      <c r="F3016" t="s">
        <v>96</v>
      </c>
      <c r="G3016" s="33">
        <v>50</v>
      </c>
    </row>
    <row r="3017" spans="1:7">
      <c r="A3017" t="s">
        <v>22</v>
      </c>
      <c r="B3017" t="s">
        <v>203</v>
      </c>
      <c r="C3017" s="32">
        <v>577.98</v>
      </c>
      <c r="D3017" s="33">
        <v>96</v>
      </c>
      <c r="E3017" t="s">
        <v>130</v>
      </c>
      <c r="F3017" t="s">
        <v>90</v>
      </c>
      <c r="G3017" s="33">
        <v>49</v>
      </c>
    </row>
    <row r="3018" spans="1:7">
      <c r="A3018" t="s">
        <v>22</v>
      </c>
      <c r="B3018" t="s">
        <v>203</v>
      </c>
      <c r="C3018" s="32">
        <v>578.05999999999995</v>
      </c>
      <c r="D3018" s="33">
        <v>97</v>
      </c>
      <c r="E3018" t="s">
        <v>131</v>
      </c>
      <c r="F3018" t="s">
        <v>93</v>
      </c>
      <c r="G3018" s="33">
        <v>50</v>
      </c>
    </row>
    <row r="3019" spans="1:7">
      <c r="A3019" t="s">
        <v>22</v>
      </c>
      <c r="B3019" t="s">
        <v>203</v>
      </c>
      <c r="C3019" s="32">
        <v>578.13</v>
      </c>
      <c r="D3019" s="33">
        <v>98</v>
      </c>
      <c r="E3019" t="s">
        <v>133</v>
      </c>
      <c r="F3019" t="s">
        <v>90</v>
      </c>
      <c r="G3019" s="33">
        <v>50</v>
      </c>
    </row>
    <row r="3020" spans="1:7">
      <c r="A3020" t="s">
        <v>22</v>
      </c>
      <c r="B3020" t="s">
        <v>203</v>
      </c>
      <c r="C3020" s="32">
        <v>578.20000000000005</v>
      </c>
      <c r="D3020" s="33">
        <v>99</v>
      </c>
      <c r="E3020" t="s">
        <v>134</v>
      </c>
      <c r="F3020" t="s">
        <v>102</v>
      </c>
      <c r="G3020" s="33">
        <v>50</v>
      </c>
    </row>
    <row r="3021" spans="1:7">
      <c r="A3021" t="s">
        <v>22</v>
      </c>
      <c r="B3021" t="s">
        <v>203</v>
      </c>
      <c r="C3021" s="32">
        <v>578.28</v>
      </c>
      <c r="D3021" s="33">
        <v>100</v>
      </c>
      <c r="E3021" t="s">
        <v>135</v>
      </c>
      <c r="F3021" t="s">
        <v>93</v>
      </c>
      <c r="G3021" s="33">
        <v>50</v>
      </c>
    </row>
    <row r="3022" spans="1:7">
      <c r="A3022" t="s">
        <v>22</v>
      </c>
      <c r="B3022" t="s">
        <v>203</v>
      </c>
      <c r="C3022" s="32">
        <v>578.35</v>
      </c>
      <c r="D3022" s="33">
        <v>101</v>
      </c>
      <c r="E3022" t="s">
        <v>136</v>
      </c>
      <c r="F3022" t="s">
        <v>96</v>
      </c>
      <c r="G3022" s="33">
        <v>50</v>
      </c>
    </row>
    <row r="3023" spans="1:7">
      <c r="A3023" t="s">
        <v>22</v>
      </c>
      <c r="B3023" t="s">
        <v>203</v>
      </c>
      <c r="C3023" s="32">
        <v>578.41999999999996</v>
      </c>
      <c r="D3023" s="33">
        <v>102</v>
      </c>
      <c r="E3023" t="s">
        <v>137</v>
      </c>
      <c r="F3023" t="s">
        <v>90</v>
      </c>
      <c r="G3023" s="33">
        <v>50</v>
      </c>
    </row>
    <row r="3024" spans="1:7">
      <c r="A3024" t="s">
        <v>22</v>
      </c>
      <c r="B3024" t="s">
        <v>203</v>
      </c>
      <c r="C3024" s="32">
        <v>578.5</v>
      </c>
      <c r="D3024" s="33">
        <v>103</v>
      </c>
      <c r="E3024" t="s">
        <v>138</v>
      </c>
      <c r="F3024" t="s">
        <v>90</v>
      </c>
      <c r="G3024" s="33">
        <v>50</v>
      </c>
    </row>
    <row r="3025" spans="1:7">
      <c r="A3025" t="s">
        <v>22</v>
      </c>
      <c r="B3025" t="s">
        <v>203</v>
      </c>
      <c r="C3025" s="32">
        <v>578.57000000000005</v>
      </c>
      <c r="D3025" s="33">
        <v>104</v>
      </c>
      <c r="E3025" t="s">
        <v>140</v>
      </c>
      <c r="F3025" t="s">
        <v>93</v>
      </c>
      <c r="G3025" s="33">
        <v>50</v>
      </c>
    </row>
    <row r="3026" spans="1:7">
      <c r="A3026" t="s">
        <v>22</v>
      </c>
      <c r="B3026" t="s">
        <v>203</v>
      </c>
      <c r="C3026" s="32">
        <v>578.64</v>
      </c>
      <c r="D3026" s="33">
        <v>105</v>
      </c>
      <c r="E3026" t="s">
        <v>141</v>
      </c>
      <c r="F3026" t="s">
        <v>90</v>
      </c>
      <c r="G3026" s="33">
        <v>50</v>
      </c>
    </row>
    <row r="3027" spans="1:7">
      <c r="A3027" t="s">
        <v>22</v>
      </c>
      <c r="B3027" t="s">
        <v>203</v>
      </c>
      <c r="C3027" s="32">
        <v>578.72</v>
      </c>
      <c r="D3027" s="33">
        <v>106</v>
      </c>
      <c r="E3027" t="s">
        <v>142</v>
      </c>
      <c r="F3027" t="s">
        <v>93</v>
      </c>
      <c r="G3027" s="33">
        <v>50</v>
      </c>
    </row>
    <row r="3028" spans="1:7">
      <c r="A3028" t="s">
        <v>22</v>
      </c>
      <c r="B3028" t="s">
        <v>203</v>
      </c>
      <c r="C3028" s="32">
        <v>578.79</v>
      </c>
      <c r="D3028" s="33">
        <v>107</v>
      </c>
      <c r="E3028" t="s">
        <v>143</v>
      </c>
      <c r="F3028" t="s">
        <v>90</v>
      </c>
      <c r="G3028" s="33">
        <v>50</v>
      </c>
    </row>
    <row r="3029" spans="1:7">
      <c r="A3029" t="s">
        <v>22</v>
      </c>
      <c r="B3029" t="s">
        <v>203</v>
      </c>
      <c r="C3029" s="32">
        <v>578.86</v>
      </c>
      <c r="D3029" s="33">
        <v>108</v>
      </c>
      <c r="E3029" t="s">
        <v>144</v>
      </c>
      <c r="F3029" t="s">
        <v>96</v>
      </c>
      <c r="G3029" s="33">
        <v>50</v>
      </c>
    </row>
    <row r="3030" spans="1:7">
      <c r="A3030" t="s">
        <v>22</v>
      </c>
      <c r="B3030" t="s">
        <v>203</v>
      </c>
      <c r="C3030" s="32">
        <v>578.94000000000005</v>
      </c>
      <c r="D3030" s="33">
        <v>109</v>
      </c>
      <c r="E3030" t="s">
        <v>145</v>
      </c>
      <c r="F3030" t="s">
        <v>90</v>
      </c>
      <c r="G3030" s="33">
        <v>50</v>
      </c>
    </row>
    <row r="3031" spans="1:7">
      <c r="A3031" t="s">
        <v>22</v>
      </c>
      <c r="B3031" t="s">
        <v>203</v>
      </c>
      <c r="C3031" s="32">
        <v>579.01</v>
      </c>
      <c r="D3031" s="33">
        <v>110</v>
      </c>
      <c r="E3031" t="s">
        <v>146</v>
      </c>
      <c r="F3031" t="s">
        <v>93</v>
      </c>
      <c r="G3031" s="33">
        <v>50</v>
      </c>
    </row>
    <row r="3032" spans="1:7">
      <c r="A3032" t="s">
        <v>22</v>
      </c>
      <c r="B3032" t="s">
        <v>203</v>
      </c>
      <c r="C3032" s="32">
        <v>579.09</v>
      </c>
      <c r="D3032" s="33">
        <v>111</v>
      </c>
      <c r="E3032" t="s">
        <v>148</v>
      </c>
      <c r="F3032" t="s">
        <v>90</v>
      </c>
      <c r="G3032" s="33">
        <v>49</v>
      </c>
    </row>
    <row r="3033" spans="1:7">
      <c r="A3033" t="s">
        <v>22</v>
      </c>
      <c r="B3033" t="s">
        <v>203</v>
      </c>
      <c r="C3033" s="32">
        <v>579.16</v>
      </c>
      <c r="D3033" s="33">
        <v>112</v>
      </c>
      <c r="E3033" t="s">
        <v>149</v>
      </c>
      <c r="F3033" t="s">
        <v>90</v>
      </c>
      <c r="G3033" s="33">
        <v>50</v>
      </c>
    </row>
    <row r="3034" spans="1:7">
      <c r="A3034" t="s">
        <v>22</v>
      </c>
      <c r="B3034" t="s">
        <v>203</v>
      </c>
      <c r="C3034" s="32">
        <v>579.23</v>
      </c>
      <c r="D3034" s="33">
        <v>113</v>
      </c>
      <c r="E3034" t="s">
        <v>150</v>
      </c>
      <c r="F3034" t="s">
        <v>93</v>
      </c>
      <c r="G3034" s="33">
        <v>50</v>
      </c>
    </row>
    <row r="3035" spans="1:7">
      <c r="A3035" t="s">
        <v>22</v>
      </c>
      <c r="B3035" t="s">
        <v>203</v>
      </c>
      <c r="C3035" s="32">
        <v>579.30999999999995</v>
      </c>
      <c r="D3035" s="33">
        <v>114</v>
      </c>
      <c r="E3035" t="s">
        <v>151</v>
      </c>
      <c r="F3035" t="s">
        <v>102</v>
      </c>
      <c r="G3035" s="33">
        <v>50</v>
      </c>
    </row>
    <row r="3036" spans="1:7">
      <c r="A3036" t="s">
        <v>22</v>
      </c>
      <c r="B3036" t="s">
        <v>203</v>
      </c>
      <c r="C3036" s="32">
        <v>579.38</v>
      </c>
      <c r="D3036" s="33">
        <v>115</v>
      </c>
      <c r="E3036" t="s">
        <v>152</v>
      </c>
      <c r="F3036" t="s">
        <v>96</v>
      </c>
      <c r="G3036" s="33">
        <v>50</v>
      </c>
    </row>
    <row r="3037" spans="1:7">
      <c r="A3037" t="s">
        <v>22</v>
      </c>
      <c r="B3037" t="s">
        <v>203</v>
      </c>
      <c r="C3037" s="32">
        <v>579.45000000000005</v>
      </c>
      <c r="D3037" s="33">
        <v>116</v>
      </c>
      <c r="E3037" t="s">
        <v>153</v>
      </c>
      <c r="F3037" t="s">
        <v>90</v>
      </c>
      <c r="G3037" s="33">
        <v>50</v>
      </c>
    </row>
    <row r="3038" spans="1:7">
      <c r="A3038" t="s">
        <v>22</v>
      </c>
      <c r="B3038" t="s">
        <v>203</v>
      </c>
      <c r="C3038" s="32">
        <v>579.53</v>
      </c>
      <c r="D3038" s="33">
        <v>117</v>
      </c>
      <c r="E3038" t="s">
        <v>120</v>
      </c>
      <c r="F3038" t="s">
        <v>93</v>
      </c>
      <c r="G3038" s="33">
        <v>50</v>
      </c>
    </row>
    <row r="3039" spans="1:7">
      <c r="A3039" t="s">
        <v>22</v>
      </c>
      <c r="B3039" t="s">
        <v>203</v>
      </c>
      <c r="C3039" s="32">
        <v>579.6</v>
      </c>
      <c r="D3039" s="33">
        <v>118</v>
      </c>
      <c r="E3039" t="s">
        <v>115</v>
      </c>
      <c r="F3039" t="s">
        <v>90</v>
      </c>
      <c r="G3039" s="33">
        <v>50</v>
      </c>
    </row>
    <row r="3040" spans="1:7">
      <c r="A3040" t="s">
        <v>22</v>
      </c>
      <c r="B3040" t="s">
        <v>204</v>
      </c>
      <c r="C3040" s="32">
        <v>581</v>
      </c>
      <c r="D3040" s="33">
        <v>1</v>
      </c>
      <c r="E3040" t="s">
        <v>151</v>
      </c>
      <c r="F3040" t="s">
        <v>90</v>
      </c>
      <c r="G3040" s="33">
        <v>51</v>
      </c>
    </row>
    <row r="3041" spans="1:7">
      <c r="A3041" t="s">
        <v>22</v>
      </c>
      <c r="B3041" t="s">
        <v>204</v>
      </c>
      <c r="C3041" s="32">
        <v>581.07000000000005</v>
      </c>
      <c r="D3041" s="33">
        <v>2</v>
      </c>
      <c r="E3041" t="s">
        <v>152</v>
      </c>
      <c r="F3041" t="s">
        <v>93</v>
      </c>
      <c r="G3041" s="33">
        <v>51</v>
      </c>
    </row>
    <row r="3042" spans="1:7">
      <c r="A3042" t="s">
        <v>22</v>
      </c>
      <c r="B3042" t="s">
        <v>204</v>
      </c>
      <c r="C3042" s="32">
        <v>581.14</v>
      </c>
      <c r="D3042" s="33">
        <v>3</v>
      </c>
      <c r="E3042" t="s">
        <v>153</v>
      </c>
      <c r="F3042" t="s">
        <v>90</v>
      </c>
      <c r="G3042" s="33">
        <v>51</v>
      </c>
    </row>
    <row r="3043" spans="1:7">
      <c r="A3043" t="s">
        <v>22</v>
      </c>
      <c r="B3043" t="s">
        <v>204</v>
      </c>
      <c r="C3043" s="32">
        <v>581.22</v>
      </c>
      <c r="D3043" s="33">
        <v>4</v>
      </c>
      <c r="E3043" t="s">
        <v>120</v>
      </c>
      <c r="F3043" t="s">
        <v>96</v>
      </c>
      <c r="G3043" s="33">
        <v>51</v>
      </c>
    </row>
    <row r="3044" spans="1:7">
      <c r="A3044" t="s">
        <v>22</v>
      </c>
      <c r="B3044" t="s">
        <v>204</v>
      </c>
      <c r="C3044" s="32">
        <v>581.29</v>
      </c>
      <c r="D3044" s="33">
        <v>5</v>
      </c>
      <c r="E3044" t="s">
        <v>115</v>
      </c>
      <c r="F3044" t="s">
        <v>90</v>
      </c>
      <c r="G3044" s="33">
        <v>51</v>
      </c>
    </row>
    <row r="3045" spans="1:7">
      <c r="A3045" t="s">
        <v>22</v>
      </c>
      <c r="B3045" t="s">
        <v>204</v>
      </c>
      <c r="C3045" s="32">
        <v>581.36</v>
      </c>
      <c r="D3045" s="33">
        <v>6</v>
      </c>
      <c r="E3045" t="s">
        <v>116</v>
      </c>
      <c r="F3045" t="s">
        <v>93</v>
      </c>
      <c r="G3045" s="33">
        <v>51</v>
      </c>
    </row>
    <row r="3046" spans="1:7">
      <c r="A3046" t="s">
        <v>22</v>
      </c>
      <c r="B3046" t="s">
        <v>204</v>
      </c>
      <c r="C3046" s="32">
        <v>581.42999999999995</v>
      </c>
      <c r="D3046" s="33">
        <v>7</v>
      </c>
      <c r="E3046" t="s">
        <v>117</v>
      </c>
      <c r="F3046" t="s">
        <v>90</v>
      </c>
      <c r="G3046" s="33">
        <v>51</v>
      </c>
    </row>
    <row r="3047" spans="1:7">
      <c r="A3047" t="s">
        <v>22</v>
      </c>
      <c r="B3047" t="s">
        <v>204</v>
      </c>
      <c r="C3047" s="32">
        <v>581.5</v>
      </c>
      <c r="D3047" s="33">
        <v>8</v>
      </c>
      <c r="E3047" t="s">
        <v>118</v>
      </c>
      <c r="F3047" t="s">
        <v>90</v>
      </c>
      <c r="G3047" s="33">
        <v>51</v>
      </c>
    </row>
    <row r="3048" spans="1:7">
      <c r="A3048" t="s">
        <v>22</v>
      </c>
      <c r="B3048" t="s">
        <v>204</v>
      </c>
      <c r="C3048" s="32">
        <v>581.57000000000005</v>
      </c>
      <c r="D3048" s="33">
        <v>9</v>
      </c>
      <c r="E3048" t="s">
        <v>122</v>
      </c>
      <c r="F3048" t="s">
        <v>93</v>
      </c>
      <c r="G3048" s="33">
        <v>51</v>
      </c>
    </row>
    <row r="3049" spans="1:7">
      <c r="A3049" t="s">
        <v>22</v>
      </c>
      <c r="B3049" t="s">
        <v>204</v>
      </c>
      <c r="C3049" s="32">
        <v>581.65</v>
      </c>
      <c r="D3049" s="33">
        <v>10</v>
      </c>
      <c r="E3049" t="s">
        <v>124</v>
      </c>
      <c r="F3049" t="s">
        <v>90</v>
      </c>
      <c r="G3049" s="33">
        <v>51</v>
      </c>
    </row>
    <row r="3050" spans="1:7">
      <c r="A3050" t="s">
        <v>22</v>
      </c>
      <c r="B3050" t="s">
        <v>204</v>
      </c>
      <c r="C3050" s="32">
        <v>581.72</v>
      </c>
      <c r="D3050" s="33">
        <v>11</v>
      </c>
      <c r="E3050" t="s">
        <v>125</v>
      </c>
      <c r="F3050" t="s">
        <v>96</v>
      </c>
      <c r="G3050" s="33">
        <v>51</v>
      </c>
    </row>
    <row r="3051" spans="1:7">
      <c r="A3051" t="s">
        <v>22</v>
      </c>
      <c r="B3051" t="s">
        <v>204</v>
      </c>
      <c r="C3051" s="32">
        <v>581.79</v>
      </c>
      <c r="D3051" s="33">
        <v>12</v>
      </c>
      <c r="E3051" t="s">
        <v>127</v>
      </c>
      <c r="F3051" t="s">
        <v>90</v>
      </c>
      <c r="G3051" s="33">
        <v>51</v>
      </c>
    </row>
    <row r="3052" spans="1:7">
      <c r="A3052" t="s">
        <v>22</v>
      </c>
      <c r="B3052" t="s">
        <v>204</v>
      </c>
      <c r="C3052" s="32">
        <v>581.86</v>
      </c>
      <c r="D3052" s="33">
        <v>13</v>
      </c>
      <c r="E3052" t="s">
        <v>128</v>
      </c>
      <c r="F3052" t="s">
        <v>93</v>
      </c>
      <c r="G3052" s="33">
        <v>51</v>
      </c>
    </row>
    <row r="3053" spans="1:7">
      <c r="A3053" t="s">
        <v>22</v>
      </c>
      <c r="B3053" t="s">
        <v>204</v>
      </c>
      <c r="C3053" s="32">
        <v>581.92999999999995</v>
      </c>
      <c r="D3053" s="33">
        <v>14</v>
      </c>
      <c r="E3053" t="s">
        <v>129</v>
      </c>
      <c r="F3053" t="s">
        <v>102</v>
      </c>
      <c r="G3053" s="33">
        <v>51</v>
      </c>
    </row>
    <row r="3054" spans="1:7">
      <c r="A3054" t="s">
        <v>22</v>
      </c>
      <c r="B3054" t="s">
        <v>204</v>
      </c>
      <c r="C3054" s="32">
        <v>582</v>
      </c>
      <c r="D3054" s="33">
        <v>15</v>
      </c>
      <c r="E3054" t="s">
        <v>130</v>
      </c>
      <c r="F3054" t="s">
        <v>93</v>
      </c>
      <c r="G3054" s="33">
        <v>51</v>
      </c>
    </row>
    <row r="3055" spans="1:7">
      <c r="A3055" t="s">
        <v>22</v>
      </c>
      <c r="B3055" t="s">
        <v>204</v>
      </c>
      <c r="C3055" s="32">
        <v>582.08000000000004</v>
      </c>
      <c r="D3055" s="33">
        <v>16</v>
      </c>
      <c r="E3055" t="s">
        <v>131</v>
      </c>
      <c r="F3055" t="s">
        <v>90</v>
      </c>
      <c r="G3055" s="33">
        <v>50</v>
      </c>
    </row>
    <row r="3056" spans="1:7">
      <c r="A3056" t="s">
        <v>22</v>
      </c>
      <c r="B3056" t="s">
        <v>204</v>
      </c>
      <c r="C3056" s="32">
        <v>582.15</v>
      </c>
      <c r="D3056" s="33">
        <v>17</v>
      </c>
      <c r="E3056" t="s">
        <v>133</v>
      </c>
      <c r="F3056" t="s">
        <v>96</v>
      </c>
      <c r="G3056" s="33">
        <v>51</v>
      </c>
    </row>
    <row r="3057" spans="1:7">
      <c r="A3057" t="s">
        <v>22</v>
      </c>
      <c r="B3057" t="s">
        <v>204</v>
      </c>
      <c r="C3057" s="32">
        <v>582.22</v>
      </c>
      <c r="D3057" s="33">
        <v>18</v>
      </c>
      <c r="E3057" t="s">
        <v>134</v>
      </c>
      <c r="F3057" t="s">
        <v>90</v>
      </c>
      <c r="G3057" s="33">
        <v>51</v>
      </c>
    </row>
    <row r="3058" spans="1:7">
      <c r="A3058" t="s">
        <v>22</v>
      </c>
      <c r="B3058" t="s">
        <v>204</v>
      </c>
      <c r="C3058" s="32">
        <v>582.29</v>
      </c>
      <c r="D3058" s="33">
        <v>19</v>
      </c>
      <c r="E3058" t="s">
        <v>135</v>
      </c>
      <c r="F3058" t="s">
        <v>93</v>
      </c>
      <c r="G3058" s="33">
        <v>51</v>
      </c>
    </row>
    <row r="3059" spans="1:7">
      <c r="A3059" t="s">
        <v>22</v>
      </c>
      <c r="B3059" t="s">
        <v>204</v>
      </c>
      <c r="C3059" s="32">
        <v>582.36</v>
      </c>
      <c r="D3059" s="33">
        <v>20</v>
      </c>
      <c r="E3059" t="s">
        <v>136</v>
      </c>
      <c r="F3059" t="s">
        <v>90</v>
      </c>
      <c r="G3059" s="33">
        <v>51</v>
      </c>
    </row>
    <row r="3060" spans="1:7">
      <c r="A3060" t="s">
        <v>22</v>
      </c>
      <c r="B3060" t="s">
        <v>204</v>
      </c>
      <c r="C3060" s="32">
        <v>582.42999999999995</v>
      </c>
      <c r="D3060" s="33">
        <v>21</v>
      </c>
      <c r="E3060" t="s">
        <v>137</v>
      </c>
      <c r="F3060" t="s">
        <v>90</v>
      </c>
      <c r="G3060" s="33">
        <v>51</v>
      </c>
    </row>
    <row r="3061" spans="1:7">
      <c r="A3061" t="s">
        <v>22</v>
      </c>
      <c r="B3061" t="s">
        <v>204</v>
      </c>
      <c r="C3061" s="32">
        <v>582.51</v>
      </c>
      <c r="D3061" s="33">
        <v>22</v>
      </c>
      <c r="E3061" t="s">
        <v>138</v>
      </c>
      <c r="F3061" t="s">
        <v>93</v>
      </c>
      <c r="G3061" s="33">
        <v>51</v>
      </c>
    </row>
    <row r="3062" spans="1:7">
      <c r="A3062" t="s">
        <v>22</v>
      </c>
      <c r="B3062" t="s">
        <v>204</v>
      </c>
      <c r="C3062" s="32">
        <v>582.58000000000004</v>
      </c>
      <c r="D3062" s="33">
        <v>23</v>
      </c>
      <c r="E3062" t="s">
        <v>140</v>
      </c>
      <c r="F3062" t="s">
        <v>90</v>
      </c>
      <c r="G3062" s="33">
        <v>51</v>
      </c>
    </row>
    <row r="3063" spans="1:7">
      <c r="A3063" t="s">
        <v>22</v>
      </c>
      <c r="B3063" t="s">
        <v>204</v>
      </c>
      <c r="C3063" s="32">
        <v>582.65</v>
      </c>
      <c r="D3063" s="33">
        <v>24</v>
      </c>
      <c r="E3063" t="s">
        <v>141</v>
      </c>
      <c r="F3063" t="s">
        <v>96</v>
      </c>
      <c r="G3063" s="33">
        <v>51</v>
      </c>
    </row>
    <row r="3064" spans="1:7">
      <c r="A3064" t="s">
        <v>22</v>
      </c>
      <c r="B3064" t="s">
        <v>204</v>
      </c>
      <c r="C3064" s="32">
        <v>582.72</v>
      </c>
      <c r="D3064" s="33">
        <v>25</v>
      </c>
      <c r="E3064" t="s">
        <v>142</v>
      </c>
      <c r="F3064" t="s">
        <v>90</v>
      </c>
      <c r="G3064" s="33">
        <v>51</v>
      </c>
    </row>
    <row r="3065" spans="1:7">
      <c r="A3065" t="s">
        <v>22</v>
      </c>
      <c r="B3065" t="s">
        <v>204</v>
      </c>
      <c r="C3065" s="32">
        <v>582.79</v>
      </c>
      <c r="D3065" s="33">
        <v>26</v>
      </c>
      <c r="E3065" t="s">
        <v>143</v>
      </c>
      <c r="F3065" t="s">
        <v>93</v>
      </c>
      <c r="G3065" s="33">
        <v>51</v>
      </c>
    </row>
    <row r="3066" spans="1:7">
      <c r="A3066" t="s">
        <v>22</v>
      </c>
      <c r="B3066" t="s">
        <v>204</v>
      </c>
      <c r="C3066" s="32">
        <v>582.86</v>
      </c>
      <c r="D3066" s="33">
        <v>27</v>
      </c>
      <c r="E3066" t="s">
        <v>144</v>
      </c>
      <c r="F3066" t="s">
        <v>90</v>
      </c>
      <c r="G3066" s="33">
        <v>51</v>
      </c>
    </row>
    <row r="3067" spans="1:7">
      <c r="A3067" t="s">
        <v>22</v>
      </c>
      <c r="B3067" t="s">
        <v>204</v>
      </c>
      <c r="C3067" s="32">
        <v>582.92999999999995</v>
      </c>
      <c r="D3067" s="33">
        <v>28</v>
      </c>
      <c r="E3067" t="s">
        <v>145</v>
      </c>
      <c r="F3067" t="s">
        <v>102</v>
      </c>
      <c r="G3067" s="33">
        <v>51</v>
      </c>
    </row>
    <row r="3068" spans="1:7">
      <c r="A3068" t="s">
        <v>22</v>
      </c>
      <c r="B3068" t="s">
        <v>204</v>
      </c>
      <c r="C3068" s="32">
        <v>583.01</v>
      </c>
      <c r="D3068" s="33">
        <v>29</v>
      </c>
      <c r="E3068" t="s">
        <v>146</v>
      </c>
      <c r="F3068" t="s">
        <v>93</v>
      </c>
      <c r="G3068" s="33">
        <v>51</v>
      </c>
    </row>
    <row r="3069" spans="1:7">
      <c r="A3069" t="s">
        <v>22</v>
      </c>
      <c r="B3069" t="s">
        <v>204</v>
      </c>
      <c r="C3069" s="32">
        <v>583.08000000000004</v>
      </c>
      <c r="D3069" s="33">
        <v>30</v>
      </c>
      <c r="E3069" t="s">
        <v>148</v>
      </c>
      <c r="F3069" t="s">
        <v>90</v>
      </c>
      <c r="G3069" s="33">
        <v>51</v>
      </c>
    </row>
    <row r="3070" spans="1:7">
      <c r="A3070" t="s">
        <v>22</v>
      </c>
      <c r="B3070" t="s">
        <v>204</v>
      </c>
      <c r="C3070" s="32">
        <v>583.15</v>
      </c>
      <c r="D3070" s="33">
        <v>31</v>
      </c>
      <c r="E3070" t="s">
        <v>149</v>
      </c>
      <c r="F3070" t="s">
        <v>96</v>
      </c>
      <c r="G3070" s="33">
        <v>51</v>
      </c>
    </row>
    <row r="3071" spans="1:7">
      <c r="A3071" t="s">
        <v>22</v>
      </c>
      <c r="B3071" t="s">
        <v>204</v>
      </c>
      <c r="C3071" s="32">
        <v>583.22</v>
      </c>
      <c r="D3071" s="33">
        <v>32</v>
      </c>
      <c r="E3071" t="s">
        <v>150</v>
      </c>
      <c r="F3071" t="s">
        <v>90</v>
      </c>
      <c r="G3071" s="33">
        <v>51</v>
      </c>
    </row>
    <row r="3072" spans="1:7">
      <c r="A3072" t="s">
        <v>22</v>
      </c>
      <c r="B3072" t="s">
        <v>204</v>
      </c>
      <c r="C3072" s="32">
        <v>583.29</v>
      </c>
      <c r="D3072" s="33">
        <v>33</v>
      </c>
      <c r="E3072" t="s">
        <v>151</v>
      </c>
      <c r="F3072" t="s">
        <v>93</v>
      </c>
      <c r="G3072" s="33">
        <v>51</v>
      </c>
    </row>
    <row r="3073" spans="1:7">
      <c r="A3073" t="s">
        <v>22</v>
      </c>
      <c r="B3073" t="s">
        <v>204</v>
      </c>
      <c r="C3073" s="32">
        <v>583.37</v>
      </c>
      <c r="D3073" s="33">
        <v>34</v>
      </c>
      <c r="E3073" t="s">
        <v>152</v>
      </c>
      <c r="F3073" t="s">
        <v>90</v>
      </c>
      <c r="G3073" s="33">
        <v>51</v>
      </c>
    </row>
    <row r="3074" spans="1:7">
      <c r="A3074" t="s">
        <v>22</v>
      </c>
      <c r="B3074" t="s">
        <v>204</v>
      </c>
      <c r="C3074" s="32">
        <v>583.44000000000005</v>
      </c>
      <c r="D3074" s="33">
        <v>35</v>
      </c>
      <c r="E3074" t="s">
        <v>153</v>
      </c>
      <c r="F3074" t="s">
        <v>93</v>
      </c>
      <c r="G3074" s="33">
        <v>51</v>
      </c>
    </row>
    <row r="3075" spans="1:7">
      <c r="A3075" t="s">
        <v>22</v>
      </c>
      <c r="B3075" t="s">
        <v>204</v>
      </c>
      <c r="C3075" s="32">
        <v>583.51</v>
      </c>
      <c r="D3075" s="33">
        <v>36</v>
      </c>
      <c r="E3075" t="s">
        <v>120</v>
      </c>
      <c r="F3075" t="s">
        <v>90</v>
      </c>
      <c r="G3075" s="33">
        <v>51</v>
      </c>
    </row>
    <row r="3076" spans="1:7">
      <c r="A3076" t="s">
        <v>22</v>
      </c>
      <c r="B3076" t="s">
        <v>204</v>
      </c>
      <c r="C3076" s="32">
        <v>583.58000000000004</v>
      </c>
      <c r="D3076" s="33">
        <v>37</v>
      </c>
      <c r="E3076" t="s">
        <v>115</v>
      </c>
      <c r="F3076" t="s">
        <v>96</v>
      </c>
      <c r="G3076" s="33">
        <v>51</v>
      </c>
    </row>
    <row r="3077" spans="1:7">
      <c r="A3077" t="s">
        <v>22</v>
      </c>
      <c r="B3077" t="s">
        <v>204</v>
      </c>
      <c r="C3077" s="32">
        <v>583.65</v>
      </c>
      <c r="D3077" s="33">
        <v>38</v>
      </c>
      <c r="E3077" t="s">
        <v>116</v>
      </c>
      <c r="F3077" t="s">
        <v>90</v>
      </c>
      <c r="G3077" s="33">
        <v>51</v>
      </c>
    </row>
    <row r="3078" spans="1:7">
      <c r="A3078" t="s">
        <v>22</v>
      </c>
      <c r="B3078" t="s">
        <v>204</v>
      </c>
      <c r="C3078" s="32">
        <v>583.72</v>
      </c>
      <c r="D3078" s="33">
        <v>39</v>
      </c>
      <c r="E3078" t="s">
        <v>117</v>
      </c>
      <c r="F3078" t="s">
        <v>93</v>
      </c>
      <c r="G3078" s="33">
        <v>51</v>
      </c>
    </row>
    <row r="3079" spans="1:7">
      <c r="A3079" t="s">
        <v>22</v>
      </c>
      <c r="B3079" t="s">
        <v>204</v>
      </c>
      <c r="C3079" s="32">
        <v>583.79</v>
      </c>
      <c r="D3079" s="33">
        <v>40</v>
      </c>
      <c r="E3079" t="s">
        <v>118</v>
      </c>
      <c r="F3079" t="s">
        <v>90</v>
      </c>
      <c r="G3079" s="33">
        <v>51</v>
      </c>
    </row>
    <row r="3080" spans="1:7">
      <c r="A3080" t="s">
        <v>22</v>
      </c>
      <c r="B3080" t="s">
        <v>204</v>
      </c>
      <c r="C3080" s="32">
        <v>583.87</v>
      </c>
      <c r="D3080" s="33">
        <v>41</v>
      </c>
      <c r="E3080" t="s">
        <v>122</v>
      </c>
      <c r="F3080" t="s">
        <v>90</v>
      </c>
      <c r="G3080" s="33">
        <v>51</v>
      </c>
    </row>
    <row r="3081" spans="1:7">
      <c r="A3081" t="s">
        <v>22</v>
      </c>
      <c r="B3081" t="s">
        <v>204</v>
      </c>
      <c r="C3081" s="32">
        <v>583.94000000000005</v>
      </c>
      <c r="D3081" s="33">
        <v>42</v>
      </c>
      <c r="E3081" t="s">
        <v>124</v>
      </c>
      <c r="F3081" t="s">
        <v>93</v>
      </c>
      <c r="G3081" s="33">
        <v>51</v>
      </c>
    </row>
    <row r="3082" spans="1:7">
      <c r="A3082" t="s">
        <v>22</v>
      </c>
      <c r="B3082" t="s">
        <v>204</v>
      </c>
      <c r="C3082" s="32">
        <v>584.01</v>
      </c>
      <c r="D3082" s="33">
        <v>43</v>
      </c>
      <c r="E3082" t="s">
        <v>125</v>
      </c>
      <c r="F3082" t="s">
        <v>102</v>
      </c>
      <c r="G3082" s="33">
        <v>51</v>
      </c>
    </row>
    <row r="3083" spans="1:7">
      <c r="A3083" t="s">
        <v>22</v>
      </c>
      <c r="B3083" t="s">
        <v>204</v>
      </c>
      <c r="C3083" s="32">
        <v>584.08000000000004</v>
      </c>
      <c r="D3083" s="33">
        <v>44</v>
      </c>
      <c r="E3083" t="s">
        <v>127</v>
      </c>
      <c r="F3083" t="s">
        <v>96</v>
      </c>
      <c r="G3083" s="33">
        <v>51</v>
      </c>
    </row>
    <row r="3084" spans="1:7">
      <c r="A3084" t="s">
        <v>22</v>
      </c>
      <c r="B3084" t="s">
        <v>204</v>
      </c>
      <c r="C3084" s="32">
        <v>584.15</v>
      </c>
      <c r="D3084" s="33">
        <v>45</v>
      </c>
      <c r="E3084" t="s">
        <v>128</v>
      </c>
      <c r="F3084" t="s">
        <v>90</v>
      </c>
      <c r="G3084" s="33">
        <v>51</v>
      </c>
    </row>
    <row r="3085" spans="1:7">
      <c r="A3085" t="s">
        <v>22</v>
      </c>
      <c r="B3085" t="s">
        <v>204</v>
      </c>
      <c r="C3085" s="32">
        <v>584.23</v>
      </c>
      <c r="D3085" s="33">
        <v>46</v>
      </c>
      <c r="E3085" t="s">
        <v>129</v>
      </c>
      <c r="F3085" t="s">
        <v>93</v>
      </c>
      <c r="G3085" s="33">
        <v>50</v>
      </c>
    </row>
    <row r="3086" spans="1:7">
      <c r="A3086" t="s">
        <v>22</v>
      </c>
      <c r="B3086" t="s">
        <v>204</v>
      </c>
      <c r="C3086" s="32">
        <v>584.29999999999995</v>
      </c>
      <c r="D3086" s="33">
        <v>47</v>
      </c>
      <c r="E3086" t="s">
        <v>130</v>
      </c>
      <c r="F3086" t="s">
        <v>90</v>
      </c>
      <c r="G3086" s="33">
        <v>51</v>
      </c>
    </row>
    <row r="3087" spans="1:7">
      <c r="A3087" t="s">
        <v>22</v>
      </c>
      <c r="B3087" t="s">
        <v>204</v>
      </c>
      <c r="C3087" s="32">
        <v>584.37</v>
      </c>
      <c r="D3087" s="33">
        <v>48</v>
      </c>
      <c r="E3087" t="s">
        <v>131</v>
      </c>
      <c r="F3087" t="s">
        <v>90</v>
      </c>
      <c r="G3087" s="33">
        <v>51</v>
      </c>
    </row>
    <row r="3088" spans="1:7">
      <c r="A3088" t="s">
        <v>22</v>
      </c>
      <c r="B3088" t="s">
        <v>204</v>
      </c>
      <c r="C3088" s="32">
        <v>584.44000000000005</v>
      </c>
      <c r="D3088" s="33">
        <v>49</v>
      </c>
      <c r="E3088" t="s">
        <v>133</v>
      </c>
      <c r="F3088" t="s">
        <v>93</v>
      </c>
      <c r="G3088" s="33">
        <v>51</v>
      </c>
    </row>
    <row r="3089" spans="1:7">
      <c r="A3089" t="s">
        <v>22</v>
      </c>
      <c r="B3089" t="s">
        <v>204</v>
      </c>
      <c r="C3089" s="32">
        <v>584.51</v>
      </c>
      <c r="D3089" s="33">
        <v>50</v>
      </c>
      <c r="E3089" t="s">
        <v>134</v>
      </c>
      <c r="F3089" t="s">
        <v>90</v>
      </c>
      <c r="G3089" s="33">
        <v>51</v>
      </c>
    </row>
    <row r="3090" spans="1:7">
      <c r="A3090" t="s">
        <v>22</v>
      </c>
      <c r="B3090" t="s">
        <v>204</v>
      </c>
      <c r="C3090" s="32">
        <v>584.58000000000004</v>
      </c>
      <c r="D3090" s="33">
        <v>51</v>
      </c>
      <c r="E3090" t="s">
        <v>135</v>
      </c>
      <c r="F3090" t="s">
        <v>96</v>
      </c>
      <c r="G3090" s="33">
        <v>51</v>
      </c>
    </row>
    <row r="3091" spans="1:7">
      <c r="A3091" t="s">
        <v>22</v>
      </c>
      <c r="B3091" t="s">
        <v>204</v>
      </c>
      <c r="C3091" s="32">
        <v>584.66</v>
      </c>
      <c r="D3091" s="33">
        <v>52</v>
      </c>
      <c r="E3091" t="s">
        <v>136</v>
      </c>
      <c r="F3091" t="s">
        <v>90</v>
      </c>
      <c r="G3091" s="33">
        <v>51</v>
      </c>
    </row>
    <row r="3092" spans="1:7">
      <c r="A3092" t="s">
        <v>22</v>
      </c>
      <c r="B3092" t="s">
        <v>204</v>
      </c>
      <c r="C3092" s="32">
        <v>584.73</v>
      </c>
      <c r="D3092" s="33">
        <v>53</v>
      </c>
      <c r="E3092" t="s">
        <v>137</v>
      </c>
      <c r="F3092" t="s">
        <v>93</v>
      </c>
      <c r="G3092" s="33">
        <v>51</v>
      </c>
    </row>
    <row r="3093" spans="1:7">
      <c r="A3093" t="s">
        <v>22</v>
      </c>
      <c r="B3093" t="s">
        <v>204</v>
      </c>
      <c r="C3093" s="32">
        <v>584.79999999999995</v>
      </c>
      <c r="D3093" s="33">
        <v>54</v>
      </c>
      <c r="E3093" t="s">
        <v>138</v>
      </c>
      <c r="F3093" t="s">
        <v>90</v>
      </c>
      <c r="G3093" s="33">
        <v>51</v>
      </c>
    </row>
    <row r="3094" spans="1:7">
      <c r="A3094" t="s">
        <v>22</v>
      </c>
      <c r="B3094" t="s">
        <v>204</v>
      </c>
      <c r="C3094" s="32">
        <v>584.87</v>
      </c>
      <c r="D3094" s="33">
        <v>55</v>
      </c>
      <c r="E3094" t="s">
        <v>140</v>
      </c>
      <c r="F3094" t="s">
        <v>90</v>
      </c>
      <c r="G3094" s="33">
        <v>51</v>
      </c>
    </row>
    <row r="3095" spans="1:7">
      <c r="A3095" t="s">
        <v>22</v>
      </c>
      <c r="B3095" t="s">
        <v>204</v>
      </c>
      <c r="C3095" s="32">
        <v>584.94000000000005</v>
      </c>
      <c r="D3095" s="33">
        <v>56</v>
      </c>
      <c r="E3095" t="s">
        <v>141</v>
      </c>
      <c r="F3095" t="s">
        <v>93</v>
      </c>
      <c r="G3095" s="33">
        <v>51</v>
      </c>
    </row>
    <row r="3096" spans="1:7">
      <c r="A3096" t="s">
        <v>22</v>
      </c>
      <c r="B3096" t="s">
        <v>204</v>
      </c>
      <c r="C3096" s="32">
        <v>585.01</v>
      </c>
      <c r="D3096" s="33">
        <v>57</v>
      </c>
      <c r="E3096" t="s">
        <v>142</v>
      </c>
      <c r="F3096" t="s">
        <v>102</v>
      </c>
      <c r="G3096" s="33">
        <v>51</v>
      </c>
    </row>
    <row r="3097" spans="1:7">
      <c r="A3097" t="s">
        <v>22</v>
      </c>
      <c r="B3097" t="s">
        <v>204</v>
      </c>
      <c r="C3097" s="32">
        <v>585.09</v>
      </c>
      <c r="D3097" s="33">
        <v>58</v>
      </c>
      <c r="E3097" t="s">
        <v>143</v>
      </c>
      <c r="F3097" t="s">
        <v>96</v>
      </c>
      <c r="G3097" s="33">
        <v>51</v>
      </c>
    </row>
    <row r="3098" spans="1:7">
      <c r="A3098" t="s">
        <v>22</v>
      </c>
      <c r="B3098" t="s">
        <v>204</v>
      </c>
      <c r="C3098" s="32">
        <v>585.16</v>
      </c>
      <c r="D3098" s="33">
        <v>59</v>
      </c>
      <c r="E3098" t="s">
        <v>144</v>
      </c>
      <c r="F3098" t="s">
        <v>90</v>
      </c>
      <c r="G3098" s="33">
        <v>51</v>
      </c>
    </row>
    <row r="3099" spans="1:7">
      <c r="A3099" t="s">
        <v>22</v>
      </c>
      <c r="B3099" t="s">
        <v>204</v>
      </c>
      <c r="C3099" s="32">
        <v>585.23</v>
      </c>
      <c r="D3099" s="33">
        <v>60</v>
      </c>
      <c r="E3099" t="s">
        <v>145</v>
      </c>
      <c r="F3099" t="s">
        <v>93</v>
      </c>
      <c r="G3099" s="33">
        <v>51</v>
      </c>
    </row>
    <row r="3100" spans="1:7">
      <c r="A3100" t="s">
        <v>22</v>
      </c>
      <c r="B3100" t="s">
        <v>204</v>
      </c>
      <c r="C3100" s="32">
        <v>585.29999999999995</v>
      </c>
      <c r="D3100" s="33">
        <v>61</v>
      </c>
      <c r="E3100" t="s">
        <v>146</v>
      </c>
      <c r="F3100" t="s">
        <v>90</v>
      </c>
      <c r="G3100" s="33">
        <v>51</v>
      </c>
    </row>
    <row r="3101" spans="1:7">
      <c r="A3101" t="s">
        <v>22</v>
      </c>
      <c r="B3101" t="s">
        <v>204</v>
      </c>
      <c r="C3101" s="32">
        <v>585.37</v>
      </c>
      <c r="D3101" s="33">
        <v>62</v>
      </c>
      <c r="E3101" t="s">
        <v>148</v>
      </c>
      <c r="F3101" t="s">
        <v>93</v>
      </c>
      <c r="G3101" s="33">
        <v>51</v>
      </c>
    </row>
    <row r="3102" spans="1:7">
      <c r="A3102" t="s">
        <v>22</v>
      </c>
      <c r="B3102" t="s">
        <v>204</v>
      </c>
      <c r="C3102" s="32">
        <v>585.44000000000005</v>
      </c>
      <c r="D3102" s="33">
        <v>63</v>
      </c>
      <c r="E3102" t="s">
        <v>149</v>
      </c>
      <c r="F3102" t="s">
        <v>90</v>
      </c>
      <c r="G3102" s="33">
        <v>51</v>
      </c>
    </row>
    <row r="3103" spans="1:7">
      <c r="A3103" t="s">
        <v>22</v>
      </c>
      <c r="B3103" t="s">
        <v>204</v>
      </c>
      <c r="C3103" s="32">
        <v>585.52</v>
      </c>
      <c r="D3103" s="33">
        <v>64</v>
      </c>
      <c r="E3103" t="s">
        <v>150</v>
      </c>
      <c r="F3103" t="s">
        <v>96</v>
      </c>
      <c r="G3103" s="33">
        <v>51</v>
      </c>
    </row>
    <row r="3104" spans="1:7">
      <c r="A3104" t="s">
        <v>22</v>
      </c>
      <c r="B3104" t="s">
        <v>204</v>
      </c>
      <c r="C3104" s="32">
        <v>585.59</v>
      </c>
      <c r="D3104" s="33">
        <v>65</v>
      </c>
      <c r="E3104" t="s">
        <v>151</v>
      </c>
      <c r="F3104" t="s">
        <v>90</v>
      </c>
      <c r="G3104" s="33">
        <v>51</v>
      </c>
    </row>
    <row r="3105" spans="1:7">
      <c r="A3105" t="s">
        <v>22</v>
      </c>
      <c r="B3105" t="s">
        <v>204</v>
      </c>
      <c r="C3105" s="32">
        <v>585.66</v>
      </c>
      <c r="D3105" s="33">
        <v>66</v>
      </c>
      <c r="E3105" t="s">
        <v>152</v>
      </c>
      <c r="F3105" t="s">
        <v>93</v>
      </c>
      <c r="G3105" s="33">
        <v>51</v>
      </c>
    </row>
    <row r="3106" spans="1:7">
      <c r="A3106" t="s">
        <v>22</v>
      </c>
      <c r="B3106" t="s">
        <v>204</v>
      </c>
      <c r="C3106" s="32">
        <v>585.73</v>
      </c>
      <c r="D3106" s="33">
        <v>67</v>
      </c>
      <c r="E3106" t="s">
        <v>153</v>
      </c>
      <c r="F3106" t="s">
        <v>90</v>
      </c>
      <c r="G3106" s="33">
        <v>51</v>
      </c>
    </row>
    <row r="3107" spans="1:7">
      <c r="A3107" t="s">
        <v>22</v>
      </c>
      <c r="B3107" t="s">
        <v>204</v>
      </c>
      <c r="C3107" s="32">
        <v>585.79999999999995</v>
      </c>
      <c r="D3107" s="33">
        <v>68</v>
      </c>
      <c r="E3107" t="s">
        <v>120</v>
      </c>
      <c r="F3107" t="s">
        <v>90</v>
      </c>
      <c r="G3107" s="33">
        <v>51</v>
      </c>
    </row>
    <row r="3108" spans="1:7">
      <c r="A3108" t="s">
        <v>22</v>
      </c>
      <c r="B3108" t="s">
        <v>204</v>
      </c>
      <c r="C3108" s="32">
        <v>585.87</v>
      </c>
      <c r="D3108" s="33">
        <v>69</v>
      </c>
      <c r="E3108" t="s">
        <v>115</v>
      </c>
      <c r="F3108" t="s">
        <v>93</v>
      </c>
      <c r="G3108" s="33">
        <v>51</v>
      </c>
    </row>
    <row r="3109" spans="1:7">
      <c r="A3109" t="s">
        <v>22</v>
      </c>
      <c r="B3109" t="s">
        <v>204</v>
      </c>
      <c r="C3109" s="32">
        <v>585.95000000000005</v>
      </c>
      <c r="D3109" s="33">
        <v>70</v>
      </c>
      <c r="E3109" t="s">
        <v>116</v>
      </c>
      <c r="F3109" t="s">
        <v>90</v>
      </c>
      <c r="G3109" s="33">
        <v>51</v>
      </c>
    </row>
    <row r="3110" spans="1:7">
      <c r="A3110" t="s">
        <v>22</v>
      </c>
      <c r="B3110" t="s">
        <v>204</v>
      </c>
      <c r="C3110" s="32">
        <v>586.02</v>
      </c>
      <c r="D3110" s="33">
        <v>71</v>
      </c>
      <c r="E3110" t="s">
        <v>117</v>
      </c>
      <c r="F3110" t="s">
        <v>96</v>
      </c>
      <c r="G3110" s="33">
        <v>51</v>
      </c>
    </row>
    <row r="3111" spans="1:7">
      <c r="A3111" t="s">
        <v>22</v>
      </c>
      <c r="B3111" t="s">
        <v>204</v>
      </c>
      <c r="C3111" s="32">
        <v>586.09</v>
      </c>
      <c r="D3111" s="33">
        <v>72</v>
      </c>
      <c r="E3111" t="s">
        <v>118</v>
      </c>
      <c r="F3111" t="s">
        <v>102</v>
      </c>
      <c r="G3111" s="33">
        <v>51</v>
      </c>
    </row>
    <row r="3112" spans="1:7">
      <c r="A3112" t="s">
        <v>22</v>
      </c>
      <c r="B3112" t="s">
        <v>204</v>
      </c>
      <c r="C3112" s="32">
        <v>586.16</v>
      </c>
      <c r="D3112" s="33">
        <v>73</v>
      </c>
      <c r="E3112" t="s">
        <v>122</v>
      </c>
      <c r="F3112" t="s">
        <v>93</v>
      </c>
      <c r="G3112" s="33">
        <v>51</v>
      </c>
    </row>
    <row r="3113" spans="1:7">
      <c r="A3113" t="s">
        <v>22</v>
      </c>
      <c r="B3113" t="s">
        <v>204</v>
      </c>
      <c r="C3113" s="32">
        <v>586.23</v>
      </c>
      <c r="D3113" s="33">
        <v>74</v>
      </c>
      <c r="E3113" t="s">
        <v>124</v>
      </c>
      <c r="F3113" t="s">
        <v>90</v>
      </c>
      <c r="G3113" s="33">
        <v>51</v>
      </c>
    </row>
    <row r="3114" spans="1:7">
      <c r="A3114" t="s">
        <v>22</v>
      </c>
      <c r="B3114" t="s">
        <v>204</v>
      </c>
      <c r="C3114" s="32">
        <v>586.29999999999995</v>
      </c>
      <c r="D3114" s="33">
        <v>75</v>
      </c>
      <c r="E3114" t="s">
        <v>125</v>
      </c>
      <c r="F3114" t="s">
        <v>90</v>
      </c>
      <c r="G3114" s="33">
        <v>51</v>
      </c>
    </row>
    <row r="3115" spans="1:7">
      <c r="A3115" t="s">
        <v>22</v>
      </c>
      <c r="B3115" t="s">
        <v>204</v>
      </c>
      <c r="C3115" s="32">
        <v>586.38</v>
      </c>
      <c r="D3115" s="33">
        <v>76</v>
      </c>
      <c r="E3115" t="s">
        <v>127</v>
      </c>
      <c r="F3115" t="s">
        <v>93</v>
      </c>
      <c r="G3115" s="33">
        <v>50</v>
      </c>
    </row>
    <row r="3116" spans="1:7">
      <c r="A3116" t="s">
        <v>22</v>
      </c>
      <c r="B3116" t="s">
        <v>204</v>
      </c>
      <c r="C3116" s="32">
        <v>586.45000000000005</v>
      </c>
      <c r="D3116" s="33">
        <v>77</v>
      </c>
      <c r="E3116" t="s">
        <v>128</v>
      </c>
      <c r="F3116" t="s">
        <v>90</v>
      </c>
      <c r="G3116" s="33">
        <v>51</v>
      </c>
    </row>
    <row r="3117" spans="1:7">
      <c r="A3117" t="s">
        <v>22</v>
      </c>
      <c r="B3117" t="s">
        <v>204</v>
      </c>
      <c r="C3117" s="32">
        <v>586.52</v>
      </c>
      <c r="D3117" s="33">
        <v>78</v>
      </c>
      <c r="E3117" t="s">
        <v>129</v>
      </c>
      <c r="F3117" t="s">
        <v>96</v>
      </c>
      <c r="G3117" s="33">
        <v>51</v>
      </c>
    </row>
    <row r="3118" spans="1:7">
      <c r="A3118" t="s">
        <v>22</v>
      </c>
      <c r="B3118" t="s">
        <v>204</v>
      </c>
      <c r="C3118" s="32">
        <v>586.59</v>
      </c>
      <c r="D3118" s="33">
        <v>79</v>
      </c>
      <c r="E3118" t="s">
        <v>130</v>
      </c>
      <c r="F3118" t="s">
        <v>90</v>
      </c>
      <c r="G3118" s="33">
        <v>51</v>
      </c>
    </row>
    <row r="3119" spans="1:7">
      <c r="A3119" t="s">
        <v>22</v>
      </c>
      <c r="B3119" t="s">
        <v>204</v>
      </c>
      <c r="C3119" s="32">
        <v>586.66</v>
      </c>
      <c r="D3119" s="33">
        <v>80</v>
      </c>
      <c r="E3119" t="s">
        <v>131</v>
      </c>
      <c r="F3119" t="s">
        <v>93</v>
      </c>
      <c r="G3119" s="33">
        <v>51</v>
      </c>
    </row>
    <row r="3120" spans="1:7">
      <c r="A3120" t="s">
        <v>22</v>
      </c>
      <c r="B3120" t="s">
        <v>204</v>
      </c>
      <c r="C3120" s="32">
        <v>586.73</v>
      </c>
      <c r="D3120" s="33">
        <v>81</v>
      </c>
      <c r="E3120" t="s">
        <v>133</v>
      </c>
      <c r="F3120" t="s">
        <v>90</v>
      </c>
      <c r="G3120" s="33">
        <v>51</v>
      </c>
    </row>
    <row r="3121" spans="1:7">
      <c r="A3121" t="s">
        <v>22</v>
      </c>
      <c r="B3121" t="s">
        <v>204</v>
      </c>
      <c r="C3121" s="32">
        <v>586.79999999999995</v>
      </c>
      <c r="D3121" s="33">
        <v>82</v>
      </c>
      <c r="E3121" t="s">
        <v>134</v>
      </c>
      <c r="F3121" t="s">
        <v>90</v>
      </c>
      <c r="G3121" s="33">
        <v>51</v>
      </c>
    </row>
    <row r="3122" spans="1:7">
      <c r="A3122" t="s">
        <v>22</v>
      </c>
      <c r="B3122" t="s">
        <v>204</v>
      </c>
      <c r="C3122" s="32">
        <v>586.88</v>
      </c>
      <c r="D3122" s="33">
        <v>83</v>
      </c>
      <c r="E3122" t="s">
        <v>135</v>
      </c>
      <c r="F3122" t="s">
        <v>93</v>
      </c>
      <c r="G3122" s="33">
        <v>51</v>
      </c>
    </row>
    <row r="3123" spans="1:7">
      <c r="A3123" t="s">
        <v>22</v>
      </c>
      <c r="B3123" t="s">
        <v>204</v>
      </c>
      <c r="C3123" s="32">
        <v>586.95000000000005</v>
      </c>
      <c r="D3123" s="33">
        <v>84</v>
      </c>
      <c r="E3123" t="s">
        <v>136</v>
      </c>
      <c r="F3123" t="s">
        <v>90</v>
      </c>
      <c r="G3123" s="33">
        <v>51</v>
      </c>
    </row>
    <row r="3124" spans="1:7">
      <c r="A3124" t="s">
        <v>22</v>
      </c>
      <c r="B3124" t="s">
        <v>204</v>
      </c>
      <c r="C3124" s="32">
        <v>587.02</v>
      </c>
      <c r="D3124" s="33">
        <v>85</v>
      </c>
      <c r="E3124" t="s">
        <v>137</v>
      </c>
      <c r="F3124" t="s">
        <v>96</v>
      </c>
      <c r="G3124" s="33">
        <v>51</v>
      </c>
    </row>
    <row r="3125" spans="1:7">
      <c r="A3125" t="s">
        <v>22</v>
      </c>
      <c r="B3125" t="s">
        <v>204</v>
      </c>
      <c r="C3125" s="32">
        <v>587.09</v>
      </c>
      <c r="D3125" s="33">
        <v>86</v>
      </c>
      <c r="E3125" t="s">
        <v>138</v>
      </c>
      <c r="F3125" t="s">
        <v>102</v>
      </c>
      <c r="G3125" s="33">
        <v>51</v>
      </c>
    </row>
    <row r="3126" spans="1:7">
      <c r="A3126" t="s">
        <v>22</v>
      </c>
      <c r="B3126" t="s">
        <v>204</v>
      </c>
      <c r="C3126" s="32">
        <v>587.16</v>
      </c>
      <c r="D3126" s="33">
        <v>87</v>
      </c>
      <c r="E3126" t="s">
        <v>140</v>
      </c>
      <c r="F3126" t="s">
        <v>93</v>
      </c>
      <c r="G3126" s="33">
        <v>51</v>
      </c>
    </row>
    <row r="3127" spans="1:7">
      <c r="A3127" t="s">
        <v>22</v>
      </c>
      <c r="B3127" t="s">
        <v>204</v>
      </c>
      <c r="C3127" s="32">
        <v>587.24</v>
      </c>
      <c r="D3127" s="33">
        <v>88</v>
      </c>
      <c r="E3127" t="s">
        <v>141</v>
      </c>
      <c r="F3127" t="s">
        <v>90</v>
      </c>
      <c r="G3127" s="33">
        <v>51</v>
      </c>
    </row>
    <row r="3128" spans="1:7">
      <c r="A3128" t="s">
        <v>22</v>
      </c>
      <c r="B3128" t="s">
        <v>204</v>
      </c>
      <c r="C3128" s="32">
        <v>587.30999999999995</v>
      </c>
      <c r="D3128" s="33">
        <v>89</v>
      </c>
      <c r="E3128" t="s">
        <v>142</v>
      </c>
      <c r="F3128" t="s">
        <v>93</v>
      </c>
      <c r="G3128" s="33">
        <v>51</v>
      </c>
    </row>
    <row r="3129" spans="1:7">
      <c r="A3129" t="s">
        <v>22</v>
      </c>
      <c r="B3129" t="s">
        <v>204</v>
      </c>
      <c r="C3129" s="32">
        <v>587.38</v>
      </c>
      <c r="D3129" s="33">
        <v>90</v>
      </c>
      <c r="E3129" t="s">
        <v>143</v>
      </c>
      <c r="F3129" t="s">
        <v>90</v>
      </c>
      <c r="G3129" s="33">
        <v>51</v>
      </c>
    </row>
    <row r="3130" spans="1:7">
      <c r="A3130" t="s">
        <v>22</v>
      </c>
      <c r="B3130" t="s">
        <v>204</v>
      </c>
      <c r="C3130" s="32">
        <v>587.45000000000005</v>
      </c>
      <c r="D3130" s="33">
        <v>91</v>
      </c>
      <c r="E3130" t="s">
        <v>144</v>
      </c>
      <c r="F3130" t="s">
        <v>96</v>
      </c>
      <c r="G3130" s="33">
        <v>51</v>
      </c>
    </row>
    <row r="3131" spans="1:7">
      <c r="A3131" t="s">
        <v>22</v>
      </c>
      <c r="B3131" t="s">
        <v>204</v>
      </c>
      <c r="C3131" s="32">
        <v>587.52</v>
      </c>
      <c r="D3131" s="33">
        <v>92</v>
      </c>
      <c r="E3131" t="s">
        <v>145</v>
      </c>
      <c r="F3131" t="s">
        <v>90</v>
      </c>
      <c r="G3131" s="33">
        <v>51</v>
      </c>
    </row>
    <row r="3132" spans="1:7">
      <c r="A3132" t="s">
        <v>22</v>
      </c>
      <c r="B3132" t="s">
        <v>204</v>
      </c>
      <c r="C3132" s="32">
        <v>587.59</v>
      </c>
      <c r="D3132" s="33">
        <v>93</v>
      </c>
      <c r="E3132" t="s">
        <v>146</v>
      </c>
      <c r="F3132" t="s">
        <v>93</v>
      </c>
      <c r="G3132" s="33">
        <v>51</v>
      </c>
    </row>
    <row r="3133" spans="1:7">
      <c r="A3133" t="s">
        <v>22</v>
      </c>
      <c r="B3133" t="s">
        <v>204</v>
      </c>
      <c r="C3133" s="32">
        <v>587.66999999999996</v>
      </c>
      <c r="D3133" s="33">
        <v>94</v>
      </c>
      <c r="E3133" t="s">
        <v>148</v>
      </c>
      <c r="F3133" t="s">
        <v>90</v>
      </c>
      <c r="G3133" s="33">
        <v>51</v>
      </c>
    </row>
    <row r="3134" spans="1:7">
      <c r="A3134" t="s">
        <v>22</v>
      </c>
      <c r="B3134" t="s">
        <v>204</v>
      </c>
      <c r="C3134" s="32">
        <v>587.74</v>
      </c>
      <c r="D3134" s="33">
        <v>95</v>
      </c>
      <c r="E3134" t="s">
        <v>149</v>
      </c>
      <c r="F3134" t="s">
        <v>90</v>
      </c>
      <c r="G3134" s="33">
        <v>51</v>
      </c>
    </row>
    <row r="3135" spans="1:7">
      <c r="A3135" t="s">
        <v>22</v>
      </c>
      <c r="B3135" t="s">
        <v>204</v>
      </c>
      <c r="C3135" s="32">
        <v>587.80999999999995</v>
      </c>
      <c r="D3135" s="33">
        <v>96</v>
      </c>
      <c r="E3135" t="s">
        <v>150</v>
      </c>
      <c r="F3135" t="s">
        <v>93</v>
      </c>
      <c r="G3135" s="33">
        <v>51</v>
      </c>
    </row>
    <row r="3136" spans="1:7">
      <c r="A3136" t="s">
        <v>22</v>
      </c>
      <c r="B3136" t="s">
        <v>204</v>
      </c>
      <c r="C3136" s="32">
        <v>587.88</v>
      </c>
      <c r="D3136" s="33">
        <v>97</v>
      </c>
      <c r="E3136" t="s">
        <v>151</v>
      </c>
      <c r="F3136" t="s">
        <v>90</v>
      </c>
      <c r="G3136" s="33">
        <v>51</v>
      </c>
    </row>
    <row r="3137" spans="1:7">
      <c r="A3137" t="s">
        <v>22</v>
      </c>
      <c r="B3137" t="s">
        <v>204</v>
      </c>
      <c r="C3137" s="32">
        <v>587.95000000000005</v>
      </c>
      <c r="D3137" s="33">
        <v>98</v>
      </c>
      <c r="E3137" t="s">
        <v>152</v>
      </c>
      <c r="F3137" t="s">
        <v>96</v>
      </c>
      <c r="G3137" s="33">
        <v>51</v>
      </c>
    </row>
    <row r="3138" spans="1:7">
      <c r="A3138" t="s">
        <v>22</v>
      </c>
      <c r="B3138" t="s">
        <v>204</v>
      </c>
      <c r="C3138" s="32">
        <v>588.02</v>
      </c>
      <c r="D3138" s="33">
        <v>99</v>
      </c>
      <c r="E3138" t="s">
        <v>153</v>
      </c>
      <c r="F3138" t="s">
        <v>90</v>
      </c>
      <c r="G3138" s="33">
        <v>51</v>
      </c>
    </row>
    <row r="3139" spans="1:7">
      <c r="A3139" t="s">
        <v>22</v>
      </c>
      <c r="B3139" t="s">
        <v>204</v>
      </c>
      <c r="C3139" s="32">
        <v>588.1</v>
      </c>
      <c r="D3139" s="33">
        <v>100</v>
      </c>
      <c r="E3139" t="s">
        <v>120</v>
      </c>
      <c r="F3139" t="s">
        <v>93</v>
      </c>
      <c r="G3139" s="33">
        <v>51</v>
      </c>
    </row>
    <row r="3140" spans="1:7">
      <c r="A3140" t="s">
        <v>22</v>
      </c>
      <c r="B3140" t="s">
        <v>204</v>
      </c>
      <c r="C3140" s="32">
        <v>588.16999999999996</v>
      </c>
      <c r="D3140" s="33">
        <v>101</v>
      </c>
      <c r="E3140" t="s">
        <v>115</v>
      </c>
      <c r="F3140" t="s">
        <v>102</v>
      </c>
      <c r="G3140" s="33">
        <v>51</v>
      </c>
    </row>
    <row r="3141" spans="1:7">
      <c r="A3141" t="s">
        <v>22</v>
      </c>
      <c r="B3141" t="s">
        <v>204</v>
      </c>
      <c r="C3141" s="32">
        <v>588.24</v>
      </c>
      <c r="D3141" s="33">
        <v>102</v>
      </c>
      <c r="E3141" t="s">
        <v>116</v>
      </c>
      <c r="F3141" t="s">
        <v>90</v>
      </c>
      <c r="G3141" s="33">
        <v>51</v>
      </c>
    </row>
    <row r="3142" spans="1:7">
      <c r="A3142" t="s">
        <v>22</v>
      </c>
      <c r="B3142" t="s">
        <v>204</v>
      </c>
      <c r="C3142" s="32">
        <v>588.30999999999995</v>
      </c>
      <c r="D3142" s="33">
        <v>103</v>
      </c>
      <c r="E3142" t="s">
        <v>117</v>
      </c>
      <c r="F3142" t="s">
        <v>93</v>
      </c>
      <c r="G3142" s="33">
        <v>51</v>
      </c>
    </row>
    <row r="3143" spans="1:7">
      <c r="A3143" t="s">
        <v>22</v>
      </c>
      <c r="B3143" t="s">
        <v>204</v>
      </c>
      <c r="C3143" s="32">
        <v>588.38</v>
      </c>
      <c r="D3143" s="33">
        <v>104</v>
      </c>
      <c r="E3143" t="s">
        <v>118</v>
      </c>
      <c r="F3143" t="s">
        <v>90</v>
      </c>
      <c r="G3143" s="33">
        <v>51</v>
      </c>
    </row>
    <row r="3144" spans="1:7">
      <c r="A3144" t="s">
        <v>22</v>
      </c>
      <c r="B3144" t="s">
        <v>204</v>
      </c>
      <c r="C3144" s="32">
        <v>588.45000000000005</v>
      </c>
      <c r="D3144" s="33">
        <v>105</v>
      </c>
      <c r="E3144" t="s">
        <v>122</v>
      </c>
      <c r="F3144" t="s">
        <v>96</v>
      </c>
      <c r="G3144" s="33">
        <v>51</v>
      </c>
    </row>
    <row r="3145" spans="1:7">
      <c r="A3145" t="s">
        <v>22</v>
      </c>
      <c r="B3145" t="s">
        <v>204</v>
      </c>
      <c r="C3145" s="32">
        <v>588.53</v>
      </c>
      <c r="D3145" s="33">
        <v>106</v>
      </c>
      <c r="E3145" t="s">
        <v>124</v>
      </c>
      <c r="F3145" t="s">
        <v>90</v>
      </c>
      <c r="G3145" s="33">
        <v>50</v>
      </c>
    </row>
    <row r="3146" spans="1:7">
      <c r="A3146" t="s">
        <v>22</v>
      </c>
      <c r="B3146" t="s">
        <v>204</v>
      </c>
      <c r="C3146" s="32">
        <v>588.6</v>
      </c>
      <c r="D3146" s="33">
        <v>107</v>
      </c>
      <c r="E3146" t="s">
        <v>125</v>
      </c>
      <c r="F3146" t="s">
        <v>93</v>
      </c>
      <c r="G3146" s="33">
        <v>51</v>
      </c>
    </row>
    <row r="3147" spans="1:7">
      <c r="A3147" t="s">
        <v>22</v>
      </c>
      <c r="B3147" t="s">
        <v>204</v>
      </c>
      <c r="C3147" s="32">
        <v>588.66999999999996</v>
      </c>
      <c r="D3147" s="33">
        <v>108</v>
      </c>
      <c r="E3147" t="s">
        <v>127</v>
      </c>
      <c r="F3147" t="s">
        <v>90</v>
      </c>
      <c r="G3147" s="33">
        <v>51</v>
      </c>
    </row>
    <row r="3148" spans="1:7">
      <c r="A3148" t="s">
        <v>22</v>
      </c>
      <c r="B3148" t="s">
        <v>204</v>
      </c>
      <c r="C3148" s="32">
        <v>588.74</v>
      </c>
      <c r="D3148" s="33">
        <v>109</v>
      </c>
      <c r="E3148" t="s">
        <v>128</v>
      </c>
      <c r="F3148" t="s">
        <v>93</v>
      </c>
      <c r="G3148" s="33">
        <v>51</v>
      </c>
    </row>
    <row r="3149" spans="1:7">
      <c r="A3149" t="s">
        <v>22</v>
      </c>
      <c r="B3149" t="s">
        <v>204</v>
      </c>
      <c r="C3149" s="32">
        <v>588.80999999999995</v>
      </c>
      <c r="D3149" s="33">
        <v>110</v>
      </c>
      <c r="E3149" t="s">
        <v>129</v>
      </c>
      <c r="F3149" t="s">
        <v>90</v>
      </c>
      <c r="G3149" s="33">
        <v>51</v>
      </c>
    </row>
    <row r="3150" spans="1:7">
      <c r="A3150" t="s">
        <v>22</v>
      </c>
      <c r="B3150" t="s">
        <v>204</v>
      </c>
      <c r="C3150" s="32">
        <v>588.88</v>
      </c>
      <c r="D3150" s="33">
        <v>111</v>
      </c>
      <c r="E3150" t="s">
        <v>130</v>
      </c>
      <c r="F3150" t="s">
        <v>96</v>
      </c>
      <c r="G3150" s="33">
        <v>51</v>
      </c>
    </row>
    <row r="3151" spans="1:7">
      <c r="A3151" t="s">
        <v>22</v>
      </c>
      <c r="B3151" t="s">
        <v>204</v>
      </c>
      <c r="C3151" s="32">
        <v>588.96</v>
      </c>
      <c r="D3151" s="33">
        <v>112</v>
      </c>
      <c r="E3151" t="s">
        <v>131</v>
      </c>
      <c r="F3151" t="s">
        <v>90</v>
      </c>
      <c r="G3151" s="33">
        <v>51</v>
      </c>
    </row>
    <row r="3152" spans="1:7">
      <c r="A3152" t="s">
        <v>22</v>
      </c>
      <c r="B3152" t="s">
        <v>204</v>
      </c>
      <c r="C3152" s="32">
        <v>589.03</v>
      </c>
      <c r="D3152" s="33">
        <v>113</v>
      </c>
      <c r="E3152" t="s">
        <v>133</v>
      </c>
      <c r="F3152" t="s">
        <v>93</v>
      </c>
      <c r="G3152" s="33">
        <v>51</v>
      </c>
    </row>
    <row r="3153" spans="1:7">
      <c r="A3153" t="s">
        <v>22</v>
      </c>
      <c r="B3153" t="s">
        <v>204</v>
      </c>
      <c r="C3153" s="32">
        <v>589.1</v>
      </c>
      <c r="D3153" s="33">
        <v>114</v>
      </c>
      <c r="E3153" t="s">
        <v>134</v>
      </c>
      <c r="F3153" t="s">
        <v>90</v>
      </c>
      <c r="G3153" s="33">
        <v>51</v>
      </c>
    </row>
    <row r="3154" spans="1:7">
      <c r="A3154" t="s">
        <v>22</v>
      </c>
      <c r="B3154" t="s">
        <v>204</v>
      </c>
      <c r="C3154" s="32">
        <v>589.16999999999996</v>
      </c>
      <c r="D3154" s="33">
        <v>115</v>
      </c>
      <c r="E3154" t="s">
        <v>135</v>
      </c>
      <c r="F3154" t="s">
        <v>102</v>
      </c>
      <c r="G3154" s="33">
        <v>51</v>
      </c>
    </row>
    <row r="3155" spans="1:7">
      <c r="A3155" t="s">
        <v>22</v>
      </c>
      <c r="B3155" t="s">
        <v>204</v>
      </c>
      <c r="C3155" s="32">
        <v>589.24</v>
      </c>
      <c r="D3155" s="33">
        <v>116</v>
      </c>
      <c r="E3155" t="s">
        <v>136</v>
      </c>
      <c r="F3155" t="s">
        <v>93</v>
      </c>
      <c r="G3155" s="33">
        <v>51</v>
      </c>
    </row>
    <row r="3156" spans="1:7">
      <c r="A3156" t="s">
        <v>22</v>
      </c>
      <c r="B3156" t="s">
        <v>204</v>
      </c>
      <c r="C3156" s="32">
        <v>589.30999999999995</v>
      </c>
      <c r="D3156" s="33">
        <v>117</v>
      </c>
      <c r="E3156" t="s">
        <v>137</v>
      </c>
      <c r="F3156" t="s">
        <v>90</v>
      </c>
      <c r="G3156" s="33">
        <v>51</v>
      </c>
    </row>
    <row r="3157" spans="1:7">
      <c r="A3157" t="s">
        <v>22</v>
      </c>
      <c r="B3157" t="s">
        <v>204</v>
      </c>
      <c r="C3157" s="32">
        <v>589.39</v>
      </c>
      <c r="D3157" s="33">
        <v>118</v>
      </c>
      <c r="E3157" t="s">
        <v>138</v>
      </c>
      <c r="F3157" t="s">
        <v>96</v>
      </c>
      <c r="G3157" s="33">
        <v>51</v>
      </c>
    </row>
    <row r="3158" spans="1:7">
      <c r="A3158" t="s">
        <v>22</v>
      </c>
      <c r="B3158" t="s">
        <v>204</v>
      </c>
      <c r="C3158" s="32">
        <v>589.46</v>
      </c>
      <c r="D3158" s="33">
        <v>119</v>
      </c>
      <c r="E3158" t="s">
        <v>140</v>
      </c>
      <c r="F3158" t="s">
        <v>90</v>
      </c>
      <c r="G3158" s="33">
        <v>51</v>
      </c>
    </row>
    <row r="3159" spans="1:7">
      <c r="A3159" t="s">
        <v>22</v>
      </c>
      <c r="B3159" t="s">
        <v>204</v>
      </c>
      <c r="C3159" s="32">
        <v>589.53</v>
      </c>
      <c r="D3159" s="33">
        <v>120</v>
      </c>
      <c r="E3159" t="s">
        <v>141</v>
      </c>
      <c r="F3159" t="s">
        <v>93</v>
      </c>
      <c r="G3159" s="33">
        <v>51</v>
      </c>
    </row>
    <row r="3160" spans="1:7">
      <c r="A3160" t="s">
        <v>22</v>
      </c>
      <c r="B3160" t="s">
        <v>204</v>
      </c>
      <c r="C3160" s="32">
        <v>589.6</v>
      </c>
      <c r="D3160" s="33">
        <v>121</v>
      </c>
      <c r="E3160" t="s">
        <v>142</v>
      </c>
      <c r="F3160" t="s">
        <v>90</v>
      </c>
      <c r="G3160" s="33">
        <v>51</v>
      </c>
    </row>
    <row r="3161" spans="1:7">
      <c r="A3161" t="s">
        <v>22</v>
      </c>
      <c r="B3161" t="s">
        <v>205</v>
      </c>
      <c r="C3161" s="32">
        <v>591</v>
      </c>
      <c r="D3161" s="33">
        <v>1</v>
      </c>
      <c r="E3161" t="s">
        <v>137</v>
      </c>
      <c r="F3161" t="s">
        <v>90</v>
      </c>
      <c r="G3161" s="33">
        <v>52</v>
      </c>
    </row>
    <row r="3162" spans="1:7">
      <c r="A3162" t="s">
        <v>22</v>
      </c>
      <c r="B3162" t="s">
        <v>205</v>
      </c>
      <c r="C3162" s="32">
        <v>591.07000000000005</v>
      </c>
      <c r="D3162" s="33">
        <v>2</v>
      </c>
      <c r="E3162" t="s">
        <v>138</v>
      </c>
      <c r="F3162" t="s">
        <v>93</v>
      </c>
      <c r="G3162" s="33">
        <v>52</v>
      </c>
    </row>
    <row r="3163" spans="1:7">
      <c r="A3163" t="s">
        <v>22</v>
      </c>
      <c r="B3163" t="s">
        <v>205</v>
      </c>
      <c r="C3163" s="32">
        <v>591.14</v>
      </c>
      <c r="D3163" s="33">
        <v>3</v>
      </c>
      <c r="E3163" t="s">
        <v>140</v>
      </c>
      <c r="F3163" t="s">
        <v>90</v>
      </c>
      <c r="G3163" s="33">
        <v>52</v>
      </c>
    </row>
    <row r="3164" spans="1:7">
      <c r="A3164" t="s">
        <v>22</v>
      </c>
      <c r="B3164" t="s">
        <v>205</v>
      </c>
      <c r="C3164" s="32">
        <v>591.21</v>
      </c>
      <c r="D3164" s="33">
        <v>4</v>
      </c>
      <c r="E3164" t="s">
        <v>141</v>
      </c>
      <c r="F3164" t="s">
        <v>96</v>
      </c>
      <c r="G3164" s="33">
        <v>52</v>
      </c>
    </row>
    <row r="3165" spans="1:7">
      <c r="A3165" t="s">
        <v>22</v>
      </c>
      <c r="B3165" t="s">
        <v>205</v>
      </c>
      <c r="C3165" s="32">
        <v>591.28</v>
      </c>
      <c r="D3165" s="33">
        <v>5</v>
      </c>
      <c r="E3165" t="s">
        <v>142</v>
      </c>
      <c r="F3165" t="s">
        <v>90</v>
      </c>
      <c r="G3165" s="33">
        <v>52</v>
      </c>
    </row>
    <row r="3166" spans="1:7">
      <c r="A3166" t="s">
        <v>22</v>
      </c>
      <c r="B3166" t="s">
        <v>205</v>
      </c>
      <c r="C3166" s="32">
        <v>591.35</v>
      </c>
      <c r="D3166" s="33">
        <v>6</v>
      </c>
      <c r="E3166" t="s">
        <v>143</v>
      </c>
      <c r="F3166" t="s">
        <v>93</v>
      </c>
      <c r="G3166" s="33">
        <v>52</v>
      </c>
    </row>
    <row r="3167" spans="1:7">
      <c r="A3167" t="s">
        <v>22</v>
      </c>
      <c r="B3167" t="s">
        <v>205</v>
      </c>
      <c r="C3167" s="32">
        <v>591.41999999999996</v>
      </c>
      <c r="D3167" s="33">
        <v>7</v>
      </c>
      <c r="E3167" t="s">
        <v>144</v>
      </c>
      <c r="F3167" t="s">
        <v>90</v>
      </c>
      <c r="G3167" s="33">
        <v>52</v>
      </c>
    </row>
    <row r="3168" spans="1:7">
      <c r="A3168" t="s">
        <v>22</v>
      </c>
      <c r="B3168" t="s">
        <v>205</v>
      </c>
      <c r="C3168" s="32">
        <v>591.49</v>
      </c>
      <c r="D3168" s="33">
        <v>8</v>
      </c>
      <c r="E3168" t="s">
        <v>145</v>
      </c>
      <c r="F3168" t="s">
        <v>93</v>
      </c>
      <c r="G3168" s="33">
        <v>52</v>
      </c>
    </row>
    <row r="3169" spans="1:7">
      <c r="A3169" t="s">
        <v>22</v>
      </c>
      <c r="B3169" t="s">
        <v>205</v>
      </c>
      <c r="C3169" s="32">
        <v>591.55999999999995</v>
      </c>
      <c r="D3169" s="33">
        <v>9</v>
      </c>
      <c r="E3169" t="s">
        <v>146</v>
      </c>
      <c r="F3169" t="s">
        <v>90</v>
      </c>
      <c r="G3169" s="33">
        <v>52</v>
      </c>
    </row>
    <row r="3170" spans="1:7">
      <c r="A3170" t="s">
        <v>22</v>
      </c>
      <c r="B3170" t="s">
        <v>205</v>
      </c>
      <c r="C3170" s="32">
        <v>591.63</v>
      </c>
      <c r="D3170" s="33">
        <v>10</v>
      </c>
      <c r="E3170" t="s">
        <v>148</v>
      </c>
      <c r="F3170" t="s">
        <v>90</v>
      </c>
      <c r="G3170" s="33">
        <v>52</v>
      </c>
    </row>
    <row r="3171" spans="1:7">
      <c r="A3171" t="s">
        <v>22</v>
      </c>
      <c r="B3171" t="s">
        <v>205</v>
      </c>
      <c r="C3171" s="32">
        <v>591.70000000000005</v>
      </c>
      <c r="D3171" s="33">
        <v>11</v>
      </c>
      <c r="E3171" t="s">
        <v>149</v>
      </c>
      <c r="F3171" t="s">
        <v>96</v>
      </c>
      <c r="G3171" s="33">
        <v>52</v>
      </c>
    </row>
    <row r="3172" spans="1:7">
      <c r="A3172" t="s">
        <v>22</v>
      </c>
      <c r="B3172" t="s">
        <v>205</v>
      </c>
      <c r="C3172" s="32">
        <v>591.77</v>
      </c>
      <c r="D3172" s="33">
        <v>12</v>
      </c>
      <c r="E3172" t="s">
        <v>150</v>
      </c>
      <c r="F3172" t="s">
        <v>90</v>
      </c>
      <c r="G3172" s="33">
        <v>52</v>
      </c>
    </row>
    <row r="3173" spans="1:7">
      <c r="A3173" t="s">
        <v>22</v>
      </c>
      <c r="B3173" t="s">
        <v>205</v>
      </c>
      <c r="C3173" s="32">
        <v>591.84</v>
      </c>
      <c r="D3173" s="33">
        <v>13</v>
      </c>
      <c r="E3173" t="s">
        <v>151</v>
      </c>
      <c r="F3173" t="s">
        <v>93</v>
      </c>
      <c r="G3173" s="33">
        <v>52</v>
      </c>
    </row>
    <row r="3174" spans="1:7">
      <c r="A3174" t="s">
        <v>22</v>
      </c>
      <c r="B3174" t="s">
        <v>205</v>
      </c>
      <c r="C3174" s="32">
        <v>591.91</v>
      </c>
      <c r="D3174" s="33">
        <v>14</v>
      </c>
      <c r="E3174" t="s">
        <v>152</v>
      </c>
      <c r="F3174" t="s">
        <v>102</v>
      </c>
      <c r="G3174" s="33">
        <v>52</v>
      </c>
    </row>
    <row r="3175" spans="1:7">
      <c r="A3175" t="s">
        <v>22</v>
      </c>
      <c r="B3175" t="s">
        <v>205</v>
      </c>
      <c r="C3175" s="32">
        <v>591.98</v>
      </c>
      <c r="D3175" s="33">
        <v>15</v>
      </c>
      <c r="E3175" t="s">
        <v>153</v>
      </c>
      <c r="F3175" t="s">
        <v>93</v>
      </c>
      <c r="G3175" s="33">
        <v>52</v>
      </c>
    </row>
    <row r="3176" spans="1:7">
      <c r="A3176" t="s">
        <v>22</v>
      </c>
      <c r="B3176" t="s">
        <v>205</v>
      </c>
      <c r="C3176" s="32">
        <v>592.04999999999995</v>
      </c>
      <c r="D3176" s="33">
        <v>16</v>
      </c>
      <c r="E3176" t="s">
        <v>120</v>
      </c>
      <c r="F3176" t="s">
        <v>90</v>
      </c>
      <c r="G3176" s="33">
        <v>52</v>
      </c>
    </row>
    <row r="3177" spans="1:7">
      <c r="A3177" t="s">
        <v>22</v>
      </c>
      <c r="B3177" t="s">
        <v>205</v>
      </c>
      <c r="C3177" s="32">
        <v>592.12</v>
      </c>
      <c r="D3177" s="33">
        <v>17</v>
      </c>
      <c r="E3177" t="s">
        <v>115</v>
      </c>
      <c r="F3177" t="s">
        <v>96</v>
      </c>
      <c r="G3177" s="33">
        <v>52</v>
      </c>
    </row>
    <row r="3178" spans="1:7">
      <c r="A3178" t="s">
        <v>22</v>
      </c>
      <c r="B3178" t="s">
        <v>205</v>
      </c>
      <c r="C3178" s="32">
        <v>592.19000000000005</v>
      </c>
      <c r="D3178" s="33">
        <v>18</v>
      </c>
      <c r="E3178" t="s">
        <v>116</v>
      </c>
      <c r="F3178" t="s">
        <v>90</v>
      </c>
      <c r="G3178" s="33">
        <v>52</v>
      </c>
    </row>
    <row r="3179" spans="1:7">
      <c r="A3179" t="s">
        <v>22</v>
      </c>
      <c r="B3179" t="s">
        <v>205</v>
      </c>
      <c r="C3179" s="32">
        <v>592.26</v>
      </c>
      <c r="D3179" s="33">
        <v>19</v>
      </c>
      <c r="E3179" t="s">
        <v>117</v>
      </c>
      <c r="F3179" t="s">
        <v>93</v>
      </c>
      <c r="G3179" s="33">
        <v>52</v>
      </c>
    </row>
    <row r="3180" spans="1:7">
      <c r="A3180" t="s">
        <v>22</v>
      </c>
      <c r="B3180" t="s">
        <v>205</v>
      </c>
      <c r="C3180" s="32">
        <v>592.33000000000004</v>
      </c>
      <c r="D3180" s="33">
        <v>20</v>
      </c>
      <c r="E3180" t="s">
        <v>118</v>
      </c>
      <c r="F3180" t="s">
        <v>90</v>
      </c>
      <c r="G3180" s="33">
        <v>52</v>
      </c>
    </row>
    <row r="3181" spans="1:7">
      <c r="A3181" t="s">
        <v>22</v>
      </c>
      <c r="B3181" t="s">
        <v>205</v>
      </c>
      <c r="C3181" s="32">
        <v>592.4</v>
      </c>
      <c r="D3181" s="33">
        <v>21</v>
      </c>
      <c r="E3181" t="s">
        <v>122</v>
      </c>
      <c r="F3181" t="s">
        <v>90</v>
      </c>
      <c r="G3181" s="33">
        <v>52</v>
      </c>
    </row>
    <row r="3182" spans="1:7">
      <c r="A3182" t="s">
        <v>22</v>
      </c>
      <c r="B3182" t="s">
        <v>205</v>
      </c>
      <c r="C3182" s="32">
        <v>592.47</v>
      </c>
      <c r="D3182" s="33">
        <v>22</v>
      </c>
      <c r="E3182" t="s">
        <v>124</v>
      </c>
      <c r="F3182" t="s">
        <v>93</v>
      </c>
      <c r="G3182" s="33">
        <v>52</v>
      </c>
    </row>
    <row r="3183" spans="1:7">
      <c r="A3183" t="s">
        <v>22</v>
      </c>
      <c r="B3183" t="s">
        <v>205</v>
      </c>
      <c r="C3183" s="32">
        <v>592.54</v>
      </c>
      <c r="D3183" s="33">
        <v>23</v>
      </c>
      <c r="E3183" t="s">
        <v>125</v>
      </c>
      <c r="F3183" t="s">
        <v>90</v>
      </c>
      <c r="G3183" s="33">
        <v>52</v>
      </c>
    </row>
    <row r="3184" spans="1:7">
      <c r="A3184" t="s">
        <v>22</v>
      </c>
      <c r="B3184" t="s">
        <v>205</v>
      </c>
      <c r="C3184" s="32">
        <v>592.61</v>
      </c>
      <c r="D3184" s="33">
        <v>24</v>
      </c>
      <c r="E3184" t="s">
        <v>127</v>
      </c>
      <c r="F3184" t="s">
        <v>96</v>
      </c>
      <c r="G3184" s="33">
        <v>52</v>
      </c>
    </row>
    <row r="3185" spans="1:7">
      <c r="A3185" t="s">
        <v>22</v>
      </c>
      <c r="B3185" t="s">
        <v>205</v>
      </c>
      <c r="C3185" s="32">
        <v>592.67999999999995</v>
      </c>
      <c r="D3185" s="33">
        <v>25</v>
      </c>
      <c r="E3185" t="s">
        <v>128</v>
      </c>
      <c r="F3185" t="s">
        <v>90</v>
      </c>
      <c r="G3185" s="33">
        <v>52</v>
      </c>
    </row>
    <row r="3186" spans="1:7">
      <c r="A3186" t="s">
        <v>22</v>
      </c>
      <c r="B3186" t="s">
        <v>205</v>
      </c>
      <c r="C3186" s="32">
        <v>592.75</v>
      </c>
      <c r="D3186" s="33">
        <v>26</v>
      </c>
      <c r="E3186" t="s">
        <v>129</v>
      </c>
      <c r="F3186" t="s">
        <v>93</v>
      </c>
      <c r="G3186" s="33">
        <v>52</v>
      </c>
    </row>
    <row r="3187" spans="1:7">
      <c r="A3187" t="s">
        <v>22</v>
      </c>
      <c r="B3187" t="s">
        <v>205</v>
      </c>
      <c r="C3187" s="32">
        <v>592.82000000000005</v>
      </c>
      <c r="D3187" s="33">
        <v>27</v>
      </c>
      <c r="E3187" t="s">
        <v>130</v>
      </c>
      <c r="F3187" t="s">
        <v>90</v>
      </c>
      <c r="G3187" s="33">
        <v>52</v>
      </c>
    </row>
    <row r="3188" spans="1:7">
      <c r="A3188" t="s">
        <v>22</v>
      </c>
      <c r="B3188" t="s">
        <v>205</v>
      </c>
      <c r="C3188" s="32">
        <v>592.89</v>
      </c>
      <c r="D3188" s="33">
        <v>28</v>
      </c>
      <c r="E3188" t="s">
        <v>131</v>
      </c>
      <c r="F3188" t="s">
        <v>102</v>
      </c>
      <c r="G3188" s="33">
        <v>52</v>
      </c>
    </row>
    <row r="3189" spans="1:7">
      <c r="A3189" t="s">
        <v>22</v>
      </c>
      <c r="B3189" t="s">
        <v>205</v>
      </c>
      <c r="C3189" s="32">
        <v>592.96</v>
      </c>
      <c r="D3189" s="33">
        <v>29</v>
      </c>
      <c r="E3189" t="s">
        <v>133</v>
      </c>
      <c r="F3189" t="s">
        <v>93</v>
      </c>
      <c r="G3189" s="33">
        <v>52</v>
      </c>
    </row>
    <row r="3190" spans="1:7">
      <c r="A3190" t="s">
        <v>22</v>
      </c>
      <c r="B3190" t="s">
        <v>205</v>
      </c>
      <c r="C3190" s="32">
        <v>593.03</v>
      </c>
      <c r="D3190" s="33">
        <v>30</v>
      </c>
      <c r="E3190" t="s">
        <v>134</v>
      </c>
      <c r="F3190" t="s">
        <v>90</v>
      </c>
      <c r="G3190" s="33">
        <v>52</v>
      </c>
    </row>
    <row r="3191" spans="1:7">
      <c r="A3191" t="s">
        <v>22</v>
      </c>
      <c r="B3191" t="s">
        <v>205</v>
      </c>
      <c r="C3191" s="32">
        <v>593.1</v>
      </c>
      <c r="D3191" s="33">
        <v>31</v>
      </c>
      <c r="E3191" t="s">
        <v>135</v>
      </c>
      <c r="F3191" t="s">
        <v>96</v>
      </c>
      <c r="G3191" s="33">
        <v>52</v>
      </c>
    </row>
    <row r="3192" spans="1:7">
      <c r="A3192" t="s">
        <v>22</v>
      </c>
      <c r="B3192" t="s">
        <v>205</v>
      </c>
      <c r="C3192" s="32">
        <v>593.16999999999996</v>
      </c>
      <c r="D3192" s="33">
        <v>32</v>
      </c>
      <c r="E3192" t="s">
        <v>136</v>
      </c>
      <c r="F3192" t="s">
        <v>93</v>
      </c>
      <c r="G3192" s="33">
        <v>52</v>
      </c>
    </row>
    <row r="3193" spans="1:7">
      <c r="A3193" t="s">
        <v>22</v>
      </c>
      <c r="B3193" t="s">
        <v>205</v>
      </c>
      <c r="C3193" s="32">
        <v>593.24</v>
      </c>
      <c r="D3193" s="33">
        <v>33</v>
      </c>
      <c r="E3193" t="s">
        <v>137</v>
      </c>
      <c r="F3193" t="s">
        <v>90</v>
      </c>
      <c r="G3193" s="33">
        <v>52</v>
      </c>
    </row>
    <row r="3194" spans="1:7">
      <c r="A3194" t="s">
        <v>22</v>
      </c>
      <c r="B3194" t="s">
        <v>205</v>
      </c>
      <c r="C3194" s="32">
        <v>593.30999999999995</v>
      </c>
      <c r="D3194" s="33">
        <v>34</v>
      </c>
      <c r="E3194" t="s">
        <v>138</v>
      </c>
      <c r="F3194" t="s">
        <v>90</v>
      </c>
      <c r="G3194" s="33">
        <v>52</v>
      </c>
    </row>
    <row r="3195" spans="1:7">
      <c r="A3195" t="s">
        <v>22</v>
      </c>
      <c r="B3195" t="s">
        <v>205</v>
      </c>
      <c r="C3195" s="32">
        <v>593.38</v>
      </c>
      <c r="D3195" s="33">
        <v>35</v>
      </c>
      <c r="E3195" t="s">
        <v>140</v>
      </c>
      <c r="F3195" t="s">
        <v>93</v>
      </c>
      <c r="G3195" s="33">
        <v>52</v>
      </c>
    </row>
    <row r="3196" spans="1:7">
      <c r="A3196" t="s">
        <v>22</v>
      </c>
      <c r="B3196" t="s">
        <v>205</v>
      </c>
      <c r="C3196" s="32">
        <v>593.45000000000005</v>
      </c>
      <c r="D3196" s="33">
        <v>36</v>
      </c>
      <c r="E3196" t="s">
        <v>141</v>
      </c>
      <c r="F3196" t="s">
        <v>90</v>
      </c>
      <c r="G3196" s="33">
        <v>52</v>
      </c>
    </row>
    <row r="3197" spans="1:7">
      <c r="A3197" t="s">
        <v>22</v>
      </c>
      <c r="B3197" t="s">
        <v>205</v>
      </c>
      <c r="C3197" s="32">
        <v>593.52</v>
      </c>
      <c r="D3197" s="33">
        <v>37</v>
      </c>
      <c r="E3197" t="s">
        <v>142</v>
      </c>
      <c r="F3197" t="s">
        <v>96</v>
      </c>
      <c r="G3197" s="33">
        <v>52</v>
      </c>
    </row>
    <row r="3198" spans="1:7">
      <c r="A3198" t="s">
        <v>22</v>
      </c>
      <c r="B3198" t="s">
        <v>205</v>
      </c>
      <c r="C3198" s="32">
        <v>593.59</v>
      </c>
      <c r="D3198" s="33">
        <v>38</v>
      </c>
      <c r="E3198" t="s">
        <v>143</v>
      </c>
      <c r="F3198" t="s">
        <v>90</v>
      </c>
      <c r="G3198" s="33">
        <v>52</v>
      </c>
    </row>
    <row r="3199" spans="1:7">
      <c r="A3199" t="s">
        <v>22</v>
      </c>
      <c r="B3199" t="s">
        <v>205</v>
      </c>
      <c r="C3199" s="32">
        <v>593.66</v>
      </c>
      <c r="D3199" s="33">
        <v>39</v>
      </c>
      <c r="E3199" t="s">
        <v>144</v>
      </c>
      <c r="F3199" t="s">
        <v>93</v>
      </c>
      <c r="G3199" s="33">
        <v>52</v>
      </c>
    </row>
    <row r="3200" spans="1:7">
      <c r="A3200" t="s">
        <v>22</v>
      </c>
      <c r="B3200" t="s">
        <v>205</v>
      </c>
      <c r="C3200" s="32">
        <v>593.73</v>
      </c>
      <c r="D3200" s="33">
        <v>40</v>
      </c>
      <c r="E3200" t="s">
        <v>145</v>
      </c>
      <c r="F3200" t="s">
        <v>90</v>
      </c>
      <c r="G3200" s="33">
        <v>52</v>
      </c>
    </row>
    <row r="3201" spans="1:7">
      <c r="A3201" t="s">
        <v>22</v>
      </c>
      <c r="B3201" t="s">
        <v>205</v>
      </c>
      <c r="C3201" s="32">
        <v>593.79999999999995</v>
      </c>
      <c r="D3201" s="33">
        <v>41</v>
      </c>
      <c r="E3201" t="s">
        <v>146</v>
      </c>
      <c r="F3201" t="s">
        <v>90</v>
      </c>
      <c r="G3201" s="33">
        <v>52</v>
      </c>
    </row>
    <row r="3202" spans="1:7">
      <c r="A3202" t="s">
        <v>22</v>
      </c>
      <c r="B3202" t="s">
        <v>205</v>
      </c>
      <c r="C3202" s="32">
        <v>593.87</v>
      </c>
      <c r="D3202" s="33">
        <v>42</v>
      </c>
      <c r="E3202" t="s">
        <v>148</v>
      </c>
      <c r="F3202" t="s">
        <v>93</v>
      </c>
      <c r="G3202" s="33">
        <v>52</v>
      </c>
    </row>
    <row r="3203" spans="1:7">
      <c r="A3203" t="s">
        <v>22</v>
      </c>
      <c r="B3203" t="s">
        <v>205</v>
      </c>
      <c r="C3203" s="32">
        <v>593.94000000000005</v>
      </c>
      <c r="D3203" s="33">
        <v>43</v>
      </c>
      <c r="E3203" t="s">
        <v>149</v>
      </c>
      <c r="F3203" t="s">
        <v>102</v>
      </c>
      <c r="G3203" s="33">
        <v>52</v>
      </c>
    </row>
    <row r="3204" spans="1:7">
      <c r="A3204" t="s">
        <v>22</v>
      </c>
      <c r="B3204" t="s">
        <v>205</v>
      </c>
      <c r="C3204" s="32">
        <v>594.01</v>
      </c>
      <c r="D3204" s="33">
        <v>44</v>
      </c>
      <c r="E3204" t="s">
        <v>150</v>
      </c>
      <c r="F3204" t="s">
        <v>96</v>
      </c>
      <c r="G3204" s="33">
        <v>52</v>
      </c>
    </row>
    <row r="3205" spans="1:7">
      <c r="A3205" t="s">
        <v>22</v>
      </c>
      <c r="B3205" t="s">
        <v>205</v>
      </c>
      <c r="C3205" s="32">
        <v>594.08000000000004</v>
      </c>
      <c r="D3205" s="33">
        <v>45</v>
      </c>
      <c r="E3205" t="s">
        <v>151</v>
      </c>
      <c r="F3205" t="s">
        <v>90</v>
      </c>
      <c r="G3205" s="33">
        <v>52</v>
      </c>
    </row>
    <row r="3206" spans="1:7">
      <c r="A3206" t="s">
        <v>22</v>
      </c>
      <c r="B3206" t="s">
        <v>205</v>
      </c>
      <c r="C3206" s="32">
        <v>594.15</v>
      </c>
      <c r="D3206" s="33">
        <v>46</v>
      </c>
      <c r="E3206" t="s">
        <v>152</v>
      </c>
      <c r="F3206" t="s">
        <v>93</v>
      </c>
      <c r="G3206" s="33">
        <v>52</v>
      </c>
    </row>
    <row r="3207" spans="1:7">
      <c r="A3207" t="s">
        <v>22</v>
      </c>
      <c r="B3207" t="s">
        <v>205</v>
      </c>
      <c r="C3207" s="32">
        <v>594.22</v>
      </c>
      <c r="D3207" s="33">
        <v>47</v>
      </c>
      <c r="E3207" t="s">
        <v>153</v>
      </c>
      <c r="F3207" t="s">
        <v>90</v>
      </c>
      <c r="G3207" s="33">
        <v>52</v>
      </c>
    </row>
    <row r="3208" spans="1:7">
      <c r="A3208" t="s">
        <v>22</v>
      </c>
      <c r="B3208" t="s">
        <v>205</v>
      </c>
      <c r="C3208" s="32">
        <v>594.29</v>
      </c>
      <c r="D3208" s="33">
        <v>48</v>
      </c>
      <c r="E3208" t="s">
        <v>120</v>
      </c>
      <c r="F3208" t="s">
        <v>106</v>
      </c>
      <c r="G3208" s="33">
        <v>52</v>
      </c>
    </row>
    <row r="3209" spans="1:7">
      <c r="A3209" t="s">
        <v>22</v>
      </c>
      <c r="B3209" t="s">
        <v>205</v>
      </c>
      <c r="C3209" s="32">
        <v>594.36</v>
      </c>
      <c r="D3209" s="33">
        <v>49</v>
      </c>
      <c r="E3209" t="s">
        <v>115</v>
      </c>
      <c r="F3209" t="s">
        <v>90</v>
      </c>
      <c r="G3209" s="33">
        <v>52</v>
      </c>
    </row>
    <row r="3210" spans="1:7">
      <c r="A3210" t="s">
        <v>22</v>
      </c>
      <c r="B3210" t="s">
        <v>205</v>
      </c>
      <c r="C3210" s="32">
        <v>594.42999999999995</v>
      </c>
      <c r="D3210" s="33">
        <v>50</v>
      </c>
      <c r="E3210" t="s">
        <v>116</v>
      </c>
      <c r="F3210" t="s">
        <v>93</v>
      </c>
      <c r="G3210" s="33">
        <v>52</v>
      </c>
    </row>
    <row r="3211" spans="1:7">
      <c r="A3211" t="s">
        <v>22</v>
      </c>
      <c r="B3211" t="s">
        <v>205</v>
      </c>
      <c r="C3211" s="32">
        <v>594.5</v>
      </c>
      <c r="D3211" s="33">
        <v>51</v>
      </c>
      <c r="E3211" t="s">
        <v>117</v>
      </c>
      <c r="F3211" t="s">
        <v>90</v>
      </c>
      <c r="G3211" s="33">
        <v>52</v>
      </c>
    </row>
    <row r="3212" spans="1:7">
      <c r="A3212" t="s">
        <v>22</v>
      </c>
      <c r="B3212" t="s">
        <v>205</v>
      </c>
      <c r="C3212" s="32">
        <v>594.57000000000005</v>
      </c>
      <c r="D3212" s="33">
        <v>52</v>
      </c>
      <c r="E3212" t="s">
        <v>118</v>
      </c>
      <c r="F3212" t="s">
        <v>96</v>
      </c>
      <c r="G3212" s="33">
        <v>52</v>
      </c>
    </row>
    <row r="3213" spans="1:7">
      <c r="A3213" t="s">
        <v>22</v>
      </c>
      <c r="B3213" t="s">
        <v>205</v>
      </c>
      <c r="C3213" s="32">
        <v>594.64</v>
      </c>
      <c r="D3213" s="33">
        <v>53</v>
      </c>
      <c r="E3213" t="s">
        <v>122</v>
      </c>
      <c r="F3213" t="s">
        <v>90</v>
      </c>
      <c r="G3213" s="33">
        <v>52</v>
      </c>
    </row>
    <row r="3214" spans="1:7">
      <c r="A3214" t="s">
        <v>22</v>
      </c>
      <c r="B3214" t="s">
        <v>205</v>
      </c>
      <c r="C3214" s="32">
        <v>594.71</v>
      </c>
      <c r="D3214" s="33">
        <v>54</v>
      </c>
      <c r="E3214" t="s">
        <v>124</v>
      </c>
      <c r="F3214" t="s">
        <v>93</v>
      </c>
      <c r="G3214" s="33">
        <v>52</v>
      </c>
    </row>
    <row r="3215" spans="1:7">
      <c r="A3215" t="s">
        <v>22</v>
      </c>
      <c r="B3215" t="s">
        <v>205</v>
      </c>
      <c r="C3215" s="32">
        <v>594.78</v>
      </c>
      <c r="D3215" s="33">
        <v>55</v>
      </c>
      <c r="E3215" t="s">
        <v>125</v>
      </c>
      <c r="F3215" t="s">
        <v>90</v>
      </c>
      <c r="G3215" s="33">
        <v>52</v>
      </c>
    </row>
    <row r="3216" spans="1:7">
      <c r="A3216" t="s">
        <v>22</v>
      </c>
      <c r="B3216" t="s">
        <v>205</v>
      </c>
      <c r="C3216" s="32">
        <v>594.85</v>
      </c>
      <c r="D3216" s="33">
        <v>56</v>
      </c>
      <c r="E3216" t="s">
        <v>127</v>
      </c>
      <c r="F3216" t="s">
        <v>90</v>
      </c>
      <c r="G3216" s="33">
        <v>52</v>
      </c>
    </row>
    <row r="3217" spans="1:7">
      <c r="A3217" t="s">
        <v>22</v>
      </c>
      <c r="B3217" t="s">
        <v>205</v>
      </c>
      <c r="C3217" s="32">
        <v>594.91999999999996</v>
      </c>
      <c r="D3217" s="33">
        <v>57</v>
      </c>
      <c r="E3217" t="s">
        <v>128</v>
      </c>
      <c r="F3217" t="s">
        <v>93</v>
      </c>
      <c r="G3217" s="33">
        <v>52</v>
      </c>
    </row>
    <row r="3218" spans="1:7">
      <c r="A3218" t="s">
        <v>22</v>
      </c>
      <c r="B3218" t="s">
        <v>205</v>
      </c>
      <c r="C3218" s="32">
        <v>594.99</v>
      </c>
      <c r="D3218" s="33">
        <v>58</v>
      </c>
      <c r="E3218" t="s">
        <v>129</v>
      </c>
      <c r="F3218" t="s">
        <v>102</v>
      </c>
      <c r="G3218" s="33">
        <v>52</v>
      </c>
    </row>
    <row r="3219" spans="1:7">
      <c r="A3219" t="s">
        <v>22</v>
      </c>
      <c r="B3219" t="s">
        <v>205</v>
      </c>
      <c r="C3219" s="32">
        <v>595.05999999999995</v>
      </c>
      <c r="D3219" s="33">
        <v>59</v>
      </c>
      <c r="E3219" t="s">
        <v>130</v>
      </c>
      <c r="F3219" t="s">
        <v>93</v>
      </c>
      <c r="G3219" s="33">
        <v>52</v>
      </c>
    </row>
    <row r="3220" spans="1:7">
      <c r="A3220" t="s">
        <v>22</v>
      </c>
      <c r="B3220" t="s">
        <v>205</v>
      </c>
      <c r="C3220" s="32">
        <v>595.13</v>
      </c>
      <c r="D3220" s="33">
        <v>60</v>
      </c>
      <c r="E3220" t="s">
        <v>131</v>
      </c>
      <c r="F3220" t="s">
        <v>90</v>
      </c>
      <c r="G3220" s="33">
        <v>52</v>
      </c>
    </row>
    <row r="3221" spans="1:7">
      <c r="A3221" t="s">
        <v>22</v>
      </c>
      <c r="B3221" t="s">
        <v>205</v>
      </c>
      <c r="C3221" s="32">
        <v>595.20000000000005</v>
      </c>
      <c r="D3221" s="33">
        <v>61</v>
      </c>
      <c r="E3221" t="s">
        <v>133</v>
      </c>
      <c r="F3221" t="s">
        <v>96</v>
      </c>
      <c r="G3221" s="33">
        <v>52</v>
      </c>
    </row>
    <row r="3222" spans="1:7">
      <c r="A3222" t="s">
        <v>22</v>
      </c>
      <c r="B3222" t="s">
        <v>205</v>
      </c>
      <c r="C3222" s="32">
        <v>595.27</v>
      </c>
      <c r="D3222" s="33">
        <v>62</v>
      </c>
      <c r="E3222" t="s">
        <v>134</v>
      </c>
      <c r="F3222" t="s">
        <v>90</v>
      </c>
      <c r="G3222" s="33">
        <v>52</v>
      </c>
    </row>
    <row r="3223" spans="1:7">
      <c r="A3223" t="s">
        <v>22</v>
      </c>
      <c r="B3223" t="s">
        <v>205</v>
      </c>
      <c r="C3223" s="32">
        <v>595.33000000000004</v>
      </c>
      <c r="D3223" s="33">
        <v>63</v>
      </c>
      <c r="E3223" t="s">
        <v>135</v>
      </c>
      <c r="F3223" t="s">
        <v>93</v>
      </c>
      <c r="G3223" s="33">
        <v>52</v>
      </c>
    </row>
    <row r="3224" spans="1:7">
      <c r="A3224" t="s">
        <v>22</v>
      </c>
      <c r="B3224" t="s">
        <v>205</v>
      </c>
      <c r="C3224" s="32">
        <v>595.4</v>
      </c>
      <c r="D3224" s="33">
        <v>64</v>
      </c>
      <c r="E3224" t="s">
        <v>136</v>
      </c>
      <c r="F3224" t="s">
        <v>90</v>
      </c>
      <c r="G3224" s="33">
        <v>52</v>
      </c>
    </row>
    <row r="3225" spans="1:7">
      <c r="A3225" t="s">
        <v>22</v>
      </c>
      <c r="B3225" t="s">
        <v>205</v>
      </c>
      <c r="C3225" s="32">
        <v>595.47</v>
      </c>
      <c r="D3225" s="33">
        <v>65</v>
      </c>
      <c r="E3225" t="s">
        <v>137</v>
      </c>
      <c r="F3225" t="s">
        <v>90</v>
      </c>
      <c r="G3225" s="33">
        <v>52</v>
      </c>
    </row>
    <row r="3226" spans="1:7">
      <c r="A3226" t="s">
        <v>22</v>
      </c>
      <c r="B3226" t="s">
        <v>205</v>
      </c>
      <c r="C3226" s="32">
        <v>595.54</v>
      </c>
      <c r="D3226" s="33">
        <v>66</v>
      </c>
      <c r="E3226" t="s">
        <v>138</v>
      </c>
      <c r="F3226" t="s">
        <v>93</v>
      </c>
      <c r="G3226" s="33">
        <v>52</v>
      </c>
    </row>
    <row r="3227" spans="1:7">
      <c r="A3227" t="s">
        <v>22</v>
      </c>
      <c r="B3227" t="s">
        <v>205</v>
      </c>
      <c r="C3227" s="32">
        <v>595.61</v>
      </c>
      <c r="D3227" s="33">
        <v>67</v>
      </c>
      <c r="E3227" t="s">
        <v>140</v>
      </c>
      <c r="F3227" t="s">
        <v>90</v>
      </c>
      <c r="G3227" s="33">
        <v>52</v>
      </c>
    </row>
    <row r="3228" spans="1:7">
      <c r="A3228" t="s">
        <v>22</v>
      </c>
      <c r="B3228" t="s">
        <v>205</v>
      </c>
      <c r="C3228" s="32">
        <v>595.67999999999995</v>
      </c>
      <c r="D3228" s="33">
        <v>68</v>
      </c>
      <c r="E3228" t="s">
        <v>141</v>
      </c>
      <c r="F3228" t="s">
        <v>96</v>
      </c>
      <c r="G3228" s="33">
        <v>52</v>
      </c>
    </row>
    <row r="3229" spans="1:7">
      <c r="A3229" t="s">
        <v>22</v>
      </c>
      <c r="B3229" t="s">
        <v>205</v>
      </c>
      <c r="C3229" s="32">
        <v>595.75</v>
      </c>
      <c r="D3229" s="33">
        <v>69</v>
      </c>
      <c r="E3229" t="s">
        <v>142</v>
      </c>
      <c r="F3229" t="s">
        <v>90</v>
      </c>
      <c r="G3229" s="33">
        <v>52</v>
      </c>
    </row>
    <row r="3230" spans="1:7">
      <c r="A3230" t="s">
        <v>22</v>
      </c>
      <c r="B3230" t="s">
        <v>205</v>
      </c>
      <c r="C3230" s="32">
        <v>595.82000000000005</v>
      </c>
      <c r="D3230" s="33">
        <v>70</v>
      </c>
      <c r="E3230" t="s">
        <v>143</v>
      </c>
      <c r="F3230" t="s">
        <v>93</v>
      </c>
      <c r="G3230" s="33">
        <v>52</v>
      </c>
    </row>
    <row r="3231" spans="1:7">
      <c r="A3231" t="s">
        <v>22</v>
      </c>
      <c r="B3231" t="s">
        <v>205</v>
      </c>
      <c r="C3231" s="32">
        <v>595.89</v>
      </c>
      <c r="D3231" s="33">
        <v>71</v>
      </c>
      <c r="E3231" t="s">
        <v>144</v>
      </c>
      <c r="F3231" t="s">
        <v>90</v>
      </c>
      <c r="G3231" s="33">
        <v>52</v>
      </c>
    </row>
    <row r="3232" spans="1:7">
      <c r="A3232" t="s">
        <v>22</v>
      </c>
      <c r="B3232" t="s">
        <v>205</v>
      </c>
      <c r="C3232" s="32">
        <v>595.96</v>
      </c>
      <c r="D3232" s="33">
        <v>72</v>
      </c>
      <c r="E3232" t="s">
        <v>145</v>
      </c>
      <c r="F3232" t="s">
        <v>102</v>
      </c>
      <c r="G3232" s="33">
        <v>52</v>
      </c>
    </row>
    <row r="3233" spans="1:7">
      <c r="A3233" t="s">
        <v>22</v>
      </c>
      <c r="B3233" t="s">
        <v>205</v>
      </c>
      <c r="C3233" s="32">
        <v>596.03</v>
      </c>
      <c r="D3233" s="33">
        <v>73</v>
      </c>
      <c r="E3233" t="s">
        <v>146</v>
      </c>
      <c r="F3233" t="s">
        <v>93</v>
      </c>
      <c r="G3233" s="33">
        <v>52</v>
      </c>
    </row>
    <row r="3234" spans="1:7">
      <c r="A3234" t="s">
        <v>22</v>
      </c>
      <c r="B3234" t="s">
        <v>205</v>
      </c>
      <c r="C3234" s="32">
        <v>596.1</v>
      </c>
      <c r="D3234" s="33">
        <v>74</v>
      </c>
      <c r="E3234" t="s">
        <v>148</v>
      </c>
      <c r="F3234" t="s">
        <v>96</v>
      </c>
      <c r="G3234" s="33">
        <v>52</v>
      </c>
    </row>
    <row r="3235" spans="1:7">
      <c r="A3235" t="s">
        <v>22</v>
      </c>
      <c r="B3235" t="s">
        <v>205</v>
      </c>
      <c r="C3235" s="32">
        <v>596.16999999999996</v>
      </c>
      <c r="D3235" s="33">
        <v>75</v>
      </c>
      <c r="E3235" t="s">
        <v>149</v>
      </c>
      <c r="F3235" t="s">
        <v>90</v>
      </c>
      <c r="G3235" s="33">
        <v>52</v>
      </c>
    </row>
    <row r="3236" spans="1:7">
      <c r="A3236" t="s">
        <v>22</v>
      </c>
      <c r="B3236" t="s">
        <v>205</v>
      </c>
      <c r="C3236" s="32">
        <v>596.24</v>
      </c>
      <c r="D3236" s="33">
        <v>76</v>
      </c>
      <c r="E3236" t="s">
        <v>150</v>
      </c>
      <c r="F3236" t="s">
        <v>90</v>
      </c>
      <c r="G3236" s="33">
        <v>52</v>
      </c>
    </row>
    <row r="3237" spans="1:7">
      <c r="A3237" t="s">
        <v>22</v>
      </c>
      <c r="B3237" t="s">
        <v>205</v>
      </c>
      <c r="C3237" s="32">
        <v>596.30999999999995</v>
      </c>
      <c r="D3237" s="33">
        <v>77</v>
      </c>
      <c r="E3237" t="s">
        <v>151</v>
      </c>
      <c r="F3237" t="s">
        <v>93</v>
      </c>
      <c r="G3237" s="33">
        <v>52</v>
      </c>
    </row>
    <row r="3238" spans="1:7">
      <c r="A3238" t="s">
        <v>22</v>
      </c>
      <c r="B3238" t="s">
        <v>205</v>
      </c>
      <c r="C3238" s="32">
        <v>596.38</v>
      </c>
      <c r="D3238" s="33">
        <v>78</v>
      </c>
      <c r="E3238" t="s">
        <v>152</v>
      </c>
      <c r="F3238" t="s">
        <v>90</v>
      </c>
      <c r="G3238" s="33">
        <v>52</v>
      </c>
    </row>
    <row r="3239" spans="1:7">
      <c r="A3239" t="s">
        <v>22</v>
      </c>
      <c r="B3239" t="s">
        <v>205</v>
      </c>
      <c r="C3239" s="32">
        <v>596.45000000000005</v>
      </c>
      <c r="D3239" s="33">
        <v>79</v>
      </c>
      <c r="E3239" t="s">
        <v>153</v>
      </c>
      <c r="F3239" t="s">
        <v>93</v>
      </c>
      <c r="G3239" s="33">
        <v>52</v>
      </c>
    </row>
    <row r="3240" spans="1:7">
      <c r="A3240" t="s">
        <v>22</v>
      </c>
      <c r="B3240" t="s">
        <v>205</v>
      </c>
      <c r="C3240" s="32">
        <v>596.52</v>
      </c>
      <c r="D3240" s="33">
        <v>80</v>
      </c>
      <c r="E3240" t="s">
        <v>120</v>
      </c>
      <c r="F3240" t="s">
        <v>90</v>
      </c>
      <c r="G3240" s="33">
        <v>52</v>
      </c>
    </row>
    <row r="3241" spans="1:7">
      <c r="A3241" t="s">
        <v>22</v>
      </c>
      <c r="B3241" t="s">
        <v>205</v>
      </c>
      <c r="C3241" s="32">
        <v>596.59</v>
      </c>
      <c r="D3241" s="33">
        <v>81</v>
      </c>
      <c r="E3241" t="s">
        <v>115</v>
      </c>
      <c r="F3241" t="s">
        <v>96</v>
      </c>
      <c r="G3241" s="33">
        <v>52</v>
      </c>
    </row>
    <row r="3242" spans="1:7">
      <c r="A3242" t="s">
        <v>22</v>
      </c>
      <c r="B3242" t="s">
        <v>205</v>
      </c>
      <c r="C3242" s="32">
        <v>596.66</v>
      </c>
      <c r="D3242" s="33">
        <v>82</v>
      </c>
      <c r="E3242" t="s">
        <v>116</v>
      </c>
      <c r="F3242" t="s">
        <v>90</v>
      </c>
      <c r="G3242" s="33">
        <v>52</v>
      </c>
    </row>
    <row r="3243" spans="1:7">
      <c r="A3243" t="s">
        <v>22</v>
      </c>
      <c r="B3243" t="s">
        <v>205</v>
      </c>
      <c r="C3243" s="32">
        <v>596.73</v>
      </c>
      <c r="D3243" s="33">
        <v>83</v>
      </c>
      <c r="E3243" t="s">
        <v>117</v>
      </c>
      <c r="F3243" t="s">
        <v>93</v>
      </c>
      <c r="G3243" s="33">
        <v>52</v>
      </c>
    </row>
    <row r="3244" spans="1:7">
      <c r="A3244" t="s">
        <v>22</v>
      </c>
      <c r="B3244" t="s">
        <v>205</v>
      </c>
      <c r="C3244" s="32">
        <v>596.79999999999995</v>
      </c>
      <c r="D3244" s="33">
        <v>84</v>
      </c>
      <c r="E3244" t="s">
        <v>118</v>
      </c>
      <c r="F3244" t="s">
        <v>90</v>
      </c>
      <c r="G3244" s="33">
        <v>52</v>
      </c>
    </row>
    <row r="3245" spans="1:7">
      <c r="A3245" t="s">
        <v>22</v>
      </c>
      <c r="B3245" t="s">
        <v>205</v>
      </c>
      <c r="C3245" s="32">
        <v>596.87</v>
      </c>
      <c r="D3245" s="33">
        <v>85</v>
      </c>
      <c r="E3245" t="s">
        <v>122</v>
      </c>
      <c r="F3245" t="s">
        <v>90</v>
      </c>
      <c r="G3245" s="33">
        <v>52</v>
      </c>
    </row>
    <row r="3246" spans="1:7">
      <c r="A3246" t="s">
        <v>22</v>
      </c>
      <c r="B3246" t="s">
        <v>205</v>
      </c>
      <c r="C3246" s="32">
        <v>596.94000000000005</v>
      </c>
      <c r="D3246" s="33">
        <v>86</v>
      </c>
      <c r="E3246" t="s">
        <v>124</v>
      </c>
      <c r="F3246" t="s">
        <v>93</v>
      </c>
      <c r="G3246" s="33">
        <v>52</v>
      </c>
    </row>
    <row r="3247" spans="1:7">
      <c r="A3247" t="s">
        <v>22</v>
      </c>
      <c r="B3247" t="s">
        <v>205</v>
      </c>
      <c r="C3247" s="32">
        <v>597.01</v>
      </c>
      <c r="D3247" s="33">
        <v>87</v>
      </c>
      <c r="E3247" t="s">
        <v>125</v>
      </c>
      <c r="F3247" t="s">
        <v>102</v>
      </c>
      <c r="G3247" s="33">
        <v>52</v>
      </c>
    </row>
    <row r="3248" spans="1:7">
      <c r="A3248" t="s">
        <v>22</v>
      </c>
      <c r="B3248" t="s">
        <v>205</v>
      </c>
      <c r="C3248" s="32">
        <v>597.08000000000004</v>
      </c>
      <c r="D3248" s="33">
        <v>88</v>
      </c>
      <c r="E3248" t="s">
        <v>127</v>
      </c>
      <c r="F3248" t="s">
        <v>96</v>
      </c>
      <c r="G3248" s="33">
        <v>52</v>
      </c>
    </row>
    <row r="3249" spans="1:7">
      <c r="A3249" t="s">
        <v>22</v>
      </c>
      <c r="B3249" t="s">
        <v>205</v>
      </c>
      <c r="C3249" s="32">
        <v>597.15</v>
      </c>
      <c r="D3249" s="33">
        <v>89</v>
      </c>
      <c r="E3249" t="s">
        <v>128</v>
      </c>
      <c r="F3249" t="s">
        <v>90</v>
      </c>
      <c r="G3249" s="33">
        <v>52</v>
      </c>
    </row>
    <row r="3250" spans="1:7">
      <c r="A3250" t="s">
        <v>22</v>
      </c>
      <c r="B3250" t="s">
        <v>205</v>
      </c>
      <c r="C3250" s="32">
        <v>597.22</v>
      </c>
      <c r="D3250" s="33">
        <v>90</v>
      </c>
      <c r="E3250" t="s">
        <v>129</v>
      </c>
      <c r="F3250" t="s">
        <v>93</v>
      </c>
      <c r="G3250" s="33">
        <v>52</v>
      </c>
    </row>
    <row r="3251" spans="1:7">
      <c r="A3251" t="s">
        <v>22</v>
      </c>
      <c r="B3251" t="s">
        <v>205</v>
      </c>
      <c r="C3251" s="32">
        <v>597.29</v>
      </c>
      <c r="D3251" s="33">
        <v>91</v>
      </c>
      <c r="E3251" t="s">
        <v>130</v>
      </c>
      <c r="F3251" t="s">
        <v>90</v>
      </c>
      <c r="G3251" s="33">
        <v>52</v>
      </c>
    </row>
    <row r="3252" spans="1:7">
      <c r="A3252" t="s">
        <v>22</v>
      </c>
      <c r="B3252" t="s">
        <v>205</v>
      </c>
      <c r="C3252" s="32">
        <v>597.36</v>
      </c>
      <c r="D3252" s="33">
        <v>92</v>
      </c>
      <c r="E3252" t="s">
        <v>131</v>
      </c>
      <c r="F3252" t="s">
        <v>90</v>
      </c>
      <c r="G3252" s="33">
        <v>52</v>
      </c>
    </row>
    <row r="3253" spans="1:7">
      <c r="A3253" t="s">
        <v>22</v>
      </c>
      <c r="B3253" t="s">
        <v>205</v>
      </c>
      <c r="C3253" s="32">
        <v>597.42999999999995</v>
      </c>
      <c r="D3253" s="33">
        <v>93</v>
      </c>
      <c r="E3253" t="s">
        <v>133</v>
      </c>
      <c r="F3253" t="s">
        <v>93</v>
      </c>
      <c r="G3253" s="33">
        <v>52</v>
      </c>
    </row>
    <row r="3254" spans="1:7">
      <c r="A3254" t="s">
        <v>22</v>
      </c>
      <c r="B3254" t="s">
        <v>205</v>
      </c>
      <c r="C3254" s="32">
        <v>597.5</v>
      </c>
      <c r="D3254" s="33">
        <v>94</v>
      </c>
      <c r="E3254" t="s">
        <v>134</v>
      </c>
      <c r="F3254" t="s">
        <v>96</v>
      </c>
      <c r="G3254" s="33">
        <v>52</v>
      </c>
    </row>
    <row r="3255" spans="1:7">
      <c r="A3255" t="s">
        <v>22</v>
      </c>
      <c r="B3255" t="s">
        <v>205</v>
      </c>
      <c r="C3255" s="32">
        <v>597.57000000000005</v>
      </c>
      <c r="D3255" s="33">
        <v>95</v>
      </c>
      <c r="E3255" t="s">
        <v>135</v>
      </c>
      <c r="F3255" t="s">
        <v>90</v>
      </c>
      <c r="G3255" s="33">
        <v>52</v>
      </c>
    </row>
    <row r="3256" spans="1:7">
      <c r="A3256" t="s">
        <v>22</v>
      </c>
      <c r="B3256" t="s">
        <v>205</v>
      </c>
      <c r="C3256" s="32">
        <v>597.64</v>
      </c>
      <c r="D3256" s="33">
        <v>96</v>
      </c>
      <c r="E3256" t="s">
        <v>136</v>
      </c>
      <c r="F3256" t="s">
        <v>90</v>
      </c>
      <c r="G3256" s="33">
        <v>52</v>
      </c>
    </row>
    <row r="3257" spans="1:7">
      <c r="A3257" t="s">
        <v>22</v>
      </c>
      <c r="B3257" t="s">
        <v>205</v>
      </c>
      <c r="C3257" s="32">
        <v>597.71</v>
      </c>
      <c r="D3257" s="33">
        <v>97</v>
      </c>
      <c r="E3257" t="s">
        <v>137</v>
      </c>
      <c r="F3257" t="s">
        <v>93</v>
      </c>
      <c r="G3257" s="33">
        <v>52</v>
      </c>
    </row>
    <row r="3258" spans="1:7">
      <c r="A3258" t="s">
        <v>22</v>
      </c>
      <c r="B3258" t="s">
        <v>205</v>
      </c>
      <c r="C3258" s="32">
        <v>597.78</v>
      </c>
      <c r="D3258" s="33">
        <v>98</v>
      </c>
      <c r="E3258" t="s">
        <v>138</v>
      </c>
      <c r="F3258" t="s">
        <v>90</v>
      </c>
      <c r="G3258" s="33">
        <v>52</v>
      </c>
    </row>
    <row r="3259" spans="1:7">
      <c r="A3259" t="s">
        <v>22</v>
      </c>
      <c r="B3259" t="s">
        <v>205</v>
      </c>
      <c r="C3259" s="32">
        <v>597.85</v>
      </c>
      <c r="D3259" s="33">
        <v>99</v>
      </c>
      <c r="E3259" t="s">
        <v>140</v>
      </c>
      <c r="F3259" t="s">
        <v>93</v>
      </c>
      <c r="G3259" s="33">
        <v>52</v>
      </c>
    </row>
    <row r="3260" spans="1:7">
      <c r="A3260" t="s">
        <v>22</v>
      </c>
      <c r="B3260" t="s">
        <v>205</v>
      </c>
      <c r="C3260" s="32">
        <v>597.91999999999996</v>
      </c>
      <c r="D3260" s="33">
        <v>100</v>
      </c>
      <c r="E3260" t="s">
        <v>141</v>
      </c>
      <c r="F3260" t="s">
        <v>90</v>
      </c>
      <c r="G3260" s="33">
        <v>52</v>
      </c>
    </row>
    <row r="3261" spans="1:7">
      <c r="A3261" t="s">
        <v>22</v>
      </c>
      <c r="B3261" t="s">
        <v>205</v>
      </c>
      <c r="C3261" s="32">
        <v>597.99</v>
      </c>
      <c r="D3261" s="33">
        <v>101</v>
      </c>
      <c r="E3261" t="s">
        <v>142</v>
      </c>
      <c r="F3261" t="s">
        <v>96</v>
      </c>
      <c r="G3261" s="33">
        <v>52</v>
      </c>
    </row>
    <row r="3262" spans="1:7">
      <c r="A3262" t="s">
        <v>22</v>
      </c>
      <c r="B3262" t="s">
        <v>205</v>
      </c>
      <c r="C3262" s="32">
        <v>598.05999999999995</v>
      </c>
      <c r="D3262" s="33">
        <v>102</v>
      </c>
      <c r="E3262" t="s">
        <v>143</v>
      </c>
      <c r="F3262" t="s">
        <v>102</v>
      </c>
      <c r="G3262" s="33">
        <v>52</v>
      </c>
    </row>
    <row r="3263" spans="1:7">
      <c r="A3263" t="s">
        <v>22</v>
      </c>
      <c r="B3263" t="s">
        <v>205</v>
      </c>
      <c r="C3263" s="32">
        <v>598.13</v>
      </c>
      <c r="D3263" s="33">
        <v>103</v>
      </c>
      <c r="E3263" t="s">
        <v>144</v>
      </c>
      <c r="F3263" t="s">
        <v>93</v>
      </c>
      <c r="G3263" s="33">
        <v>52</v>
      </c>
    </row>
    <row r="3264" spans="1:7">
      <c r="A3264" t="s">
        <v>22</v>
      </c>
      <c r="B3264" t="s">
        <v>205</v>
      </c>
      <c r="C3264" s="32">
        <v>598.20000000000005</v>
      </c>
      <c r="D3264" s="33">
        <v>104</v>
      </c>
      <c r="E3264" t="s">
        <v>145</v>
      </c>
      <c r="F3264" t="s">
        <v>90</v>
      </c>
      <c r="G3264" s="33">
        <v>52</v>
      </c>
    </row>
    <row r="3265" spans="1:7">
      <c r="A3265" t="s">
        <v>22</v>
      </c>
      <c r="B3265" t="s">
        <v>205</v>
      </c>
      <c r="C3265" s="32">
        <v>598.27</v>
      </c>
      <c r="D3265" s="33">
        <v>105</v>
      </c>
      <c r="E3265" t="s">
        <v>146</v>
      </c>
      <c r="F3265" t="s">
        <v>90</v>
      </c>
      <c r="G3265" s="33">
        <v>52</v>
      </c>
    </row>
    <row r="3266" spans="1:7">
      <c r="A3266" t="s">
        <v>22</v>
      </c>
      <c r="B3266" t="s">
        <v>205</v>
      </c>
      <c r="C3266" s="32">
        <v>598.34</v>
      </c>
      <c r="D3266" s="33">
        <v>106</v>
      </c>
      <c r="E3266" t="s">
        <v>148</v>
      </c>
      <c r="F3266" t="s">
        <v>93</v>
      </c>
      <c r="G3266" s="33">
        <v>52</v>
      </c>
    </row>
    <row r="3267" spans="1:7">
      <c r="A3267" t="s">
        <v>22</v>
      </c>
      <c r="B3267" t="s">
        <v>205</v>
      </c>
      <c r="C3267" s="32">
        <v>598.41</v>
      </c>
      <c r="D3267" s="33">
        <v>107</v>
      </c>
      <c r="E3267" t="s">
        <v>149</v>
      </c>
      <c r="F3267" t="s">
        <v>90</v>
      </c>
      <c r="G3267" s="33">
        <v>52</v>
      </c>
    </row>
    <row r="3268" spans="1:7">
      <c r="A3268" t="s">
        <v>22</v>
      </c>
      <c r="B3268" t="s">
        <v>205</v>
      </c>
      <c r="C3268" s="32">
        <v>598.48</v>
      </c>
      <c r="D3268" s="33">
        <v>108</v>
      </c>
      <c r="E3268" t="s">
        <v>150</v>
      </c>
      <c r="F3268" t="s">
        <v>96</v>
      </c>
      <c r="G3268" s="33">
        <v>52</v>
      </c>
    </row>
    <row r="3269" spans="1:7">
      <c r="A3269" t="s">
        <v>22</v>
      </c>
      <c r="B3269" t="s">
        <v>205</v>
      </c>
      <c r="C3269" s="32">
        <v>598.54999999999995</v>
      </c>
      <c r="D3269" s="33">
        <v>109</v>
      </c>
      <c r="E3269" t="s">
        <v>151</v>
      </c>
      <c r="F3269" t="s">
        <v>90</v>
      </c>
      <c r="G3269" s="33">
        <v>52</v>
      </c>
    </row>
    <row r="3270" spans="1:7">
      <c r="A3270" t="s">
        <v>22</v>
      </c>
      <c r="B3270" t="s">
        <v>205</v>
      </c>
      <c r="C3270" s="32">
        <v>598.62</v>
      </c>
      <c r="D3270" s="33">
        <v>110</v>
      </c>
      <c r="E3270" t="s">
        <v>152</v>
      </c>
      <c r="F3270" t="s">
        <v>93</v>
      </c>
      <c r="G3270" s="33">
        <v>52</v>
      </c>
    </row>
    <row r="3271" spans="1:7">
      <c r="A3271" t="s">
        <v>22</v>
      </c>
      <c r="B3271" t="s">
        <v>205</v>
      </c>
      <c r="C3271" s="32">
        <v>598.69000000000005</v>
      </c>
      <c r="D3271" s="33">
        <v>111</v>
      </c>
      <c r="E3271" t="s">
        <v>153</v>
      </c>
      <c r="F3271" t="s">
        <v>90</v>
      </c>
      <c r="G3271" s="33">
        <v>52</v>
      </c>
    </row>
    <row r="3272" spans="1:7">
      <c r="A3272" t="s">
        <v>22</v>
      </c>
      <c r="B3272" t="s">
        <v>205</v>
      </c>
      <c r="C3272" s="32">
        <v>598.76</v>
      </c>
      <c r="D3272" s="33">
        <v>112</v>
      </c>
      <c r="E3272" t="s">
        <v>120</v>
      </c>
      <c r="F3272" t="s">
        <v>90</v>
      </c>
      <c r="G3272" s="33">
        <v>52</v>
      </c>
    </row>
    <row r="3273" spans="1:7">
      <c r="A3273" t="s">
        <v>22</v>
      </c>
      <c r="B3273" t="s">
        <v>205</v>
      </c>
      <c r="C3273" s="32">
        <v>598.83000000000004</v>
      </c>
      <c r="D3273" s="33">
        <v>113</v>
      </c>
      <c r="E3273" t="s">
        <v>115</v>
      </c>
      <c r="F3273" t="s">
        <v>93</v>
      </c>
      <c r="G3273" s="33">
        <v>52</v>
      </c>
    </row>
    <row r="3274" spans="1:7">
      <c r="A3274" t="s">
        <v>22</v>
      </c>
      <c r="B3274" t="s">
        <v>205</v>
      </c>
      <c r="C3274" s="32">
        <v>598.9</v>
      </c>
      <c r="D3274" s="33">
        <v>114</v>
      </c>
      <c r="E3274" t="s">
        <v>116</v>
      </c>
      <c r="F3274" t="s">
        <v>96</v>
      </c>
      <c r="G3274" s="33">
        <v>52</v>
      </c>
    </row>
    <row r="3275" spans="1:7">
      <c r="A3275" t="s">
        <v>22</v>
      </c>
      <c r="B3275" t="s">
        <v>205</v>
      </c>
      <c r="C3275" s="32">
        <v>598.97</v>
      </c>
      <c r="D3275" s="33">
        <v>115</v>
      </c>
      <c r="E3275" t="s">
        <v>117</v>
      </c>
      <c r="F3275" t="s">
        <v>90</v>
      </c>
      <c r="G3275" s="33">
        <v>52</v>
      </c>
    </row>
    <row r="3276" spans="1:7">
      <c r="A3276" t="s">
        <v>22</v>
      </c>
      <c r="B3276" t="s">
        <v>205</v>
      </c>
      <c r="C3276" s="32">
        <v>599.04</v>
      </c>
      <c r="D3276" s="33">
        <v>116</v>
      </c>
      <c r="E3276" t="s">
        <v>118</v>
      </c>
      <c r="F3276" t="s">
        <v>102</v>
      </c>
      <c r="G3276" s="33">
        <v>52</v>
      </c>
    </row>
    <row r="3277" spans="1:7">
      <c r="A3277" t="s">
        <v>22</v>
      </c>
      <c r="B3277" t="s">
        <v>205</v>
      </c>
      <c r="C3277" s="32">
        <v>599.11</v>
      </c>
      <c r="D3277" s="33">
        <v>117</v>
      </c>
      <c r="E3277" t="s">
        <v>122</v>
      </c>
      <c r="F3277" t="s">
        <v>93</v>
      </c>
      <c r="G3277" s="33">
        <v>52</v>
      </c>
    </row>
    <row r="3278" spans="1:7">
      <c r="A3278" t="s">
        <v>22</v>
      </c>
      <c r="B3278" t="s">
        <v>205</v>
      </c>
      <c r="C3278" s="32">
        <v>599.17999999999995</v>
      </c>
      <c r="D3278" s="33">
        <v>118</v>
      </c>
      <c r="E3278" t="s">
        <v>124</v>
      </c>
      <c r="F3278" t="s">
        <v>90</v>
      </c>
      <c r="G3278" s="33">
        <v>52</v>
      </c>
    </row>
    <row r="3279" spans="1:7">
      <c r="A3279" t="s">
        <v>22</v>
      </c>
      <c r="B3279" t="s">
        <v>205</v>
      </c>
      <c r="C3279" s="32">
        <v>599.25</v>
      </c>
      <c r="D3279" s="33">
        <v>119</v>
      </c>
      <c r="E3279" t="s">
        <v>125</v>
      </c>
      <c r="F3279" t="s">
        <v>93</v>
      </c>
      <c r="G3279" s="33">
        <v>52</v>
      </c>
    </row>
    <row r="3280" spans="1:7">
      <c r="A3280" t="s">
        <v>22</v>
      </c>
      <c r="B3280" t="s">
        <v>205</v>
      </c>
      <c r="C3280" s="32">
        <v>599.32000000000005</v>
      </c>
      <c r="D3280" s="33">
        <v>120</v>
      </c>
      <c r="E3280" t="s">
        <v>127</v>
      </c>
      <c r="F3280" t="s">
        <v>90</v>
      </c>
      <c r="G3280" s="33">
        <v>52</v>
      </c>
    </row>
    <row r="3281" spans="1:7">
      <c r="A3281" t="s">
        <v>22</v>
      </c>
      <c r="B3281" t="s">
        <v>205</v>
      </c>
      <c r="C3281" s="32">
        <v>599.39</v>
      </c>
      <c r="D3281" s="33">
        <v>121</v>
      </c>
      <c r="E3281" t="s">
        <v>128</v>
      </c>
      <c r="F3281" t="s">
        <v>96</v>
      </c>
      <c r="G3281" s="33">
        <v>52</v>
      </c>
    </row>
    <row r="3282" spans="1:7">
      <c r="A3282" t="s">
        <v>22</v>
      </c>
      <c r="B3282" t="s">
        <v>205</v>
      </c>
      <c r="C3282" s="32">
        <v>599.46</v>
      </c>
      <c r="D3282" s="33">
        <v>122</v>
      </c>
      <c r="E3282" t="s">
        <v>129</v>
      </c>
      <c r="F3282" t="s">
        <v>90</v>
      </c>
      <c r="G3282" s="33">
        <v>52</v>
      </c>
    </row>
    <row r="3283" spans="1:7">
      <c r="A3283" t="s">
        <v>22</v>
      </c>
      <c r="B3283" t="s">
        <v>205</v>
      </c>
      <c r="C3283" s="32">
        <v>599.53</v>
      </c>
      <c r="D3283" s="33">
        <v>123</v>
      </c>
      <c r="E3283" t="s">
        <v>130</v>
      </c>
      <c r="F3283" t="s">
        <v>93</v>
      </c>
      <c r="G3283" s="33">
        <v>52</v>
      </c>
    </row>
    <row r="3284" spans="1:7">
      <c r="A3284" t="s">
        <v>22</v>
      </c>
      <c r="B3284" t="s">
        <v>205</v>
      </c>
      <c r="C3284" s="32">
        <v>599.6</v>
      </c>
      <c r="D3284" s="33">
        <v>124</v>
      </c>
      <c r="E3284" t="s">
        <v>131</v>
      </c>
      <c r="F3284" t="s">
        <v>90</v>
      </c>
      <c r="G3284" s="33">
        <v>52</v>
      </c>
    </row>
  </sheetData>
  <phoneticPr fontId="3" type="noConversion"/>
  <conditionalFormatting sqref="A2:G251">
    <cfRule type="expression" dxfId="0" priority="1">
      <formula>MOD(ROW(),2)=0</formula>
    </cfRule>
  </conditionalFormatting>
  <dataValidations count="2">
    <dataValidation type="decimal" operator="greaterThanOrEqual" sqref="C2:C45" xr:uid="{00000000-0002-0000-0200-000000000000}">
      <formula1>0</formula1>
    </dataValidation>
    <dataValidation type="whole" operator="greaterThanOrEqual" sqref="D2:D45 G2:G45" xr:uid="{00000000-0002-0000-0200-000001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showGridLines="0" workbookViewId="0"/>
  </sheetViews>
  <sheetFormatPr defaultRowHeight="14"/>
  <cols>
    <col min="1" max="1" width="18" customWidth="1"/>
    <col min="2" max="3" width="12" customWidth="1"/>
    <col min="4" max="4" width="16" customWidth="1"/>
    <col min="5" max="5" width="20" customWidth="1"/>
    <col min="6" max="6" width="19" customWidth="1"/>
    <col min="7" max="7" width="16" customWidth="1"/>
    <col min="8" max="9" width="31" customWidth="1"/>
    <col min="10" max="10" width="22" customWidth="1"/>
    <col min="11" max="11" width="14" customWidth="1"/>
    <col min="12" max="12" width="20" customWidth="1"/>
    <col min="13" max="13" width="11" customWidth="1"/>
    <col min="14" max="14" width="1" customWidth="1"/>
  </cols>
  <sheetData>
    <row r="1" spans="1:13" ht="30" customHeight="1">
      <c r="A1" s="21" t="s">
        <v>206</v>
      </c>
      <c r="B1" s="21" t="s">
        <v>207</v>
      </c>
      <c r="C1" s="21" t="s">
        <v>85</v>
      </c>
      <c r="D1" s="21" t="s">
        <v>208</v>
      </c>
      <c r="E1" s="21" t="s">
        <v>209</v>
      </c>
      <c r="F1" s="21" t="s">
        <v>210</v>
      </c>
      <c r="G1" s="21" t="s">
        <v>211</v>
      </c>
      <c r="H1" s="21" t="s">
        <v>212</v>
      </c>
      <c r="I1" s="21" t="s">
        <v>213</v>
      </c>
      <c r="J1" s="21" t="s">
        <v>214</v>
      </c>
      <c r="K1" s="21" t="s">
        <v>74</v>
      </c>
      <c r="L1" s="21" t="s">
        <v>215</v>
      </c>
      <c r="M1" s="21" t="s">
        <v>216</v>
      </c>
    </row>
    <row r="2" spans="1:13" ht="22" customHeight="1">
      <c r="A2" s="2" t="s">
        <v>217</v>
      </c>
      <c r="B2" s="2">
        <v>1</v>
      </c>
      <c r="C2" s="2">
        <v>10</v>
      </c>
      <c r="D2" s="5">
        <v>1</v>
      </c>
      <c r="E2" s="4">
        <v>0.65</v>
      </c>
      <c r="F2" s="5">
        <v>3</v>
      </c>
      <c r="G2" s="4">
        <v>10</v>
      </c>
      <c r="H2" s="4">
        <v>1.1000000000000001</v>
      </c>
      <c r="I2" s="4">
        <v>1.2</v>
      </c>
      <c r="J2" s="4">
        <v>0.08</v>
      </c>
      <c r="K2" s="4">
        <v>1.2</v>
      </c>
      <c r="L2" s="8">
        <v>0</v>
      </c>
      <c r="M2" s="3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showGridLines="0" workbookViewId="0"/>
  </sheetViews>
  <sheetFormatPr defaultRowHeight="14"/>
  <cols>
    <col min="1" max="1" width="11" customWidth="1"/>
    <col min="2" max="2" width="16" customWidth="1"/>
    <col min="3" max="3" width="23" customWidth="1"/>
  </cols>
  <sheetData>
    <row r="1" spans="1:3" ht="30" customHeight="1">
      <c r="A1" s="21" t="s">
        <v>218</v>
      </c>
      <c r="B1" s="21" t="s">
        <v>219</v>
      </c>
      <c r="C1" s="21" t="s">
        <v>220</v>
      </c>
    </row>
    <row r="2" spans="1:3" ht="20" customHeight="1">
      <c r="A2" s="7">
        <v>1</v>
      </c>
      <c r="B2" s="7">
        <v>8</v>
      </c>
      <c r="C2" s="9">
        <v>8</v>
      </c>
    </row>
    <row r="3" spans="1:3" ht="20" customHeight="1">
      <c r="A3" s="7">
        <v>2</v>
      </c>
      <c r="B3" s="7">
        <v>10</v>
      </c>
      <c r="C3" s="9">
        <v>18</v>
      </c>
    </row>
    <row r="4" spans="1:3" ht="20" customHeight="1">
      <c r="A4" s="7">
        <v>3</v>
      </c>
      <c r="B4" s="7">
        <v>12</v>
      </c>
      <c r="C4" s="9">
        <v>30</v>
      </c>
    </row>
    <row r="5" spans="1:3" ht="20" customHeight="1">
      <c r="A5" s="7">
        <v>4</v>
      </c>
      <c r="B5" s="7">
        <v>14</v>
      </c>
      <c r="C5" s="9">
        <v>44</v>
      </c>
    </row>
    <row r="6" spans="1:3" ht="20" customHeight="1">
      <c r="A6" s="7">
        <v>5</v>
      </c>
      <c r="B6" s="7">
        <v>16</v>
      </c>
      <c r="C6" s="9">
        <v>60</v>
      </c>
    </row>
    <row r="7" spans="1:3" ht="20" customHeight="1">
      <c r="A7" s="7">
        <v>6</v>
      </c>
      <c r="B7" s="7">
        <v>18</v>
      </c>
      <c r="C7" s="9">
        <v>78</v>
      </c>
    </row>
    <row r="8" spans="1:3" ht="20" customHeight="1">
      <c r="A8" s="7">
        <v>7</v>
      </c>
      <c r="B8" s="7">
        <v>20</v>
      </c>
      <c r="C8" s="9">
        <v>98</v>
      </c>
    </row>
    <row r="9" spans="1:3" ht="20" customHeight="1">
      <c r="A9" s="7">
        <v>8</v>
      </c>
      <c r="B9" s="7">
        <v>23</v>
      </c>
      <c r="C9" s="9">
        <v>121</v>
      </c>
    </row>
    <row r="10" spans="1:3" ht="20" customHeight="1">
      <c r="A10" s="7">
        <v>9</v>
      </c>
      <c r="B10" s="7">
        <v>25</v>
      </c>
      <c r="C10" s="9">
        <v>146</v>
      </c>
    </row>
    <row r="11" spans="1:3" ht="20" customHeight="1">
      <c r="A11" s="7">
        <v>10</v>
      </c>
      <c r="B11" s="7">
        <v>28</v>
      </c>
      <c r="C11" s="9">
        <v>174</v>
      </c>
    </row>
    <row r="12" spans="1:3" ht="20" customHeight="1">
      <c r="A12" s="7">
        <v>11</v>
      </c>
      <c r="B12" s="7">
        <v>30</v>
      </c>
      <c r="C12" s="9">
        <v>204</v>
      </c>
    </row>
    <row r="13" spans="1:3" ht="20" customHeight="1">
      <c r="A13" s="7">
        <v>12</v>
      </c>
      <c r="B13" s="7">
        <v>33</v>
      </c>
      <c r="C13" s="9">
        <v>237</v>
      </c>
    </row>
    <row r="14" spans="1:3" ht="20" customHeight="1">
      <c r="A14" s="7">
        <v>13</v>
      </c>
      <c r="B14" s="7">
        <v>35</v>
      </c>
      <c r="C14" s="9">
        <v>272</v>
      </c>
    </row>
    <row r="15" spans="1:3" ht="20" customHeight="1">
      <c r="A15" s="7">
        <v>14</v>
      </c>
      <c r="B15" s="7">
        <v>38</v>
      </c>
      <c r="C15" s="9">
        <v>310</v>
      </c>
    </row>
    <row r="16" spans="1:3" ht="20" customHeight="1">
      <c r="A16" s="7">
        <v>15</v>
      </c>
      <c r="B16" s="7">
        <v>40</v>
      </c>
      <c r="C16" s="9">
        <v>350</v>
      </c>
    </row>
    <row r="17" spans="1:3" ht="20" customHeight="1">
      <c r="A17" s="7">
        <v>16</v>
      </c>
      <c r="B17" s="7">
        <v>43</v>
      </c>
      <c r="C17" s="9">
        <v>393</v>
      </c>
    </row>
    <row r="18" spans="1:3" ht="20" customHeight="1">
      <c r="A18" s="7">
        <v>17</v>
      </c>
      <c r="B18" s="7">
        <v>46</v>
      </c>
      <c r="C18" s="9">
        <v>439</v>
      </c>
    </row>
    <row r="19" spans="1:3" ht="20" customHeight="1">
      <c r="A19" s="7">
        <v>18</v>
      </c>
      <c r="B19" s="7">
        <v>49</v>
      </c>
      <c r="C19" s="9">
        <v>488</v>
      </c>
    </row>
    <row r="20" spans="1:3" ht="20" customHeight="1">
      <c r="A20" s="7">
        <v>19</v>
      </c>
      <c r="B20" s="7">
        <v>52</v>
      </c>
      <c r="C20" s="9">
        <v>540</v>
      </c>
    </row>
    <row r="21" spans="1:3" ht="20" customHeight="1">
      <c r="A21" s="7">
        <v>20</v>
      </c>
      <c r="B21" s="7">
        <v>55</v>
      </c>
      <c r="C21" s="9">
        <v>595</v>
      </c>
    </row>
    <row r="22" spans="1:3">
      <c r="A22">
        <v>21</v>
      </c>
      <c r="B22">
        <v>58</v>
      </c>
      <c r="C22">
        <v>653</v>
      </c>
    </row>
    <row r="23" spans="1:3">
      <c r="A23">
        <v>22</v>
      </c>
      <c r="B23">
        <v>61</v>
      </c>
      <c r="C23">
        <v>714</v>
      </c>
    </row>
    <row r="24" spans="1:3">
      <c r="A24">
        <v>23</v>
      </c>
      <c r="B24">
        <v>64</v>
      </c>
      <c r="C24">
        <v>778</v>
      </c>
    </row>
    <row r="25" spans="1:3">
      <c r="A25">
        <v>24</v>
      </c>
      <c r="B25">
        <v>67</v>
      </c>
      <c r="C25">
        <v>845</v>
      </c>
    </row>
    <row r="26" spans="1:3">
      <c r="A26">
        <v>25</v>
      </c>
      <c r="B26">
        <v>70</v>
      </c>
      <c r="C26">
        <v>915</v>
      </c>
    </row>
    <row r="27" spans="1:3">
      <c r="A27">
        <v>26</v>
      </c>
      <c r="B27">
        <v>73</v>
      </c>
      <c r="C27">
        <v>988</v>
      </c>
    </row>
    <row r="28" spans="1:3">
      <c r="A28">
        <v>27</v>
      </c>
      <c r="B28">
        <v>76</v>
      </c>
      <c r="C28">
        <v>1064</v>
      </c>
    </row>
    <row r="29" spans="1:3">
      <c r="A29">
        <v>28</v>
      </c>
      <c r="B29">
        <v>80</v>
      </c>
      <c r="C29">
        <v>1144</v>
      </c>
    </row>
    <row r="30" spans="1:3">
      <c r="A30">
        <v>29</v>
      </c>
      <c r="B30">
        <v>83</v>
      </c>
      <c r="C30">
        <v>1227</v>
      </c>
    </row>
    <row r="31" spans="1:3">
      <c r="A31">
        <v>30</v>
      </c>
      <c r="B31">
        <v>87</v>
      </c>
      <c r="C31">
        <v>1314</v>
      </c>
    </row>
    <row r="32" spans="1:3">
      <c r="A32">
        <v>31</v>
      </c>
      <c r="B32">
        <v>90</v>
      </c>
      <c r="C32">
        <v>1404</v>
      </c>
    </row>
    <row r="33" spans="1:3">
      <c r="A33">
        <v>32</v>
      </c>
      <c r="B33">
        <v>94</v>
      </c>
      <c r="C33">
        <v>1498</v>
      </c>
    </row>
    <row r="34" spans="1:3">
      <c r="A34">
        <v>33</v>
      </c>
      <c r="B34">
        <v>97</v>
      </c>
      <c r="C34">
        <v>1595</v>
      </c>
    </row>
    <row r="35" spans="1:3">
      <c r="A35">
        <v>34</v>
      </c>
      <c r="B35">
        <v>101</v>
      </c>
      <c r="C35">
        <v>1696</v>
      </c>
    </row>
    <row r="36" spans="1:3">
      <c r="A36">
        <v>35</v>
      </c>
      <c r="B36">
        <v>104</v>
      </c>
      <c r="C36">
        <v>1800</v>
      </c>
    </row>
    <row r="37" spans="1:3">
      <c r="A37">
        <v>36</v>
      </c>
      <c r="B37">
        <v>108</v>
      </c>
      <c r="C37">
        <v>1908</v>
      </c>
    </row>
    <row r="38" spans="1:3">
      <c r="A38">
        <v>37</v>
      </c>
      <c r="B38">
        <v>112</v>
      </c>
      <c r="C38">
        <v>2020</v>
      </c>
    </row>
    <row r="39" spans="1:3">
      <c r="A39">
        <v>38</v>
      </c>
      <c r="B39">
        <v>116</v>
      </c>
      <c r="C39">
        <v>2136</v>
      </c>
    </row>
    <row r="40" spans="1:3">
      <c r="A40">
        <v>39</v>
      </c>
      <c r="B40">
        <v>120</v>
      </c>
      <c r="C40">
        <v>2256</v>
      </c>
    </row>
    <row r="41" spans="1:3">
      <c r="A41">
        <v>40</v>
      </c>
      <c r="B41">
        <v>124</v>
      </c>
      <c r="C41">
        <v>2380</v>
      </c>
    </row>
    <row r="42" spans="1:3">
      <c r="A42">
        <v>41</v>
      </c>
      <c r="B42">
        <v>128</v>
      </c>
      <c r="C42">
        <v>2508</v>
      </c>
    </row>
    <row r="43" spans="1:3">
      <c r="A43">
        <v>42</v>
      </c>
      <c r="B43">
        <v>132</v>
      </c>
      <c r="C43">
        <v>2640</v>
      </c>
    </row>
    <row r="44" spans="1:3">
      <c r="A44">
        <v>43</v>
      </c>
      <c r="B44">
        <v>136</v>
      </c>
      <c r="C44">
        <v>2776</v>
      </c>
    </row>
    <row r="45" spans="1:3">
      <c r="A45">
        <v>44</v>
      </c>
      <c r="B45">
        <v>140</v>
      </c>
      <c r="C45">
        <v>2916</v>
      </c>
    </row>
    <row r="46" spans="1:3">
      <c r="A46">
        <v>45</v>
      </c>
      <c r="B46">
        <v>144</v>
      </c>
      <c r="C46">
        <v>3060</v>
      </c>
    </row>
    <row r="47" spans="1:3">
      <c r="A47">
        <v>46</v>
      </c>
      <c r="B47">
        <v>148</v>
      </c>
      <c r="C47">
        <v>3208</v>
      </c>
    </row>
    <row r="48" spans="1:3">
      <c r="A48">
        <v>47</v>
      </c>
      <c r="B48">
        <v>152</v>
      </c>
      <c r="C48">
        <v>3360</v>
      </c>
    </row>
    <row r="49" spans="1:3">
      <c r="A49">
        <v>48</v>
      </c>
      <c r="B49">
        <v>157</v>
      </c>
      <c r="C49">
        <v>3517</v>
      </c>
    </row>
    <row r="50" spans="1:3">
      <c r="A50">
        <v>49</v>
      </c>
      <c r="B50">
        <v>161</v>
      </c>
      <c r="C50">
        <v>3678</v>
      </c>
    </row>
    <row r="51" spans="1:3">
      <c r="A51">
        <v>50</v>
      </c>
      <c r="B51">
        <v>0</v>
      </c>
      <c r="C51">
        <v>3678</v>
      </c>
    </row>
  </sheetData>
  <phoneticPr fontId="3" type="noConversion"/>
  <dataValidations count="1">
    <dataValidation type="whole" operator="greaterThanOrEqual" sqref="A2:B21" xr:uid="{00000000-0002-0000-04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showGridLines="0" workbookViewId="0"/>
  </sheetViews>
  <sheetFormatPr defaultRowHeight="14"/>
  <cols>
    <col min="1" max="1" width="11" customWidth="1"/>
    <col min="2" max="2" width="16" customWidth="1"/>
  </cols>
  <sheetData>
    <row r="1" spans="1:2" ht="30" customHeight="1">
      <c r="A1" s="21" t="s">
        <v>218</v>
      </c>
      <c r="B1" s="21" t="s">
        <v>219</v>
      </c>
    </row>
    <row r="2" spans="1:2" ht="20" customHeight="1">
      <c r="A2" s="7">
        <v>1</v>
      </c>
      <c r="B2" s="7">
        <v>40</v>
      </c>
    </row>
    <row r="3" spans="1:2" ht="20" customHeight="1">
      <c r="A3" s="7">
        <v>2</v>
      </c>
      <c r="B3" s="7">
        <v>150</v>
      </c>
    </row>
    <row r="4" spans="1:2" ht="20" customHeight="1">
      <c r="A4" s="7">
        <v>3</v>
      </c>
      <c r="B4" s="7">
        <v>300</v>
      </c>
    </row>
    <row r="5" spans="1:2" ht="20" customHeight="1">
      <c r="A5" s="7">
        <v>4</v>
      </c>
      <c r="B5" s="7">
        <v>500</v>
      </c>
    </row>
  </sheetData>
  <phoneticPr fontId="3" type="noConversion"/>
  <dataValidations count="1">
    <dataValidation type="whole" operator="greaterThanOrEqual" sqref="A2:B5" xr:uid="{00000000-0002-0000-05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showGridLines="0" workbookViewId="0"/>
  </sheetViews>
  <sheetFormatPr defaultRowHeight="14"/>
  <cols>
    <col min="1" max="1" width="23" customWidth="1"/>
    <col min="2" max="2" width="21" customWidth="1"/>
    <col min="3" max="3" width="24" customWidth="1"/>
    <col min="4" max="4" width="26" customWidth="1"/>
    <col min="5" max="5" width="20" customWidth="1"/>
    <col min="6" max="6" width="28" customWidth="1"/>
    <col min="7" max="7" width="19" customWidth="1"/>
  </cols>
  <sheetData>
    <row r="1" spans="1:7" ht="30" customHeight="1">
      <c r="A1" s="21" t="s">
        <v>221</v>
      </c>
      <c r="B1" s="21" t="s">
        <v>222</v>
      </c>
      <c r="C1" s="21" t="s">
        <v>223</v>
      </c>
      <c r="D1" s="21" t="s">
        <v>224</v>
      </c>
      <c r="E1" s="76" t="s">
        <v>225</v>
      </c>
      <c r="F1" s="76" t="s">
        <v>226</v>
      </c>
      <c r="G1" s="76" t="s">
        <v>227</v>
      </c>
    </row>
    <row r="2" spans="1:7" ht="20" customHeight="1">
      <c r="A2" s="7">
        <v>5</v>
      </c>
      <c r="B2" s="7">
        <v>1</v>
      </c>
      <c r="C2" s="8">
        <v>0.05</v>
      </c>
      <c r="D2" s="8">
        <v>0.5</v>
      </c>
      <c r="E2" s="33">
        <v>5</v>
      </c>
      <c r="F2" s="33">
        <v>9</v>
      </c>
      <c r="G2" s="33">
        <v>1</v>
      </c>
    </row>
  </sheetData>
  <phoneticPr fontId="3" type="noConversion"/>
  <dataValidations count="2">
    <dataValidation type="whole" operator="greaterThanOrEqual" sqref="A2:B2" xr:uid="{00000000-0002-0000-0600-000000000000}">
      <formula1>0</formula1>
    </dataValidation>
    <dataValidation type="decimal" sqref="C2:D2" xr:uid="{00000000-0002-0000-0600-000001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"/>
  <sheetViews>
    <sheetView showGridLines="0" workbookViewId="0"/>
  </sheetViews>
  <sheetFormatPr defaultRowHeight="14"/>
  <cols>
    <col min="1" max="1" width="22" customWidth="1"/>
    <col min="2" max="2" width="31" customWidth="1"/>
    <col min="3" max="3" width="18" customWidth="1"/>
    <col min="4" max="4" width="58" customWidth="1"/>
    <col min="5" max="5" width="12" customWidth="1"/>
    <col min="6" max="6" width="21" customWidth="1"/>
    <col min="7" max="7" width="11" customWidth="1"/>
    <col min="8" max="9" width="17" customWidth="1"/>
    <col min="10" max="10" width="20" customWidth="1"/>
    <col min="11" max="11" width="12" customWidth="1"/>
    <col min="12" max="12" width="22" customWidth="1"/>
    <col min="13" max="13" width="11" customWidth="1"/>
    <col min="14" max="14" width="26" customWidth="1"/>
  </cols>
  <sheetData>
    <row r="1" spans="1:15" ht="30" customHeight="1">
      <c r="A1" s="21" t="s">
        <v>228</v>
      </c>
      <c r="B1" s="21" t="s">
        <v>229</v>
      </c>
      <c r="C1" s="21" t="s">
        <v>230</v>
      </c>
      <c r="D1" s="21" t="s">
        <v>231</v>
      </c>
      <c r="E1" s="21" t="s">
        <v>232</v>
      </c>
      <c r="F1" s="21" t="s">
        <v>233</v>
      </c>
      <c r="G1" s="21" t="s">
        <v>234</v>
      </c>
      <c r="H1" s="21" t="s">
        <v>235</v>
      </c>
      <c r="I1" s="21" t="s">
        <v>236</v>
      </c>
      <c r="J1" s="21" t="s">
        <v>237</v>
      </c>
      <c r="K1" s="21" t="s">
        <v>238</v>
      </c>
      <c r="L1" s="21" t="s">
        <v>239</v>
      </c>
      <c r="M1" s="21" t="s">
        <v>240</v>
      </c>
      <c r="N1" t="s">
        <v>241</v>
      </c>
      <c r="O1" t="s">
        <v>216</v>
      </c>
    </row>
    <row r="2" spans="1:15" ht="44" customHeight="1">
      <c r="A2" s="2" t="s">
        <v>242</v>
      </c>
      <c r="B2" s="2" t="s">
        <v>243</v>
      </c>
      <c r="C2" s="2" t="s">
        <v>244</v>
      </c>
      <c r="D2" s="11" t="s">
        <v>245</v>
      </c>
      <c r="E2" s="2" t="s">
        <v>246</v>
      </c>
      <c r="F2" s="4" t="s">
        <v>247</v>
      </c>
      <c r="G2" s="7" t="s">
        <v>248</v>
      </c>
      <c r="H2" s="4">
        <v>0.05</v>
      </c>
      <c r="I2" s="7">
        <v>5</v>
      </c>
      <c r="J2" s="10">
        <v>100</v>
      </c>
      <c r="K2" s="2">
        <v>1</v>
      </c>
      <c r="L2" s="2"/>
      <c r="M2" s="2" t="s">
        <v>249</v>
      </c>
      <c r="N2" t="s">
        <v>250</v>
      </c>
      <c r="O2" s="1" t="b">
        <v>1</v>
      </c>
    </row>
    <row r="3" spans="1:15" ht="44" customHeight="1">
      <c r="A3" s="2" t="s">
        <v>251</v>
      </c>
      <c r="B3" s="2" t="s">
        <v>252</v>
      </c>
      <c r="C3" s="2" t="s">
        <v>253</v>
      </c>
      <c r="D3" s="11" t="s">
        <v>254</v>
      </c>
      <c r="E3" s="2" t="s">
        <v>246</v>
      </c>
      <c r="F3" s="4" t="s">
        <v>255</v>
      </c>
      <c r="G3" s="7" t="s">
        <v>248</v>
      </c>
      <c r="H3" s="4">
        <v>5</v>
      </c>
      <c r="I3" s="7">
        <v>5</v>
      </c>
      <c r="J3" s="10">
        <v>100</v>
      </c>
      <c r="K3" s="2">
        <v>1</v>
      </c>
      <c r="L3" s="2"/>
      <c r="M3" s="2" t="s">
        <v>249</v>
      </c>
      <c r="N3" t="s">
        <v>256</v>
      </c>
      <c r="O3" s="1" t="b">
        <v>1</v>
      </c>
    </row>
    <row r="4" spans="1:15" ht="44" customHeight="1">
      <c r="A4" s="2" t="s">
        <v>257</v>
      </c>
      <c r="B4" s="2" t="s">
        <v>258</v>
      </c>
      <c r="C4" s="2" t="s">
        <v>259</v>
      </c>
      <c r="D4" s="11" t="s">
        <v>260</v>
      </c>
      <c r="E4" s="2" t="s">
        <v>246</v>
      </c>
      <c r="F4" s="4" t="s">
        <v>73</v>
      </c>
      <c r="G4" s="7" t="s">
        <v>248</v>
      </c>
      <c r="H4" s="4">
        <v>1</v>
      </c>
      <c r="I4" s="7">
        <v>5</v>
      </c>
      <c r="J4" s="10">
        <v>80</v>
      </c>
      <c r="K4" s="2">
        <v>2</v>
      </c>
      <c r="L4" s="2"/>
      <c r="M4" s="2" t="s">
        <v>261</v>
      </c>
      <c r="N4" t="s">
        <v>262</v>
      </c>
      <c r="O4" s="1" t="b">
        <v>1</v>
      </c>
    </row>
    <row r="5" spans="1:15" ht="44" customHeight="1">
      <c r="A5" s="2" t="s">
        <v>263</v>
      </c>
      <c r="B5" s="2" t="s">
        <v>264</v>
      </c>
      <c r="C5" s="2" t="s">
        <v>265</v>
      </c>
      <c r="D5" s="11" t="s">
        <v>266</v>
      </c>
      <c r="E5" s="2" t="s">
        <v>246</v>
      </c>
      <c r="F5" s="4" t="s">
        <v>74</v>
      </c>
      <c r="G5" s="7" t="s">
        <v>248</v>
      </c>
      <c r="H5" s="4">
        <v>0.15</v>
      </c>
      <c r="I5" s="7">
        <v>3</v>
      </c>
      <c r="J5" s="10">
        <v>70</v>
      </c>
      <c r="K5" s="2">
        <v>3</v>
      </c>
      <c r="L5" s="2"/>
      <c r="M5" s="2" t="s">
        <v>261</v>
      </c>
      <c r="N5" t="s">
        <v>267</v>
      </c>
      <c r="O5" s="1" t="b">
        <v>1</v>
      </c>
    </row>
    <row r="6" spans="1:15" ht="44" customHeight="1">
      <c r="A6" s="2" t="s">
        <v>268</v>
      </c>
      <c r="B6" s="2" t="s">
        <v>269</v>
      </c>
      <c r="C6" s="2" t="s">
        <v>270</v>
      </c>
      <c r="D6" s="11" t="s">
        <v>271</v>
      </c>
      <c r="E6" s="2" t="s">
        <v>272</v>
      </c>
      <c r="F6" s="4" t="s">
        <v>273</v>
      </c>
      <c r="G6" s="7" t="s">
        <v>248</v>
      </c>
      <c r="H6" s="4">
        <v>1</v>
      </c>
      <c r="I6" s="7">
        <v>5</v>
      </c>
      <c r="J6" s="10">
        <v>90</v>
      </c>
      <c r="K6" s="2">
        <v>2</v>
      </c>
      <c r="L6" s="2"/>
      <c r="M6" s="2" t="s">
        <v>249</v>
      </c>
      <c r="N6" t="s">
        <v>274</v>
      </c>
      <c r="O6" s="1" t="b">
        <v>1</v>
      </c>
    </row>
    <row r="7" spans="1:15" ht="44" customHeight="1">
      <c r="A7" s="2" t="s">
        <v>275</v>
      </c>
      <c r="B7" s="2" t="s">
        <v>276</v>
      </c>
      <c r="C7" s="2" t="s">
        <v>277</v>
      </c>
      <c r="D7" s="11" t="s">
        <v>278</v>
      </c>
      <c r="E7" s="2" t="s">
        <v>272</v>
      </c>
      <c r="F7" s="4" t="s">
        <v>279</v>
      </c>
      <c r="G7" s="7" t="s">
        <v>248</v>
      </c>
      <c r="H7" s="4">
        <v>2</v>
      </c>
      <c r="I7" s="7">
        <v>1</v>
      </c>
      <c r="J7" s="10">
        <v>45</v>
      </c>
      <c r="K7" s="2">
        <v>3</v>
      </c>
      <c r="L7" s="2" t="s">
        <v>268</v>
      </c>
      <c r="M7" s="2" t="s">
        <v>280</v>
      </c>
      <c r="N7" t="s">
        <v>281</v>
      </c>
      <c r="O7" s="1" t="b">
        <v>1</v>
      </c>
    </row>
    <row r="8" spans="1:15" ht="44" customHeight="1">
      <c r="A8" s="2" t="s">
        <v>282</v>
      </c>
      <c r="B8" s="2" t="s">
        <v>283</v>
      </c>
      <c r="C8" s="2" t="s">
        <v>284</v>
      </c>
      <c r="D8" s="11" t="s">
        <v>285</v>
      </c>
      <c r="E8" s="2" t="s">
        <v>272</v>
      </c>
      <c r="F8" s="4" t="s">
        <v>286</v>
      </c>
      <c r="G8" s="7" t="s">
        <v>248</v>
      </c>
      <c r="H8" s="4">
        <v>2</v>
      </c>
      <c r="I8" s="7">
        <v>3</v>
      </c>
      <c r="J8" s="10">
        <v>55</v>
      </c>
      <c r="K8" s="2">
        <v>4</v>
      </c>
      <c r="L8" s="2"/>
      <c r="M8" s="2" t="s">
        <v>261</v>
      </c>
      <c r="N8" t="s">
        <v>287</v>
      </c>
      <c r="O8" s="1" t="b">
        <v>1</v>
      </c>
    </row>
    <row r="9" spans="1:15" ht="44" customHeight="1">
      <c r="A9" s="2" t="s">
        <v>288</v>
      </c>
      <c r="B9" s="2" t="s">
        <v>289</v>
      </c>
      <c r="C9" s="2" t="s">
        <v>290</v>
      </c>
      <c r="D9" s="11" t="s">
        <v>291</v>
      </c>
      <c r="E9" s="2" t="s">
        <v>272</v>
      </c>
      <c r="F9" s="4" t="s">
        <v>292</v>
      </c>
      <c r="G9" s="7" t="s">
        <v>248</v>
      </c>
      <c r="H9" s="4">
        <v>0.75</v>
      </c>
      <c r="I9" s="7">
        <v>5</v>
      </c>
      <c r="J9" s="10">
        <v>60</v>
      </c>
      <c r="K9" s="2">
        <v>4</v>
      </c>
      <c r="L9" s="2"/>
      <c r="M9" s="2" t="s">
        <v>261</v>
      </c>
      <c r="N9" t="s">
        <v>293</v>
      </c>
      <c r="O9" s="1" t="b">
        <v>1</v>
      </c>
    </row>
    <row r="10" spans="1:15" ht="44" customHeight="1">
      <c r="A10" s="2" t="s">
        <v>294</v>
      </c>
      <c r="B10" s="2" t="s">
        <v>295</v>
      </c>
      <c r="C10" s="2" t="s">
        <v>296</v>
      </c>
      <c r="D10" s="11" t="s">
        <v>297</v>
      </c>
      <c r="E10" s="2" t="s">
        <v>272</v>
      </c>
      <c r="F10" s="4" t="s">
        <v>298</v>
      </c>
      <c r="G10" s="7" t="s">
        <v>248</v>
      </c>
      <c r="H10" s="4">
        <v>1.8</v>
      </c>
      <c r="I10" s="7">
        <v>5</v>
      </c>
      <c r="J10" s="10">
        <v>65</v>
      </c>
      <c r="K10" s="2">
        <v>3</v>
      </c>
      <c r="L10" s="2"/>
      <c r="M10" s="2" t="s">
        <v>261</v>
      </c>
      <c r="N10" t="s">
        <v>299</v>
      </c>
      <c r="O10" s="1" t="b">
        <v>1</v>
      </c>
    </row>
    <row r="11" spans="1:15" ht="44" customHeight="1">
      <c r="A11" t="s">
        <v>300</v>
      </c>
      <c r="B11" t="s">
        <v>301</v>
      </c>
      <c r="C11" t="s">
        <v>302</v>
      </c>
      <c r="D11" s="34" t="s">
        <v>303</v>
      </c>
      <c r="E11" t="s">
        <v>272</v>
      </c>
      <c r="F11" t="s">
        <v>304</v>
      </c>
      <c r="G11" t="s">
        <v>248</v>
      </c>
      <c r="H11" s="32">
        <v>0.1</v>
      </c>
      <c r="I11">
        <v>3</v>
      </c>
      <c r="J11">
        <v>55</v>
      </c>
      <c r="K11">
        <v>3</v>
      </c>
      <c r="M11" t="s">
        <v>261</v>
      </c>
      <c r="N11" t="s">
        <v>305</v>
      </c>
      <c r="O11" s="1" t="b">
        <v>1</v>
      </c>
    </row>
    <row r="12" spans="1:15" ht="52" customHeight="1">
      <c r="A12" s="34" t="s">
        <v>306</v>
      </c>
      <c r="B12" s="34" t="s">
        <v>307</v>
      </c>
      <c r="C12" s="34" t="s">
        <v>308</v>
      </c>
      <c r="D12" s="34" t="s">
        <v>309</v>
      </c>
      <c r="E12" s="34" t="s">
        <v>272</v>
      </c>
      <c r="F12" s="34" t="s">
        <v>310</v>
      </c>
      <c r="G12" s="34" t="s">
        <v>248</v>
      </c>
      <c r="H12" s="34">
        <v>1</v>
      </c>
      <c r="I12" s="34">
        <v>3</v>
      </c>
      <c r="J12" s="34">
        <v>60</v>
      </c>
      <c r="K12" s="34">
        <v>3</v>
      </c>
      <c r="L12" s="34"/>
      <c r="M12" s="34" t="s">
        <v>261</v>
      </c>
      <c r="N12" s="34" t="s">
        <v>311</v>
      </c>
      <c r="O12" s="72" t="b">
        <v>1</v>
      </c>
    </row>
    <row r="13" spans="1:15" ht="52" customHeight="1">
      <c r="A13" s="34" t="s">
        <v>312</v>
      </c>
      <c r="B13" s="34" t="s">
        <v>313</v>
      </c>
      <c r="C13" s="34" t="s">
        <v>314</v>
      </c>
      <c r="D13" s="34" t="s">
        <v>315</v>
      </c>
      <c r="E13" s="34" t="s">
        <v>272</v>
      </c>
      <c r="F13" s="34" t="s">
        <v>316</v>
      </c>
      <c r="G13" s="34" t="s">
        <v>248</v>
      </c>
      <c r="H13" s="34">
        <v>1</v>
      </c>
      <c r="I13" s="34">
        <v>3</v>
      </c>
      <c r="J13" s="34">
        <v>50</v>
      </c>
      <c r="K13" s="34">
        <v>4</v>
      </c>
      <c r="L13" s="34" t="s">
        <v>306</v>
      </c>
      <c r="M13" s="34" t="s">
        <v>261</v>
      </c>
      <c r="N13" s="34" t="s">
        <v>317</v>
      </c>
      <c r="O13" s="72" t="b">
        <v>1</v>
      </c>
    </row>
    <row r="14" spans="1:15" ht="66" customHeight="1">
      <c r="A14" t="s">
        <v>318</v>
      </c>
      <c r="B14" t="s">
        <v>319</v>
      </c>
      <c r="C14" t="s">
        <v>320</v>
      </c>
      <c r="D14" s="34" t="s">
        <v>417</v>
      </c>
      <c r="E14" t="s">
        <v>272</v>
      </c>
      <c r="F14" t="s">
        <v>321</v>
      </c>
      <c r="G14" t="s">
        <v>248</v>
      </c>
      <c r="H14">
        <v>0.35</v>
      </c>
      <c r="I14">
        <v>5</v>
      </c>
      <c r="J14">
        <v>60</v>
      </c>
      <c r="K14">
        <v>3</v>
      </c>
      <c r="M14" t="s">
        <v>261</v>
      </c>
      <c r="N14" t="s">
        <v>322</v>
      </c>
      <c r="O14" s="1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5"/>
  <sheetViews>
    <sheetView showGridLines="0" workbookViewId="0"/>
  </sheetViews>
  <sheetFormatPr defaultRowHeight="14"/>
  <cols>
    <col min="1" max="1" width="13" customWidth="1"/>
    <col min="2" max="2" width="11" customWidth="1"/>
    <col min="3" max="7" width="9" customWidth="1"/>
    <col min="8" max="8" width="11" customWidth="1"/>
    <col min="9" max="9" width="16" customWidth="1"/>
    <col min="10" max="10" width="23" customWidth="1"/>
    <col min="11" max="12" width="13" customWidth="1"/>
    <col min="13" max="13" width="14" customWidth="1"/>
    <col min="14" max="14" width="16" customWidth="1"/>
    <col min="15" max="15" width="18" customWidth="1"/>
    <col min="16" max="18" width="20" customWidth="1"/>
    <col min="19" max="19" width="25" customWidth="1"/>
  </cols>
  <sheetData>
    <row r="1" spans="1:19" ht="34" customHeight="1">
      <c r="A1" s="87" t="s">
        <v>323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  <c r="Q1" s="88"/>
      <c r="R1" s="88"/>
      <c r="S1" s="88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9">
      <c r="A3" s="89" t="s">
        <v>324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8"/>
      <c r="Q3" s="88"/>
      <c r="R3" s="88"/>
      <c r="S3" s="88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9">
      <c r="A5" s="23" t="s">
        <v>325</v>
      </c>
      <c r="B5" s="24" t="s">
        <v>326</v>
      </c>
      <c r="C5" s="24" t="s">
        <v>327</v>
      </c>
      <c r="D5" s="24" t="s">
        <v>328</v>
      </c>
      <c r="E5" s="24" t="s">
        <v>329</v>
      </c>
      <c r="F5" s="24" t="s">
        <v>330</v>
      </c>
      <c r="G5" s="24" t="s">
        <v>331</v>
      </c>
      <c r="H5" s="24" t="s">
        <v>332</v>
      </c>
      <c r="I5" s="24" t="s">
        <v>333</v>
      </c>
      <c r="J5" s="24" t="s">
        <v>334</v>
      </c>
      <c r="K5" s="24" t="s">
        <v>335</v>
      </c>
      <c r="L5" s="24" t="s">
        <v>336</v>
      </c>
      <c r="M5" s="24" t="s">
        <v>337</v>
      </c>
      <c r="N5" s="24" t="s">
        <v>338</v>
      </c>
      <c r="O5" s="44" t="s">
        <v>339</v>
      </c>
      <c r="P5" s="45" t="s">
        <v>340</v>
      </c>
      <c r="Q5" s="45" t="s">
        <v>341</v>
      </c>
      <c r="R5" s="45" t="s">
        <v>342</v>
      </c>
      <c r="S5" s="46" t="s">
        <v>343</v>
      </c>
    </row>
    <row r="6" spans="1:19" ht="25" customHeight="1">
      <c r="A6" s="2" t="s">
        <v>114</v>
      </c>
      <c r="B6" s="4">
        <v>1</v>
      </c>
      <c r="C6" s="7">
        <f>COUNTIF(StageSpawn!$B$2:$B$3284,A6)</f>
        <v>4</v>
      </c>
      <c r="D6" s="7">
        <f>COUNTIFS(StageSpawn!$B$2:$B$3284,A6,StageSpawn!$F$2:$F$3284,"GoblinMelee")+COUNTIFS(StageSpawn!$B$2:$B$3284,A6,StageSpawn!$F$2:$F$3284,"FlyingEye")</f>
        <v>4</v>
      </c>
      <c r="E6" s="7">
        <f>COUNTIFS(StageSpawn!$B$2:$B$3284,A6,StageSpawn!$F$2:$F$3284,"GoblinRanged")</f>
        <v>0</v>
      </c>
      <c r="F6" s="7">
        <f>COUNTIFS(StageSpawn!$B$2:$B$3284,A6,StageSpawn!$F$2:$F$3284,"ShieldSkeleton")</f>
        <v>0</v>
      </c>
      <c r="G6" s="7">
        <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f>
        <v>0</v>
      </c>
      <c r="H6" s="7">
        <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f>
        <v>4</v>
      </c>
      <c r="I6" s="7">
        <f>SUM($H$6:H6)</f>
        <v>4</v>
      </c>
      <c r="J6" s="7">
        <v>1</v>
      </c>
      <c r="K6" s="7">
        <v>1</v>
      </c>
      <c r="L6" s="7">
        <v>1</v>
      </c>
      <c r="M6" s="6">
        <v>1</v>
      </c>
      <c r="N6" s="6">
        <v>0</v>
      </c>
      <c r="O6" s="47">
        <v>1</v>
      </c>
      <c r="P6" s="52">
        <v>3</v>
      </c>
      <c r="Q6" s="52">
        <v>15</v>
      </c>
      <c r="R6" s="55">
        <v>1</v>
      </c>
      <c r="S6" s="56">
        <v>1</v>
      </c>
    </row>
    <row r="7" spans="1:19" ht="25" customHeight="1">
      <c r="A7" s="2" t="s">
        <v>119</v>
      </c>
      <c r="B7" s="4">
        <v>11</v>
      </c>
      <c r="C7" s="7">
        <f>COUNTIF(StageSpawn!$B$2:$B$3284,A7)</f>
        <v>5</v>
      </c>
      <c r="D7" s="7">
        <f>COUNTIFS(StageSpawn!$B$2:$B$3284,A7,StageSpawn!$F$2:$F$3284,"GoblinMelee")+COUNTIFS(StageSpawn!$B$2:$B$3284,A7,StageSpawn!$F$2:$F$3284,"FlyingEye")</f>
        <v>5</v>
      </c>
      <c r="E7" s="7">
        <f>COUNTIFS(StageSpawn!$B$2:$B$3284,A7,StageSpawn!$F$2:$F$3284,"GoblinRanged")</f>
        <v>0</v>
      </c>
      <c r="F7" s="7">
        <f>COUNTIFS(StageSpawn!$B$2:$B$3284,A7,StageSpawn!$F$2:$F$3284,"ShieldSkeleton")</f>
        <v>0</v>
      </c>
      <c r="G7" s="7">
        <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f>
        <v>0</v>
      </c>
      <c r="H7" s="7">
        <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f>
        <v>5</v>
      </c>
      <c r="I7" s="7">
        <f>SUM($H$6:H7)</f>
        <v>9</v>
      </c>
      <c r="J7" s="7">
        <v>2</v>
      </c>
      <c r="K7" s="7">
        <v>2</v>
      </c>
      <c r="L7" s="7">
        <v>2</v>
      </c>
      <c r="M7" s="6">
        <v>2</v>
      </c>
      <c r="N7" s="6">
        <v>0</v>
      </c>
      <c r="O7" s="48">
        <v>1</v>
      </c>
      <c r="P7" s="53">
        <v>4.0030000000000001</v>
      </c>
      <c r="Q7" s="53">
        <v>19.012</v>
      </c>
      <c r="R7" s="57">
        <v>1</v>
      </c>
      <c r="S7" s="58">
        <v>1</v>
      </c>
    </row>
    <row r="8" spans="1:19" ht="25" customHeight="1">
      <c r="A8" s="2" t="s">
        <v>121</v>
      </c>
      <c r="B8" s="4">
        <v>21</v>
      </c>
      <c r="C8" s="7">
        <f>COUNTIF(StageSpawn!$B$2:$B$3284,A8)</f>
        <v>6</v>
      </c>
      <c r="D8" s="7">
        <f>COUNTIFS(StageSpawn!$B$2:$B$3284,A8,StageSpawn!$F$2:$F$3284,"GoblinMelee")+COUNTIFS(StageSpawn!$B$2:$B$3284,A8,StageSpawn!$F$2:$F$3284,"FlyingEye")</f>
        <v>5</v>
      </c>
      <c r="E8" s="7">
        <f>COUNTIFS(StageSpawn!$B$2:$B$3284,A8,StageSpawn!$F$2:$F$3284,"GoblinRanged")</f>
        <v>1</v>
      </c>
      <c r="F8" s="7">
        <f>COUNTIFS(StageSpawn!$B$2:$B$3284,A8,StageSpawn!$F$2:$F$3284,"ShieldSkeleton")</f>
        <v>0</v>
      </c>
      <c r="G8" s="7">
        <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f>
        <v>0</v>
      </c>
      <c r="H8" s="7">
        <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f>
        <v>6</v>
      </c>
      <c r="I8" s="7">
        <f>SUM($H$6:H8)</f>
        <v>15</v>
      </c>
      <c r="J8" s="7">
        <v>2</v>
      </c>
      <c r="K8" s="7">
        <v>2</v>
      </c>
      <c r="L8" s="7">
        <v>2</v>
      </c>
      <c r="M8" s="6">
        <v>2</v>
      </c>
      <c r="N8" s="6">
        <v>0</v>
      </c>
      <c r="O8" s="47">
        <v>1</v>
      </c>
      <c r="P8" s="52">
        <v>4.0030000000000001</v>
      </c>
      <c r="Q8" s="52">
        <v>19.012</v>
      </c>
      <c r="R8" s="55">
        <v>1</v>
      </c>
      <c r="S8" s="56">
        <v>1</v>
      </c>
    </row>
    <row r="9" spans="1:19" ht="25" customHeight="1">
      <c r="A9" s="2" t="s">
        <v>123</v>
      </c>
      <c r="B9" s="4">
        <v>31</v>
      </c>
      <c r="C9" s="7">
        <f>COUNTIF(StageSpawn!$B$2:$B$3284,A9)</f>
        <v>7</v>
      </c>
      <c r="D9" s="7">
        <f>COUNTIFS(StageSpawn!$B$2:$B$3284,A9,StageSpawn!$F$2:$F$3284,"GoblinMelee")+COUNTIFS(StageSpawn!$B$2:$B$3284,A9,StageSpawn!$F$2:$F$3284,"FlyingEye")</f>
        <v>6</v>
      </c>
      <c r="E9" s="7">
        <f>COUNTIFS(StageSpawn!$B$2:$B$3284,A9,StageSpawn!$F$2:$F$3284,"GoblinRanged")</f>
        <v>1</v>
      </c>
      <c r="F9" s="7">
        <f>COUNTIFS(StageSpawn!$B$2:$B$3284,A9,StageSpawn!$F$2:$F$3284,"ShieldSkeleton")</f>
        <v>0</v>
      </c>
      <c r="G9" s="7">
        <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f>
        <v>0</v>
      </c>
      <c r="H9" s="7">
        <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f>
        <v>7</v>
      </c>
      <c r="I9" s="7">
        <f>SUM($H$6:H9)</f>
        <v>22</v>
      </c>
      <c r="J9" s="7">
        <v>3</v>
      </c>
      <c r="K9" s="7">
        <v>3</v>
      </c>
      <c r="L9" s="7">
        <v>4</v>
      </c>
      <c r="M9" s="6">
        <v>3.1</v>
      </c>
      <c r="N9" s="6">
        <v>0.1</v>
      </c>
      <c r="O9" s="48">
        <v>1</v>
      </c>
      <c r="P9" s="53">
        <v>4.5530670234261024</v>
      </c>
      <c r="Q9" s="53">
        <v>21.212268093704409</v>
      </c>
      <c r="R9" s="57">
        <v>1</v>
      </c>
      <c r="S9" s="58">
        <v>1</v>
      </c>
    </row>
    <row r="10" spans="1:19" ht="25" customHeight="1">
      <c r="A10" s="2" t="s">
        <v>126</v>
      </c>
      <c r="B10" s="4">
        <v>41</v>
      </c>
      <c r="C10" s="7">
        <f>COUNTIF(StageSpawn!$B$2:$B$3284,A10)</f>
        <v>10</v>
      </c>
      <c r="D10" s="7">
        <f>COUNTIFS(StageSpawn!$B$2:$B$3284,A10,StageSpawn!$F$2:$F$3284,"GoblinMelee")+COUNTIFS(StageSpawn!$B$2:$B$3284,A10,StageSpawn!$F$2:$F$3284,"FlyingEye")</f>
        <v>7</v>
      </c>
      <c r="E10" s="7">
        <f>COUNTIFS(StageSpawn!$B$2:$B$3284,A10,StageSpawn!$F$2:$F$3284,"GoblinRanged")</f>
        <v>2</v>
      </c>
      <c r="F10" s="7">
        <f>COUNTIFS(StageSpawn!$B$2:$B$3284,A10,StageSpawn!$F$2:$F$3284,"ShieldSkeleton")</f>
        <v>1</v>
      </c>
      <c r="G10" s="7">
        <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f>
        <v>0</v>
      </c>
      <c r="H10" s="7">
        <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f>
        <v>11</v>
      </c>
      <c r="I10" s="7">
        <f>SUM($H$6:H10)</f>
        <v>33</v>
      </c>
      <c r="J10" s="7">
        <v>4</v>
      </c>
      <c r="K10" s="7">
        <v>4</v>
      </c>
      <c r="L10" s="7">
        <v>5</v>
      </c>
      <c r="M10" s="6">
        <v>4.0999999999999996</v>
      </c>
      <c r="N10" s="6">
        <v>0.1</v>
      </c>
      <c r="O10" s="47">
        <v>1.2</v>
      </c>
      <c r="P10" s="52">
        <v>5.9650553198892187</v>
      </c>
      <c r="Q10" s="52">
        <v>27.460221279556873</v>
      </c>
      <c r="R10" s="55">
        <v>1</v>
      </c>
      <c r="S10" s="56">
        <v>1</v>
      </c>
    </row>
    <row r="11" spans="1:19" ht="25" customHeight="1">
      <c r="A11" s="2" t="s">
        <v>132</v>
      </c>
      <c r="B11" s="4">
        <v>51</v>
      </c>
      <c r="C11" s="7">
        <f>COUNTIF(StageSpawn!$B$2:$B$3284,A11)</f>
        <v>11</v>
      </c>
      <c r="D11" s="7">
        <f>COUNTIFS(StageSpawn!$B$2:$B$3284,A11,StageSpawn!$F$2:$F$3284,"GoblinMelee")+COUNTIFS(StageSpawn!$B$2:$B$3284,A11,StageSpawn!$F$2:$F$3284,"FlyingEye")</f>
        <v>8</v>
      </c>
      <c r="E11" s="7">
        <f>COUNTIFS(StageSpawn!$B$2:$B$3284,A11,StageSpawn!$F$2:$F$3284,"GoblinRanged")</f>
        <v>2</v>
      </c>
      <c r="F11" s="7">
        <f>COUNTIFS(StageSpawn!$B$2:$B$3284,A11,StageSpawn!$F$2:$F$3284,"ShieldSkeleton")</f>
        <v>1</v>
      </c>
      <c r="G11" s="7">
        <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f>
        <v>0</v>
      </c>
      <c r="H11" s="7">
        <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f>
        <v>12</v>
      </c>
      <c r="I11" s="7">
        <f>SUM($H$6:H11)</f>
        <v>45</v>
      </c>
      <c r="J11" s="7">
        <v>5</v>
      </c>
      <c r="K11" s="7">
        <v>5</v>
      </c>
      <c r="L11" s="7">
        <v>6</v>
      </c>
      <c r="M11" s="6">
        <v>5.2</v>
      </c>
      <c r="N11" s="6">
        <v>0.2</v>
      </c>
      <c r="O11" s="48">
        <v>1.2</v>
      </c>
      <c r="P11" s="53">
        <v>6.4614979562557586</v>
      </c>
      <c r="Q11" s="53">
        <v>29.445991825023032</v>
      </c>
      <c r="R11" s="57">
        <v>1</v>
      </c>
      <c r="S11" s="58">
        <v>1</v>
      </c>
    </row>
    <row r="12" spans="1:19" ht="25" customHeight="1">
      <c r="A12" s="2" t="s">
        <v>139</v>
      </c>
      <c r="B12" s="4">
        <v>61</v>
      </c>
      <c r="C12" s="7">
        <f>COUNTIF(StageSpawn!$B$2:$B$3284,A12)</f>
        <v>12</v>
      </c>
      <c r="D12" s="7">
        <f>COUNTIFS(StageSpawn!$B$2:$B$3284,A12,StageSpawn!$F$2:$F$3284,"GoblinMelee")+COUNTIFS(StageSpawn!$B$2:$B$3284,A12,StageSpawn!$F$2:$F$3284,"FlyingEye")</f>
        <v>9</v>
      </c>
      <c r="E12" s="7">
        <f>COUNTIFS(StageSpawn!$B$2:$B$3284,A12,StageSpawn!$F$2:$F$3284,"GoblinRanged")</f>
        <v>2</v>
      </c>
      <c r="F12" s="7">
        <f>COUNTIFS(StageSpawn!$B$2:$B$3284,A12,StageSpawn!$F$2:$F$3284,"ShieldSkeleton")</f>
        <v>1</v>
      </c>
      <c r="G12" s="7">
        <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f>
        <v>0</v>
      </c>
      <c r="H12" s="7">
        <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f>
        <v>13</v>
      </c>
      <c r="I12" s="7">
        <f>SUM($H$6:H12)</f>
        <v>58</v>
      </c>
      <c r="J12" s="7">
        <v>5</v>
      </c>
      <c r="K12" s="7">
        <v>5</v>
      </c>
      <c r="L12" s="7">
        <v>6</v>
      </c>
      <c r="M12" s="6">
        <v>5.2</v>
      </c>
      <c r="N12" s="6">
        <v>0.2</v>
      </c>
      <c r="O12" s="47">
        <v>1.2</v>
      </c>
      <c r="P12" s="52">
        <v>6.4614979562557586</v>
      </c>
      <c r="Q12" s="52">
        <v>29.445991825023032</v>
      </c>
      <c r="R12" s="55">
        <v>1</v>
      </c>
      <c r="S12" s="56">
        <v>1</v>
      </c>
    </row>
    <row r="13" spans="1:19" ht="25" customHeight="1">
      <c r="A13" s="2" t="s">
        <v>147</v>
      </c>
      <c r="B13" s="4">
        <v>71</v>
      </c>
      <c r="C13" s="7">
        <f>COUNTIF(StageSpawn!$B$2:$B$3284,A13)</f>
        <v>13</v>
      </c>
      <c r="D13" s="7">
        <f>COUNTIFS(StageSpawn!$B$2:$B$3284,A13,StageSpawn!$F$2:$F$3284,"GoblinMelee")+COUNTIFS(StageSpawn!$B$2:$B$3284,A13,StageSpawn!$F$2:$F$3284,"FlyingEye")</f>
        <v>9</v>
      </c>
      <c r="E13" s="7">
        <f>COUNTIFS(StageSpawn!$B$2:$B$3284,A13,StageSpawn!$F$2:$F$3284,"GoblinRanged")</f>
        <v>3</v>
      </c>
      <c r="F13" s="7">
        <f>COUNTIFS(StageSpawn!$B$2:$B$3284,A13,StageSpawn!$F$2:$F$3284,"ShieldSkeleton")</f>
        <v>1</v>
      </c>
      <c r="G13" s="7">
        <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f>
        <v>0</v>
      </c>
      <c r="H13" s="7">
        <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f>
        <v>14</v>
      </c>
      <c r="I13" s="7">
        <f>SUM($H$6:H13)</f>
        <v>72</v>
      </c>
      <c r="J13" s="7">
        <v>6</v>
      </c>
      <c r="K13" s="7">
        <v>6</v>
      </c>
      <c r="L13" s="7">
        <v>7</v>
      </c>
      <c r="M13" s="6">
        <v>6.2</v>
      </c>
      <c r="N13" s="6">
        <v>0.2</v>
      </c>
      <c r="O13" s="48">
        <v>1.5</v>
      </c>
      <c r="P13" s="53">
        <v>8.6008473340028004</v>
      </c>
      <c r="Q13" s="53">
        <v>38.903389336011202</v>
      </c>
      <c r="R13" s="57">
        <v>1</v>
      </c>
      <c r="S13" s="58">
        <v>1</v>
      </c>
    </row>
    <row r="14" spans="1:19" ht="25" customHeight="1">
      <c r="A14" s="2" t="s">
        <v>154</v>
      </c>
      <c r="B14" s="4">
        <v>81</v>
      </c>
      <c r="C14" s="7">
        <f>COUNTIF(StageSpawn!$B$2:$B$3284,A14)</f>
        <v>15</v>
      </c>
      <c r="D14" s="7">
        <f>COUNTIFS(StageSpawn!$B$2:$B$3284,A14,StageSpawn!$F$2:$F$3284,"GoblinMelee")+COUNTIFS(StageSpawn!$B$2:$B$3284,A14,StageSpawn!$F$2:$F$3284,"FlyingEye")</f>
        <v>11</v>
      </c>
      <c r="E14" s="7">
        <f>COUNTIFS(StageSpawn!$B$2:$B$3284,A14,StageSpawn!$F$2:$F$3284,"GoblinRanged")</f>
        <v>3</v>
      </c>
      <c r="F14" s="7">
        <f>COUNTIFS(StageSpawn!$B$2:$B$3284,A14,StageSpawn!$F$2:$F$3284,"ShieldSkeleton")</f>
        <v>1</v>
      </c>
      <c r="G14" s="7">
        <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f>
        <v>0</v>
      </c>
      <c r="H14" s="7">
        <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f>
        <v>16</v>
      </c>
      <c r="I14" s="7">
        <f>SUM($H$6:H14)</f>
        <v>88</v>
      </c>
      <c r="J14" s="7">
        <v>7</v>
      </c>
      <c r="K14" s="7">
        <v>7</v>
      </c>
      <c r="L14" s="7">
        <v>8</v>
      </c>
      <c r="M14" s="6">
        <v>7.3</v>
      </c>
      <c r="N14" s="6">
        <v>0.3</v>
      </c>
      <c r="O14" s="47">
        <v>1.5</v>
      </c>
      <c r="P14" s="52">
        <v>9.1460746014928382</v>
      </c>
      <c r="Q14" s="52">
        <v>41.084298405971353</v>
      </c>
      <c r="R14" s="55">
        <v>1</v>
      </c>
      <c r="S14" s="56">
        <v>1</v>
      </c>
    </row>
    <row r="15" spans="1:19" ht="25" customHeight="1">
      <c r="A15" s="2" t="s">
        <v>155</v>
      </c>
      <c r="B15" s="4">
        <v>91</v>
      </c>
      <c r="C15" s="7">
        <f>COUNTIF(StageSpawn!$B$2:$B$3284,A15)</f>
        <v>16</v>
      </c>
      <c r="D15" s="7">
        <f>COUNTIFS(StageSpawn!$B$2:$B$3284,A15,StageSpawn!$F$2:$F$3284,"GoblinMelee")+COUNTIFS(StageSpawn!$B$2:$B$3284,A15,StageSpawn!$F$2:$F$3284,"FlyingEye")</f>
        <v>12</v>
      </c>
      <c r="E15" s="7">
        <f>COUNTIFS(StageSpawn!$B$2:$B$3284,A15,StageSpawn!$F$2:$F$3284,"GoblinRanged")</f>
        <v>3</v>
      </c>
      <c r="F15" s="7">
        <f>COUNTIFS(StageSpawn!$B$2:$B$3284,A15,StageSpawn!$F$2:$F$3284,"ShieldSkeleton")</f>
        <v>1</v>
      </c>
      <c r="G15" s="7">
        <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f>
        <v>0</v>
      </c>
      <c r="H15" s="7">
        <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f>
        <v>17</v>
      </c>
      <c r="I15" s="7">
        <f>SUM($H$6:H15)</f>
        <v>105</v>
      </c>
      <c r="J15" s="7">
        <v>8</v>
      </c>
      <c r="K15" s="7">
        <v>8</v>
      </c>
      <c r="L15" s="7">
        <v>9</v>
      </c>
      <c r="M15" s="6">
        <v>8.3000000000000007</v>
      </c>
      <c r="N15" s="6">
        <v>0.3</v>
      </c>
      <c r="O15" s="48">
        <v>1.5</v>
      </c>
      <c r="P15" s="53">
        <v>9.6202103019571048</v>
      </c>
      <c r="Q15" s="53">
        <v>42.980841207828419</v>
      </c>
      <c r="R15" s="57">
        <v>1</v>
      </c>
      <c r="S15" s="58">
        <v>1</v>
      </c>
    </row>
    <row r="16" spans="1:19" ht="25" customHeight="1">
      <c r="A16" s="2" t="s">
        <v>156</v>
      </c>
      <c r="B16" s="4">
        <v>101</v>
      </c>
      <c r="C16" s="7">
        <f>COUNTIF(StageSpawn!$B$2:$B$3284,A16)</f>
        <v>17</v>
      </c>
      <c r="D16" s="7">
        <f>COUNTIFS(StageSpawn!$B$2:$B$3284,A16,StageSpawn!$F$2:$F$3284,"GoblinMelee")+COUNTIFS(StageSpawn!$B$2:$B$3284,A16,StageSpawn!$F$2:$F$3284,"FlyingEye")</f>
        <v>13</v>
      </c>
      <c r="E16" s="7">
        <f>COUNTIFS(StageSpawn!$B$2:$B$3284,A16,StageSpawn!$F$2:$F$3284,"GoblinRanged")</f>
        <v>3</v>
      </c>
      <c r="F16" s="7">
        <f>COUNTIFS(StageSpawn!$B$2:$B$3284,A16,StageSpawn!$F$2:$F$3284,"ShieldSkeleton")</f>
        <v>1</v>
      </c>
      <c r="G16" s="7">
        <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f>
        <v>0</v>
      </c>
      <c r="H16" s="7">
        <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f>
        <v>18</v>
      </c>
      <c r="I16" s="7">
        <f>SUM($H$6:H16)</f>
        <v>123</v>
      </c>
      <c r="J16" s="7">
        <v>9</v>
      </c>
      <c r="K16" s="7">
        <v>9</v>
      </c>
      <c r="L16" s="7">
        <v>10</v>
      </c>
      <c r="M16" s="6">
        <v>9.4</v>
      </c>
      <c r="N16" s="6">
        <v>0.4</v>
      </c>
      <c r="O16" s="47">
        <v>1.5</v>
      </c>
      <c r="P16" s="52">
        <v>10.123101070278306</v>
      </c>
      <c r="Q16" s="52">
        <v>44.992404281113224</v>
      </c>
      <c r="R16" s="55">
        <v>1</v>
      </c>
      <c r="S16" s="56">
        <v>1</v>
      </c>
    </row>
    <row r="17" spans="1:19" ht="25" customHeight="1">
      <c r="A17" s="2" t="s">
        <v>157</v>
      </c>
      <c r="B17" s="4">
        <v>111</v>
      </c>
      <c r="C17" s="7">
        <f>COUNTIF(StageSpawn!$B$2:$B$3284,A17)</f>
        <v>19</v>
      </c>
      <c r="D17" s="7">
        <f>COUNTIFS(StageSpawn!$B$2:$B$3284,A17,StageSpawn!$F$2:$F$3284,"GoblinMelee")+COUNTIFS(StageSpawn!$B$2:$B$3284,A17,StageSpawn!$F$2:$F$3284,"FlyingEye")</f>
        <v>13</v>
      </c>
      <c r="E17" s="7">
        <f>COUNTIFS(StageSpawn!$B$2:$B$3284,A17,StageSpawn!$F$2:$F$3284,"GoblinRanged")</f>
        <v>4</v>
      </c>
      <c r="F17" s="7">
        <f>COUNTIFS(StageSpawn!$B$2:$B$3284,A17,StageSpawn!$F$2:$F$3284,"ShieldSkeleton")</f>
        <v>1</v>
      </c>
      <c r="G17" s="7">
        <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f>
        <v>1</v>
      </c>
      <c r="H17" s="7">
        <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f>
        <v>27</v>
      </c>
      <c r="I17" s="7">
        <f>SUM($H$6:H17)</f>
        <v>150</v>
      </c>
      <c r="J17" s="7">
        <v>10</v>
      </c>
      <c r="K17" s="7">
        <v>10</v>
      </c>
      <c r="L17" s="7">
        <v>11</v>
      </c>
      <c r="M17" s="6">
        <v>10.4</v>
      </c>
      <c r="N17" s="6">
        <v>0.4</v>
      </c>
      <c r="O17" s="48">
        <v>1.9</v>
      </c>
      <c r="P17" s="53">
        <v>13.384076238512153</v>
      </c>
      <c r="Q17" s="53">
        <v>59.236304954048606</v>
      </c>
      <c r="R17" s="57">
        <v>2</v>
      </c>
      <c r="S17" s="58">
        <v>1</v>
      </c>
    </row>
    <row r="18" spans="1:19">
      <c r="A18" t="s">
        <v>158</v>
      </c>
      <c r="B18" s="32">
        <v>121</v>
      </c>
      <c r="C18">
        <f>COUNTIF(StageSpawn!$B$2:$B$3284,A18)</f>
        <v>20</v>
      </c>
      <c r="D18">
        <f>COUNTIFS(StageSpawn!$B$2:$B$3284,A18,StageSpawn!$F$2:$F$3284,"GoblinMelee")+COUNTIFS(StageSpawn!$B$2:$B$3284,A18,StageSpawn!$F$2:$F$3284,"FlyingEye")</f>
        <v>15</v>
      </c>
      <c r="E18">
        <f>COUNTIFS(StageSpawn!$B$2:$B$3284,A18,StageSpawn!$F$2:$F$3284,"GoblinRanged")</f>
        <v>4</v>
      </c>
      <c r="F18">
        <f>COUNTIFS(StageSpawn!$B$2:$B$3284,A18,StageSpawn!$F$2:$F$3284,"ShieldSkeleton")</f>
        <v>1</v>
      </c>
      <c r="G18">
        <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f>
        <v>0</v>
      </c>
      <c r="H18">
        <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f>
        <v>21</v>
      </c>
      <c r="I18">
        <f>SUM($H$6:H18)</f>
        <v>171</v>
      </c>
      <c r="J18">
        <v>10</v>
      </c>
      <c r="K18">
        <v>10</v>
      </c>
      <c r="L18">
        <v>11</v>
      </c>
      <c r="M18" s="35">
        <v>10.4</v>
      </c>
      <c r="N18" s="35">
        <v>0.4</v>
      </c>
      <c r="O18" s="49">
        <v>1.9</v>
      </c>
      <c r="P18" s="52">
        <v>13.384076238512153</v>
      </c>
      <c r="Q18" s="52">
        <v>59.236304954048606</v>
      </c>
      <c r="R18" s="55">
        <v>2</v>
      </c>
      <c r="S18" s="56">
        <v>1</v>
      </c>
    </row>
    <row r="19" spans="1:19">
      <c r="A19" t="s">
        <v>159</v>
      </c>
      <c r="B19" s="32">
        <v>131</v>
      </c>
      <c r="C19">
        <f>COUNTIF(StageSpawn!$B$2:$B$3284,A19)</f>
        <v>21</v>
      </c>
      <c r="D19">
        <f>COUNTIFS(StageSpawn!$B$2:$B$3284,A19,StageSpawn!$F$2:$F$3284,"GoblinMelee")+COUNTIFS(StageSpawn!$B$2:$B$3284,A19,StageSpawn!$F$2:$F$3284,"FlyingEye")</f>
        <v>15</v>
      </c>
      <c r="E19">
        <f>COUNTIFS(StageSpawn!$B$2:$B$3284,A19,StageSpawn!$F$2:$F$3284,"GoblinRanged")</f>
        <v>4</v>
      </c>
      <c r="F19">
        <f>COUNTIFS(StageSpawn!$B$2:$B$3284,A19,StageSpawn!$F$2:$F$3284,"ShieldSkeleton")</f>
        <v>2</v>
      </c>
      <c r="G19">
        <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f>
        <v>0</v>
      </c>
      <c r="H19">
        <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f>
        <v>23</v>
      </c>
      <c r="I19">
        <f>SUM($H$6:H19)</f>
        <v>194</v>
      </c>
      <c r="J19">
        <v>11</v>
      </c>
      <c r="K19">
        <v>11</v>
      </c>
      <c r="L19">
        <v>12</v>
      </c>
      <c r="M19" s="35">
        <v>11.4</v>
      </c>
      <c r="N19" s="35">
        <v>0.4</v>
      </c>
      <c r="O19" s="50">
        <v>1.9</v>
      </c>
      <c r="P19" s="53">
        <v>13.93149850540086</v>
      </c>
      <c r="Q19" s="53">
        <v>61.425994021603437</v>
      </c>
      <c r="R19" s="57">
        <v>2</v>
      </c>
      <c r="S19" s="58">
        <v>1</v>
      </c>
    </row>
    <row r="20" spans="1:19">
      <c r="A20" t="s">
        <v>160</v>
      </c>
      <c r="B20" s="32">
        <v>141</v>
      </c>
      <c r="C20">
        <f>COUNTIF(StageSpawn!$B$2:$B$3284,A20)</f>
        <v>23</v>
      </c>
      <c r="D20">
        <f>COUNTIFS(StageSpawn!$B$2:$B$3284,A20,StageSpawn!$F$2:$F$3284,"GoblinMelee")+COUNTIFS(StageSpawn!$B$2:$B$3284,A20,StageSpawn!$F$2:$F$3284,"FlyingEye")</f>
        <v>16</v>
      </c>
      <c r="E20">
        <f>COUNTIFS(StageSpawn!$B$2:$B$3284,A20,StageSpawn!$F$2:$F$3284,"GoblinRanged")</f>
        <v>5</v>
      </c>
      <c r="F20">
        <f>COUNTIFS(StageSpawn!$B$2:$B$3284,A20,StageSpawn!$F$2:$F$3284,"ShieldSkeleton")</f>
        <v>2</v>
      </c>
      <c r="G20">
        <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f>
        <v>0</v>
      </c>
      <c r="H20">
        <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f>
        <v>25</v>
      </c>
      <c r="I20">
        <f>SUM($H$6:H20)</f>
        <v>219</v>
      </c>
      <c r="J20">
        <v>12</v>
      </c>
      <c r="K20">
        <v>12</v>
      </c>
      <c r="L20">
        <v>13</v>
      </c>
      <c r="M20" s="35">
        <v>12.5</v>
      </c>
      <c r="N20" s="35">
        <v>0.5</v>
      </c>
      <c r="O20" s="49">
        <v>1.9</v>
      </c>
      <c r="P20" s="52">
        <v>14.519781461373654</v>
      </c>
      <c r="Q20" s="52">
        <v>63.779125845494612</v>
      </c>
      <c r="R20" s="55">
        <v>2</v>
      </c>
      <c r="S20" s="56">
        <v>1</v>
      </c>
    </row>
    <row r="21" spans="1:19">
      <c r="A21" t="s">
        <v>161</v>
      </c>
      <c r="B21" s="32">
        <v>151</v>
      </c>
      <c r="C21">
        <f>COUNTIF(StageSpawn!$B$2:$B$3284,A21)</f>
        <v>24</v>
      </c>
      <c r="D21">
        <f>COUNTIFS(StageSpawn!$B$2:$B$3284,A21,StageSpawn!$F$2:$F$3284,"GoblinMelee")+COUNTIFS(StageSpawn!$B$2:$B$3284,A21,StageSpawn!$F$2:$F$3284,"FlyingEye")</f>
        <v>17</v>
      </c>
      <c r="E21">
        <f>COUNTIFS(StageSpawn!$B$2:$B$3284,A21,StageSpawn!$F$2:$F$3284,"GoblinRanged")</f>
        <v>5</v>
      </c>
      <c r="F21">
        <f>COUNTIFS(StageSpawn!$B$2:$B$3284,A21,StageSpawn!$F$2:$F$3284,"ShieldSkeleton")</f>
        <v>2</v>
      </c>
      <c r="G21">
        <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f>
        <v>0</v>
      </c>
      <c r="H21">
        <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f>
        <v>26</v>
      </c>
      <c r="I21">
        <f>SUM($H$6:H21)</f>
        <v>245</v>
      </c>
      <c r="J21">
        <v>13</v>
      </c>
      <c r="K21">
        <v>13</v>
      </c>
      <c r="L21">
        <v>14</v>
      </c>
      <c r="M21" s="35">
        <v>13.5</v>
      </c>
      <c r="N21" s="35">
        <v>0.5</v>
      </c>
      <c r="O21" s="50">
        <v>2.4</v>
      </c>
      <c r="P21" s="53">
        <v>19.002489168102784</v>
      </c>
      <c r="Q21" s="53">
        <v>83.209956672411138</v>
      </c>
      <c r="R21" s="57">
        <v>2</v>
      </c>
      <c r="S21" s="58">
        <v>1</v>
      </c>
    </row>
    <row r="22" spans="1:19">
      <c r="A22" t="s">
        <v>162</v>
      </c>
      <c r="B22" s="32">
        <v>161</v>
      </c>
      <c r="C22">
        <f>COUNTIF(StageSpawn!$B$2:$B$3284,A22)</f>
        <v>26</v>
      </c>
      <c r="D22">
        <f>COUNTIFS(StageSpawn!$B$2:$B$3284,A22,StageSpawn!$F$2:$F$3284,"GoblinMelee")+COUNTIFS(StageSpawn!$B$2:$B$3284,A22,StageSpawn!$F$2:$F$3284,"FlyingEye")</f>
        <v>18</v>
      </c>
      <c r="E22">
        <f>COUNTIFS(StageSpawn!$B$2:$B$3284,A22,StageSpawn!$F$2:$F$3284,"GoblinRanged")</f>
        <v>6</v>
      </c>
      <c r="F22">
        <f>COUNTIFS(StageSpawn!$B$2:$B$3284,A22,StageSpawn!$F$2:$F$3284,"ShieldSkeleton")</f>
        <v>2</v>
      </c>
      <c r="G22">
        <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f>
        <v>0</v>
      </c>
      <c r="H22">
        <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f>
        <v>28</v>
      </c>
      <c r="I22">
        <f>SUM($H$6:H22)</f>
        <v>273</v>
      </c>
      <c r="J22">
        <v>14</v>
      </c>
      <c r="K22">
        <v>14</v>
      </c>
      <c r="L22">
        <v>15</v>
      </c>
      <c r="M22" s="35">
        <v>14.5</v>
      </c>
      <c r="N22" s="35">
        <v>0.5</v>
      </c>
      <c r="O22" s="49">
        <v>2.4</v>
      </c>
      <c r="P22" s="52">
        <v>19.652638612916522</v>
      </c>
      <c r="Q22" s="52">
        <v>85.810554451666079</v>
      </c>
      <c r="R22" s="55">
        <v>2</v>
      </c>
      <c r="S22" s="56">
        <v>1</v>
      </c>
    </row>
    <row r="23" spans="1:19">
      <c r="A23" t="s">
        <v>163</v>
      </c>
      <c r="B23" s="32">
        <v>171</v>
      </c>
      <c r="C23">
        <f>COUNTIF(StageSpawn!$B$2:$B$3284,A23)</f>
        <v>27</v>
      </c>
      <c r="D23">
        <f>COUNTIFS(StageSpawn!$B$2:$B$3284,A23,StageSpawn!$F$2:$F$3284,"GoblinMelee")+COUNTIFS(StageSpawn!$B$2:$B$3284,A23,StageSpawn!$F$2:$F$3284,"FlyingEye")</f>
        <v>19</v>
      </c>
      <c r="E23">
        <f>COUNTIFS(StageSpawn!$B$2:$B$3284,A23,StageSpawn!$F$2:$F$3284,"GoblinRanged")</f>
        <v>6</v>
      </c>
      <c r="F23">
        <f>COUNTIFS(StageSpawn!$B$2:$B$3284,A23,StageSpawn!$F$2:$F$3284,"ShieldSkeleton")</f>
        <v>2</v>
      </c>
      <c r="G23">
        <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f>
        <v>0</v>
      </c>
      <c r="H23">
        <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f>
        <v>29</v>
      </c>
      <c r="I23">
        <f>SUM($H$6:H23)</f>
        <v>302</v>
      </c>
      <c r="J23">
        <v>14</v>
      </c>
      <c r="K23">
        <v>14</v>
      </c>
      <c r="L23">
        <v>15</v>
      </c>
      <c r="M23" s="35">
        <v>14.6</v>
      </c>
      <c r="N23" s="35">
        <v>0.6</v>
      </c>
      <c r="O23" s="50">
        <v>2.4</v>
      </c>
      <c r="P23" s="53">
        <v>19.717068277150997</v>
      </c>
      <c r="Q23" s="53">
        <v>86.068273108603989</v>
      </c>
      <c r="R23" s="57">
        <v>2</v>
      </c>
      <c r="S23" s="58">
        <v>1</v>
      </c>
    </row>
    <row r="24" spans="1:19">
      <c r="A24" t="s">
        <v>164</v>
      </c>
      <c r="B24" s="32">
        <v>181</v>
      </c>
      <c r="C24">
        <f>COUNTIF(StageSpawn!$B$2:$B$3284,A24)</f>
        <v>29</v>
      </c>
      <c r="D24">
        <f>COUNTIFS(StageSpawn!$B$2:$B$3284,A24,StageSpawn!$F$2:$F$3284,"GoblinMelee")+COUNTIFS(StageSpawn!$B$2:$B$3284,A24,StageSpawn!$F$2:$F$3284,"FlyingEye")</f>
        <v>21</v>
      </c>
      <c r="E24">
        <f>COUNTIFS(StageSpawn!$B$2:$B$3284,A24,StageSpawn!$F$2:$F$3284,"GoblinRanged")</f>
        <v>6</v>
      </c>
      <c r="F24">
        <f>COUNTIFS(StageSpawn!$B$2:$B$3284,A24,StageSpawn!$F$2:$F$3284,"ShieldSkeleton")</f>
        <v>2</v>
      </c>
      <c r="G24">
        <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f>
        <v>0</v>
      </c>
      <c r="H24">
        <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f>
        <v>31</v>
      </c>
      <c r="I24">
        <f>SUM($H$6:H24)</f>
        <v>333</v>
      </c>
      <c r="J24">
        <v>15</v>
      </c>
      <c r="K24">
        <v>15</v>
      </c>
      <c r="L24">
        <v>16</v>
      </c>
      <c r="M24" s="35">
        <v>15.6</v>
      </c>
      <c r="N24" s="35">
        <v>0.6</v>
      </c>
      <c r="O24" s="49">
        <v>2.4</v>
      </c>
      <c r="P24" s="52">
        <v>20.355949055213461</v>
      </c>
      <c r="Q24" s="52">
        <v>88.623796220853848</v>
      </c>
      <c r="R24" s="55">
        <v>2</v>
      </c>
      <c r="S24" s="56">
        <v>1</v>
      </c>
    </row>
    <row r="25" spans="1:19">
      <c r="A25" t="s">
        <v>165</v>
      </c>
      <c r="B25" s="32">
        <v>191</v>
      </c>
      <c r="C25">
        <f>COUNTIF(StageSpawn!$B$2:$B$3284,A25)</f>
        <v>30</v>
      </c>
      <c r="D25">
        <f>COUNTIFS(StageSpawn!$B$2:$B$3284,A25,StageSpawn!$F$2:$F$3284,"GoblinMelee")+COUNTIFS(StageSpawn!$B$2:$B$3284,A25,StageSpawn!$F$2:$F$3284,"FlyingEye")</f>
        <v>21</v>
      </c>
      <c r="E25">
        <f>COUNTIFS(StageSpawn!$B$2:$B$3284,A25,StageSpawn!$F$2:$F$3284,"GoblinRanged")</f>
        <v>7</v>
      </c>
      <c r="F25">
        <f>COUNTIFS(StageSpawn!$B$2:$B$3284,A25,StageSpawn!$F$2:$F$3284,"ShieldSkeleton")</f>
        <v>2</v>
      </c>
      <c r="G25">
        <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f>
        <v>0</v>
      </c>
      <c r="H25">
        <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f>
        <v>32</v>
      </c>
      <c r="I25">
        <f>SUM($H$6:H25)</f>
        <v>365</v>
      </c>
      <c r="J25">
        <v>16</v>
      </c>
      <c r="K25">
        <v>16</v>
      </c>
      <c r="L25">
        <v>17</v>
      </c>
      <c r="M25" s="35">
        <v>16.600000000000001</v>
      </c>
      <c r="N25" s="35">
        <v>0.6</v>
      </c>
      <c r="O25" s="50">
        <v>3</v>
      </c>
      <c r="P25" s="53">
        <v>26.232093005647066</v>
      </c>
      <c r="Q25" s="53">
        <v>113.92837202258826</v>
      </c>
      <c r="R25" s="57">
        <v>2</v>
      </c>
      <c r="S25" s="58">
        <v>1</v>
      </c>
    </row>
    <row r="26" spans="1:19">
      <c r="A26" t="s">
        <v>166</v>
      </c>
      <c r="B26" s="32">
        <v>201</v>
      </c>
      <c r="C26">
        <f>COUNTIF(StageSpawn!$B$2:$B$3284,A26)</f>
        <v>32</v>
      </c>
      <c r="D26">
        <f>COUNTIFS(StageSpawn!$B$2:$B$3284,A26,StageSpawn!$F$2:$F$3284,"GoblinMelee")+COUNTIFS(StageSpawn!$B$2:$B$3284,A26,StageSpawn!$F$2:$F$3284,"FlyingEye")</f>
        <v>22</v>
      </c>
      <c r="E26">
        <f>COUNTIFS(StageSpawn!$B$2:$B$3284,A26,StageSpawn!$F$2:$F$3284,"GoblinRanged")</f>
        <v>7</v>
      </c>
      <c r="F26">
        <f>COUNTIFS(StageSpawn!$B$2:$B$3284,A26,StageSpawn!$F$2:$F$3284,"ShieldSkeleton")</f>
        <v>3</v>
      </c>
      <c r="G26">
        <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f>
        <v>0</v>
      </c>
      <c r="H26">
        <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f>
        <v>35</v>
      </c>
      <c r="I26">
        <f>SUM($H$6:H26)</f>
        <v>400</v>
      </c>
      <c r="J26">
        <v>17</v>
      </c>
      <c r="K26">
        <v>17</v>
      </c>
      <c r="L26">
        <v>18</v>
      </c>
      <c r="M26" s="35">
        <v>17.7</v>
      </c>
      <c r="N26" s="35">
        <v>0.7</v>
      </c>
      <c r="O26" s="49">
        <v>3</v>
      </c>
      <c r="P26" s="52">
        <v>27.086036538268303</v>
      </c>
      <c r="Q26" s="52">
        <v>117.34414615307321</v>
      </c>
      <c r="R26" s="55">
        <v>2</v>
      </c>
      <c r="S26" s="56">
        <v>1</v>
      </c>
    </row>
    <row r="27" spans="1:19">
      <c r="A27" t="s">
        <v>167</v>
      </c>
      <c r="B27" s="32">
        <v>211</v>
      </c>
      <c r="C27">
        <f>COUNTIF(StageSpawn!$B$2:$B$3284,A27)</f>
        <v>34</v>
      </c>
      <c r="D27">
        <f>COUNTIFS(StageSpawn!$B$2:$B$3284,A27,StageSpawn!$F$2:$F$3284,"GoblinMelee")+COUNTIFS(StageSpawn!$B$2:$B$3284,A27,StageSpawn!$F$2:$F$3284,"FlyingEye")</f>
        <v>23</v>
      </c>
      <c r="E27">
        <f>COUNTIFS(StageSpawn!$B$2:$B$3284,A27,StageSpawn!$F$2:$F$3284,"GoblinRanged")</f>
        <v>8</v>
      </c>
      <c r="F27">
        <f>COUNTIFS(StageSpawn!$B$2:$B$3284,A27,StageSpawn!$F$2:$F$3284,"ShieldSkeleton")</f>
        <v>3</v>
      </c>
      <c r="G27">
        <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f>
        <v>0</v>
      </c>
      <c r="H27">
        <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f>
        <v>37</v>
      </c>
      <c r="I27">
        <f>SUM($H$6:H27)</f>
        <v>437</v>
      </c>
      <c r="J27">
        <v>17</v>
      </c>
      <c r="K27">
        <v>17</v>
      </c>
      <c r="L27">
        <v>18</v>
      </c>
      <c r="M27" s="35">
        <v>17.7</v>
      </c>
      <c r="N27" s="35">
        <v>0.7</v>
      </c>
      <c r="O27" s="50">
        <v>3</v>
      </c>
      <c r="P27" s="53">
        <v>27.086036538268303</v>
      </c>
      <c r="Q27" s="53">
        <v>117.34414615307321</v>
      </c>
      <c r="R27" s="57">
        <v>2</v>
      </c>
      <c r="S27" s="58">
        <v>1</v>
      </c>
    </row>
    <row r="28" spans="1:19">
      <c r="A28" t="s">
        <v>168</v>
      </c>
      <c r="B28" s="32">
        <v>221</v>
      </c>
      <c r="C28">
        <f>COUNTIF(StageSpawn!$B$2:$B$3284,A28)</f>
        <v>35</v>
      </c>
      <c r="D28">
        <f>COUNTIFS(StageSpawn!$B$2:$B$3284,A28,StageSpawn!$F$2:$F$3284,"GoblinMelee")+COUNTIFS(StageSpawn!$B$2:$B$3284,A28,StageSpawn!$F$2:$F$3284,"FlyingEye")</f>
        <v>24</v>
      </c>
      <c r="E28">
        <f>COUNTIFS(StageSpawn!$B$2:$B$3284,A28,StageSpawn!$F$2:$F$3284,"GoblinRanged")</f>
        <v>8</v>
      </c>
      <c r="F28">
        <f>COUNTIFS(StageSpawn!$B$2:$B$3284,A28,StageSpawn!$F$2:$F$3284,"ShieldSkeleton")</f>
        <v>3</v>
      </c>
      <c r="G28">
        <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f>
        <v>0</v>
      </c>
      <c r="H28">
        <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f>
        <v>38</v>
      </c>
      <c r="I28">
        <f>SUM($H$6:H28)</f>
        <v>475</v>
      </c>
      <c r="J28">
        <v>18</v>
      </c>
      <c r="K28">
        <v>18</v>
      </c>
      <c r="L28">
        <v>19</v>
      </c>
      <c r="M28" s="35">
        <v>18.7</v>
      </c>
      <c r="N28" s="35">
        <v>0.7</v>
      </c>
      <c r="O28" s="49">
        <v>3</v>
      </c>
      <c r="P28" s="52">
        <v>27.852498823660945</v>
      </c>
      <c r="Q28" s="52">
        <v>120.40999529464378</v>
      </c>
      <c r="R28" s="55">
        <v>2</v>
      </c>
      <c r="S28" s="56">
        <v>1</v>
      </c>
    </row>
    <row r="29" spans="1:19">
      <c r="A29" t="s">
        <v>169</v>
      </c>
      <c r="B29" s="32">
        <v>231</v>
      </c>
      <c r="C29">
        <f>COUNTIF(StageSpawn!$B$2:$B$3284,A29)</f>
        <v>37</v>
      </c>
      <c r="D29">
        <f>COUNTIFS(StageSpawn!$B$2:$B$3284,A29,StageSpawn!$F$2:$F$3284,"GoblinMelee")+COUNTIFS(StageSpawn!$B$2:$B$3284,A29,StageSpawn!$F$2:$F$3284,"FlyingEye")</f>
        <v>25</v>
      </c>
      <c r="E29">
        <f>COUNTIFS(StageSpawn!$B$2:$B$3284,A29,StageSpawn!$F$2:$F$3284,"GoblinRanged")</f>
        <v>8</v>
      </c>
      <c r="F29">
        <f>COUNTIFS(StageSpawn!$B$2:$B$3284,A29,StageSpawn!$F$2:$F$3284,"ShieldSkeleton")</f>
        <v>3</v>
      </c>
      <c r="G29">
        <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f>
        <v>1</v>
      </c>
      <c r="H29">
        <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f>
        <v>49</v>
      </c>
      <c r="I29">
        <f>SUM($H$6:H29)</f>
        <v>524</v>
      </c>
      <c r="J29">
        <v>19</v>
      </c>
      <c r="K29">
        <v>19</v>
      </c>
      <c r="L29">
        <v>20</v>
      </c>
      <c r="M29" s="35">
        <v>19.8</v>
      </c>
      <c r="N29" s="35">
        <v>0.8</v>
      </c>
      <c r="O29" s="50">
        <v>3.8</v>
      </c>
      <c r="P29" s="53">
        <v>36.335266269086503</v>
      </c>
      <c r="Q29" s="53">
        <v>156.74106507634602</v>
      </c>
      <c r="R29" s="57">
        <v>3</v>
      </c>
      <c r="S29" s="58">
        <v>1</v>
      </c>
    </row>
    <row r="30" spans="1:19">
      <c r="A30" t="s">
        <v>170</v>
      </c>
      <c r="B30" s="32">
        <v>241</v>
      </c>
      <c r="C30">
        <f>COUNTIF(StageSpawn!$B$2:$B$3284,A30)</f>
        <v>39</v>
      </c>
      <c r="D30">
        <f>COUNTIFS(StageSpawn!$B$2:$B$3284,A30,StageSpawn!$F$2:$F$3284,"GoblinMelee")+COUNTIFS(StageSpawn!$B$2:$B$3284,A30,StageSpawn!$F$2:$F$3284,"FlyingEye")</f>
        <v>26</v>
      </c>
      <c r="E30">
        <f>COUNTIFS(StageSpawn!$B$2:$B$3284,A30,StageSpawn!$F$2:$F$3284,"GoblinRanged")</f>
        <v>9</v>
      </c>
      <c r="F30">
        <f>COUNTIFS(StageSpawn!$B$2:$B$3284,A30,StageSpawn!$F$2:$F$3284,"ShieldSkeleton")</f>
        <v>4</v>
      </c>
      <c r="G30">
        <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f>
        <v>0</v>
      </c>
      <c r="H30">
        <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f>
        <v>45</v>
      </c>
      <c r="I30">
        <f>SUM($H$6:H30)</f>
        <v>569</v>
      </c>
      <c r="J30">
        <v>20</v>
      </c>
      <c r="K30">
        <v>20</v>
      </c>
      <c r="L30">
        <v>21</v>
      </c>
      <c r="M30" s="35">
        <v>20.8</v>
      </c>
      <c r="N30" s="35">
        <v>0.8</v>
      </c>
      <c r="O30" s="49">
        <v>3.8</v>
      </c>
      <c r="P30" s="52">
        <v>37.284312667991394</v>
      </c>
      <c r="Q30" s="52">
        <v>160.53725067196558</v>
      </c>
      <c r="R30" s="55">
        <v>3</v>
      </c>
      <c r="S30" s="56">
        <v>1</v>
      </c>
    </row>
    <row r="31" spans="1:19">
      <c r="A31" t="s">
        <v>171</v>
      </c>
      <c r="B31" s="32">
        <v>251</v>
      </c>
      <c r="C31">
        <f>COUNTIF(StageSpawn!$B$2:$B$3284,A31)</f>
        <v>41</v>
      </c>
      <c r="D31">
        <f>COUNTIFS(StageSpawn!$B$2:$B$3284,A31,StageSpawn!$F$2:$F$3284,"GoblinMelee")+COUNTIFS(StageSpawn!$B$2:$B$3284,A31,StageSpawn!$F$2:$F$3284,"FlyingEye")</f>
        <v>28</v>
      </c>
      <c r="E31">
        <f>COUNTIFS(StageSpawn!$B$2:$B$3284,A31,StageSpawn!$F$2:$F$3284,"GoblinRanged")</f>
        <v>9</v>
      </c>
      <c r="F31">
        <f>COUNTIFS(StageSpawn!$B$2:$B$3284,A31,StageSpawn!$F$2:$F$3284,"ShieldSkeleton")</f>
        <v>4</v>
      </c>
      <c r="G31">
        <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f>
        <v>0</v>
      </c>
      <c r="H31">
        <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f>
        <v>47</v>
      </c>
      <c r="I31">
        <f>SUM($H$6:H31)</f>
        <v>616</v>
      </c>
      <c r="J31">
        <v>21</v>
      </c>
      <c r="K31">
        <v>21</v>
      </c>
      <c r="L31">
        <v>22</v>
      </c>
      <c r="M31" s="35">
        <v>21.9</v>
      </c>
      <c r="N31" s="35">
        <v>0.9</v>
      </c>
      <c r="O31" s="50">
        <v>3.8</v>
      </c>
      <c r="P31" s="53">
        <v>38.317695250255895</v>
      </c>
      <c r="Q31" s="53">
        <v>164.67078100102356</v>
      </c>
      <c r="R31" s="57">
        <v>3</v>
      </c>
      <c r="S31" s="58">
        <v>1</v>
      </c>
    </row>
    <row r="32" spans="1:19">
      <c r="A32" t="s">
        <v>172</v>
      </c>
      <c r="B32" s="32">
        <v>261</v>
      </c>
      <c r="C32">
        <f>COUNTIF(StageSpawn!$B$2:$B$3284,A32)</f>
        <v>43</v>
      </c>
      <c r="D32">
        <f>COUNTIFS(StageSpawn!$B$2:$B$3284,A32,StageSpawn!$F$2:$F$3284,"GoblinMelee")+COUNTIFS(StageSpawn!$B$2:$B$3284,A32,StageSpawn!$F$2:$F$3284,"FlyingEye")</f>
        <v>29</v>
      </c>
      <c r="E32">
        <f>COUNTIFS(StageSpawn!$B$2:$B$3284,A32,StageSpawn!$F$2:$F$3284,"GoblinRanged")</f>
        <v>10</v>
      </c>
      <c r="F32">
        <f>COUNTIFS(StageSpawn!$B$2:$B$3284,A32,StageSpawn!$F$2:$F$3284,"ShieldSkeleton")</f>
        <v>4</v>
      </c>
      <c r="G32">
        <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f>
        <v>0</v>
      </c>
      <c r="H32">
        <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f>
        <v>49</v>
      </c>
      <c r="I32">
        <f>SUM($H$6:H32)</f>
        <v>665</v>
      </c>
      <c r="J32">
        <v>22</v>
      </c>
      <c r="K32">
        <v>22</v>
      </c>
      <c r="L32">
        <v>23</v>
      </c>
      <c r="M32" s="35">
        <v>22.9</v>
      </c>
      <c r="N32" s="35">
        <v>0.9</v>
      </c>
      <c r="O32" s="49">
        <v>3.8</v>
      </c>
      <c r="P32" s="52">
        <v>39.248231772182478</v>
      </c>
      <c r="Q32" s="52">
        <v>168.39292708872992</v>
      </c>
      <c r="R32" s="55">
        <v>3</v>
      </c>
      <c r="S32" s="56">
        <v>1</v>
      </c>
    </row>
    <row r="33" spans="1:19">
      <c r="A33" t="s">
        <v>173</v>
      </c>
      <c r="B33" s="32">
        <v>271</v>
      </c>
      <c r="C33">
        <f>COUNTIF(StageSpawn!$B$2:$B$3284,A33)</f>
        <v>45</v>
      </c>
      <c r="D33">
        <f>COUNTIFS(StageSpawn!$B$2:$B$3284,A33,StageSpawn!$F$2:$F$3284,"GoblinMelee")+COUNTIFS(StageSpawn!$B$2:$B$3284,A33,StageSpawn!$F$2:$F$3284,"FlyingEye")</f>
        <v>30</v>
      </c>
      <c r="E33">
        <f>COUNTIFS(StageSpawn!$B$2:$B$3284,A33,StageSpawn!$F$2:$F$3284,"GoblinRanged")</f>
        <v>11</v>
      </c>
      <c r="F33">
        <f>COUNTIFS(StageSpawn!$B$2:$B$3284,A33,StageSpawn!$F$2:$F$3284,"ShieldSkeleton")</f>
        <v>4</v>
      </c>
      <c r="G33">
        <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f>
        <v>0</v>
      </c>
      <c r="H33">
        <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f>
        <v>52</v>
      </c>
      <c r="I33">
        <f>SUM($H$6:H33)</f>
        <v>717</v>
      </c>
      <c r="J33">
        <v>22</v>
      </c>
      <c r="K33">
        <v>22</v>
      </c>
      <c r="L33">
        <v>23</v>
      </c>
      <c r="M33" s="35">
        <v>22.9</v>
      </c>
      <c r="N33" s="35">
        <v>0.9</v>
      </c>
      <c r="O33" s="50">
        <v>3.8</v>
      </c>
      <c r="P33" s="53">
        <v>39.248231772182478</v>
      </c>
      <c r="Q33" s="53">
        <v>168.39292708872992</v>
      </c>
      <c r="R33" s="57">
        <v>3</v>
      </c>
      <c r="S33" s="58">
        <v>1</v>
      </c>
    </row>
    <row r="34" spans="1:19">
      <c r="A34" t="s">
        <v>174</v>
      </c>
      <c r="B34" s="32">
        <v>281</v>
      </c>
      <c r="C34">
        <f>COUNTIF(StageSpawn!$B$2:$B$3284,A34)</f>
        <v>47</v>
      </c>
      <c r="D34">
        <f>COUNTIFS(StageSpawn!$B$2:$B$3284,A34,StageSpawn!$F$2:$F$3284,"GoblinMelee")+COUNTIFS(StageSpawn!$B$2:$B$3284,A34,StageSpawn!$F$2:$F$3284,"FlyingEye")</f>
        <v>31</v>
      </c>
      <c r="E34">
        <f>COUNTIFS(StageSpawn!$B$2:$B$3284,A34,StageSpawn!$F$2:$F$3284,"GoblinRanged")</f>
        <v>11</v>
      </c>
      <c r="F34">
        <f>COUNTIFS(StageSpawn!$B$2:$B$3284,A34,StageSpawn!$F$2:$F$3284,"ShieldSkeleton")</f>
        <v>5</v>
      </c>
      <c r="G34">
        <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f>
        <v>0</v>
      </c>
      <c r="H34">
        <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f>
        <v>55</v>
      </c>
      <c r="I34">
        <f>SUM($H$6:H34)</f>
        <v>772</v>
      </c>
      <c r="J34">
        <v>23</v>
      </c>
      <c r="K34">
        <v>23</v>
      </c>
      <c r="L34">
        <v>24</v>
      </c>
      <c r="M34" s="35">
        <v>24</v>
      </c>
      <c r="N34" s="35">
        <v>1</v>
      </c>
      <c r="O34" s="49">
        <v>3.8</v>
      </c>
      <c r="P34" s="52">
        <v>40.26273582030008</v>
      </c>
      <c r="Q34" s="52">
        <v>172.4509432812003</v>
      </c>
      <c r="R34" s="55">
        <v>3</v>
      </c>
      <c r="S34" s="56">
        <v>1</v>
      </c>
    </row>
    <row r="35" spans="1:19">
      <c r="A35" t="s">
        <v>175</v>
      </c>
      <c r="B35" s="32">
        <v>291</v>
      </c>
      <c r="C35">
        <f>COUNTIF(StageSpawn!$B$2:$B$3284,A35)</f>
        <v>48</v>
      </c>
      <c r="D35">
        <f>COUNTIFS(StageSpawn!$B$2:$B$3284,A35,StageSpawn!$F$2:$F$3284,"GoblinMelee")+COUNTIFS(StageSpawn!$B$2:$B$3284,A35,StageSpawn!$F$2:$F$3284,"FlyingEye")</f>
        <v>32</v>
      </c>
      <c r="E35">
        <f>COUNTIFS(StageSpawn!$B$2:$B$3284,A35,StageSpawn!$F$2:$F$3284,"GoblinRanged")</f>
        <v>11</v>
      </c>
      <c r="F35">
        <f>COUNTIFS(StageSpawn!$B$2:$B$3284,A35,StageSpawn!$F$2:$F$3284,"ShieldSkeleton")</f>
        <v>5</v>
      </c>
      <c r="G35">
        <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f>
        <v>0</v>
      </c>
      <c r="H35">
        <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f>
        <v>56</v>
      </c>
      <c r="I35">
        <f>SUM($H$6:H35)</f>
        <v>828</v>
      </c>
      <c r="J35">
        <v>24</v>
      </c>
      <c r="K35">
        <v>24</v>
      </c>
      <c r="L35">
        <v>25</v>
      </c>
      <c r="M35" s="35">
        <v>25</v>
      </c>
      <c r="N35" s="35">
        <v>1</v>
      </c>
      <c r="O35" s="50">
        <v>3.8</v>
      </c>
      <c r="P35" s="53">
        <v>41.177303738379322</v>
      </c>
      <c r="Q35" s="53">
        <v>176.1092149535173</v>
      </c>
      <c r="R35" s="57">
        <v>3</v>
      </c>
      <c r="S35" s="58">
        <v>1</v>
      </c>
    </row>
    <row r="36" spans="1:19">
      <c r="A36" t="s">
        <v>176</v>
      </c>
      <c r="B36" s="32">
        <v>301</v>
      </c>
      <c r="C36">
        <f>COUNTIF(StageSpawn!$B$2:$B$3284,A36)</f>
        <v>50</v>
      </c>
      <c r="D36">
        <f>COUNTIFS(StageSpawn!$B$2:$B$3284,A36,StageSpawn!$F$2:$F$3284,"GoblinMelee")+COUNTIFS(StageSpawn!$B$2:$B$3284,A36,StageSpawn!$F$2:$F$3284,"FlyingEye")</f>
        <v>33</v>
      </c>
      <c r="E36">
        <f>COUNTIFS(StageSpawn!$B$2:$B$3284,A36,StageSpawn!$F$2:$F$3284,"GoblinRanged")</f>
        <v>12</v>
      </c>
      <c r="F36">
        <f>COUNTIFS(StageSpawn!$B$2:$B$3284,A36,StageSpawn!$F$2:$F$3284,"ShieldSkeleton")</f>
        <v>5</v>
      </c>
      <c r="G36">
        <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f>
        <v>0</v>
      </c>
      <c r="H36">
        <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f>
        <v>58</v>
      </c>
      <c r="I36">
        <f>SUM($H$6:H36)</f>
        <v>886</v>
      </c>
      <c r="J36">
        <v>25</v>
      </c>
      <c r="K36">
        <v>26</v>
      </c>
      <c r="L36">
        <v>27</v>
      </c>
      <c r="M36" s="35">
        <v>26</v>
      </c>
      <c r="N36" s="35">
        <v>1</v>
      </c>
      <c r="O36" s="49">
        <v>3.8</v>
      </c>
      <c r="P36" s="52">
        <v>42.084999999999994</v>
      </c>
      <c r="Q36" s="52">
        <v>179.73999999999998</v>
      </c>
      <c r="R36" s="55">
        <v>3</v>
      </c>
      <c r="S36" s="56">
        <v>1</v>
      </c>
    </row>
    <row r="37" spans="1:19">
      <c r="A37" t="s">
        <v>177</v>
      </c>
      <c r="B37" s="32">
        <v>311</v>
      </c>
      <c r="C37">
        <f>COUNTIF(StageSpawn!$B$2:$B$3284,A37)</f>
        <v>53</v>
      </c>
      <c r="D37">
        <f>COUNTIFS(StageSpawn!$B$2:$B$3284,A37,StageSpawn!$F$2:$F$3284,"GoblinMelee")+COUNTIFS(StageSpawn!$B$2:$B$3284,A37,StageSpawn!$F$2:$F$3284,"FlyingEye")</f>
        <v>35</v>
      </c>
      <c r="E37">
        <f>COUNTIFS(StageSpawn!$B$2:$B$3284,A37,StageSpawn!$F$2:$F$3284,"GoblinRanged")</f>
        <v>13</v>
      </c>
      <c r="F37">
        <f>COUNTIFS(StageSpawn!$B$2:$B$3284,A37,StageSpawn!$F$2:$F$3284,"ShieldSkeleton")</f>
        <v>5</v>
      </c>
      <c r="G37">
        <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f>
        <v>0</v>
      </c>
      <c r="H37">
        <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f>
        <v>61</v>
      </c>
      <c r="I37">
        <f>SUM($H$6:H37)</f>
        <v>947</v>
      </c>
      <c r="J37">
        <v>26</v>
      </c>
      <c r="K37">
        <v>27</v>
      </c>
      <c r="L37">
        <v>28</v>
      </c>
      <c r="M37" s="35">
        <v>27.1</v>
      </c>
      <c r="N37" s="35">
        <v>1.1000000000000001</v>
      </c>
      <c r="O37" s="50">
        <v>4.8</v>
      </c>
      <c r="P37" s="53">
        <v>54.411808911893921</v>
      </c>
      <c r="Q37" s="53">
        <v>232.04723564757566</v>
      </c>
      <c r="R37" s="57">
        <v>3</v>
      </c>
      <c r="S37" s="58">
        <v>1</v>
      </c>
    </row>
    <row r="38" spans="1:19">
      <c r="A38" t="s">
        <v>178</v>
      </c>
      <c r="B38" s="32">
        <v>321</v>
      </c>
      <c r="C38">
        <f>COUNTIF(StageSpawn!$B$2:$B$3284,A38)</f>
        <v>55</v>
      </c>
      <c r="D38">
        <f>COUNTIFS(StageSpawn!$B$2:$B$3284,A38,StageSpawn!$F$2:$F$3284,"GoblinMelee")+COUNTIFS(StageSpawn!$B$2:$B$3284,A38,StageSpawn!$F$2:$F$3284,"FlyingEye")</f>
        <v>36</v>
      </c>
      <c r="E38">
        <f>COUNTIFS(StageSpawn!$B$2:$B$3284,A38,StageSpawn!$F$2:$F$3284,"GoblinRanged")</f>
        <v>13</v>
      </c>
      <c r="F38">
        <f>COUNTIFS(StageSpawn!$B$2:$B$3284,A38,StageSpawn!$F$2:$F$3284,"ShieldSkeleton")</f>
        <v>6</v>
      </c>
      <c r="G38">
        <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f>
        <v>0</v>
      </c>
      <c r="H38">
        <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f>
        <v>64</v>
      </c>
      <c r="I38">
        <f>SUM($H$6:H38)</f>
        <v>1011</v>
      </c>
      <c r="J38">
        <v>26</v>
      </c>
      <c r="K38">
        <v>27</v>
      </c>
      <c r="L38">
        <v>28</v>
      </c>
      <c r="M38" s="35">
        <v>27.1</v>
      </c>
      <c r="N38" s="35">
        <v>1.1000000000000001</v>
      </c>
      <c r="O38" s="49">
        <v>4.8</v>
      </c>
      <c r="P38" s="52">
        <v>54.411808911893921</v>
      </c>
      <c r="Q38" s="52">
        <v>232.04723564757566</v>
      </c>
      <c r="R38" s="55">
        <v>3</v>
      </c>
      <c r="S38" s="56">
        <v>1</v>
      </c>
    </row>
    <row r="39" spans="1:19">
      <c r="A39" t="s">
        <v>179</v>
      </c>
      <c r="B39" s="32">
        <v>331</v>
      </c>
      <c r="C39">
        <f>COUNTIF(StageSpawn!$B$2:$B$3284,A39)</f>
        <v>57</v>
      </c>
      <c r="D39">
        <f>COUNTIFS(StageSpawn!$B$2:$B$3284,A39,StageSpawn!$F$2:$F$3284,"GoblinMelee")+COUNTIFS(StageSpawn!$B$2:$B$3284,A39,StageSpawn!$F$2:$F$3284,"FlyingEye")</f>
        <v>37</v>
      </c>
      <c r="E39">
        <f>COUNTIFS(StageSpawn!$B$2:$B$3284,A39,StageSpawn!$F$2:$F$3284,"GoblinRanged")</f>
        <v>14</v>
      </c>
      <c r="F39">
        <f>COUNTIFS(StageSpawn!$B$2:$B$3284,A39,StageSpawn!$F$2:$F$3284,"ShieldSkeleton")</f>
        <v>6</v>
      </c>
      <c r="G39">
        <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f>
        <v>0</v>
      </c>
      <c r="H39">
        <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f>
        <v>66</v>
      </c>
      <c r="I39">
        <f>SUM($H$6:H39)</f>
        <v>1077</v>
      </c>
      <c r="J39">
        <v>27</v>
      </c>
      <c r="K39">
        <v>28</v>
      </c>
      <c r="L39">
        <v>29</v>
      </c>
      <c r="M39" s="35">
        <v>28.1</v>
      </c>
      <c r="N39" s="35">
        <v>1.1000000000000001</v>
      </c>
      <c r="O39" s="50">
        <v>4.8</v>
      </c>
      <c r="P39" s="53">
        <v>55.541765418426841</v>
      </c>
      <c r="Q39" s="53">
        <v>236.56706167370737</v>
      </c>
      <c r="R39" s="57">
        <v>3</v>
      </c>
      <c r="S39" s="58">
        <v>1</v>
      </c>
    </row>
    <row r="40" spans="1:19">
      <c r="A40" t="s">
        <v>180</v>
      </c>
      <c r="B40" s="32">
        <v>341</v>
      </c>
      <c r="C40">
        <f>COUNTIF(StageSpawn!$B$2:$B$3284,A40)</f>
        <v>59</v>
      </c>
      <c r="D40">
        <f>COUNTIFS(StageSpawn!$B$2:$B$3284,A40,StageSpawn!$F$2:$F$3284,"GoblinMelee")+COUNTIFS(StageSpawn!$B$2:$B$3284,A40,StageSpawn!$F$2:$F$3284,"FlyingEye")</f>
        <v>38</v>
      </c>
      <c r="E40">
        <f>COUNTIFS(StageSpawn!$B$2:$B$3284,A40,StageSpawn!$F$2:$F$3284,"GoblinRanged")</f>
        <v>15</v>
      </c>
      <c r="F40">
        <f>COUNTIFS(StageSpawn!$B$2:$B$3284,A40,StageSpawn!$F$2:$F$3284,"ShieldSkeleton")</f>
        <v>6</v>
      </c>
      <c r="G40">
        <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f>
        <v>0</v>
      </c>
      <c r="H40">
        <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f>
        <v>68</v>
      </c>
      <c r="I40">
        <f>SUM($H$6:H40)</f>
        <v>1145</v>
      </c>
      <c r="J40">
        <v>28</v>
      </c>
      <c r="K40">
        <v>29</v>
      </c>
      <c r="L40">
        <v>30</v>
      </c>
      <c r="M40" s="35">
        <v>29.2</v>
      </c>
      <c r="N40" s="35">
        <v>1.2</v>
      </c>
      <c r="O40" s="49">
        <v>4.8</v>
      </c>
      <c r="P40" s="52">
        <v>56.776378253278061</v>
      </c>
      <c r="Q40" s="52">
        <v>241.50551301311222</v>
      </c>
      <c r="R40" s="55">
        <v>3</v>
      </c>
      <c r="S40" s="56">
        <v>1</v>
      </c>
    </row>
    <row r="41" spans="1:19">
      <c r="A41" t="s">
        <v>181</v>
      </c>
      <c r="B41" s="32">
        <v>351</v>
      </c>
      <c r="C41">
        <f>COUNTIF(StageSpawn!$B$2:$B$3284,A41)</f>
        <v>61</v>
      </c>
      <c r="D41">
        <f>COUNTIFS(StageSpawn!$B$2:$B$3284,A41,StageSpawn!$F$2:$F$3284,"GoblinMelee")+COUNTIFS(StageSpawn!$B$2:$B$3284,A41,StageSpawn!$F$2:$F$3284,"FlyingEye")</f>
        <v>38</v>
      </c>
      <c r="E41">
        <f>COUNTIFS(StageSpawn!$B$2:$B$3284,A41,StageSpawn!$F$2:$F$3284,"GoblinRanged")</f>
        <v>15</v>
      </c>
      <c r="F41">
        <f>COUNTIFS(StageSpawn!$B$2:$B$3284,A41,StageSpawn!$F$2:$F$3284,"ShieldSkeleton")</f>
        <v>7</v>
      </c>
      <c r="G41">
        <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f>
        <v>1</v>
      </c>
      <c r="H41">
        <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f>
        <v>82</v>
      </c>
      <c r="I41">
        <f>SUM($H$6:H41)</f>
        <v>1227</v>
      </c>
      <c r="J41">
        <v>29</v>
      </c>
      <c r="K41">
        <v>30</v>
      </c>
      <c r="L41">
        <v>31</v>
      </c>
      <c r="M41" s="35">
        <v>30.2</v>
      </c>
      <c r="N41" s="35">
        <v>1.2</v>
      </c>
      <c r="O41" s="50">
        <v>4.8</v>
      </c>
      <c r="P41" s="53">
        <v>57.891585932525473</v>
      </c>
      <c r="Q41" s="53">
        <v>245.9663437301019</v>
      </c>
      <c r="R41" s="57">
        <v>3</v>
      </c>
      <c r="S41" s="58">
        <v>1</v>
      </c>
    </row>
    <row r="42" spans="1:19">
      <c r="A42" t="s">
        <v>182</v>
      </c>
      <c r="B42" s="32">
        <v>361</v>
      </c>
      <c r="C42">
        <f>COUNTIF(StageSpawn!$B$2:$B$3284,A42)</f>
        <v>63</v>
      </c>
      <c r="D42">
        <f>COUNTIFS(StageSpawn!$B$2:$B$3284,A42,StageSpawn!$F$2:$F$3284,"GoblinMelee")+COUNTIFS(StageSpawn!$B$2:$B$3284,A42,StageSpawn!$F$2:$F$3284,"FlyingEye")</f>
        <v>40</v>
      </c>
      <c r="E42">
        <f>COUNTIFS(StageSpawn!$B$2:$B$3284,A42,StageSpawn!$F$2:$F$3284,"GoblinRanged")</f>
        <v>16</v>
      </c>
      <c r="F42">
        <f>COUNTIFS(StageSpawn!$B$2:$B$3284,A42,StageSpawn!$F$2:$F$3284,"ShieldSkeleton")</f>
        <v>7</v>
      </c>
      <c r="G42">
        <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f>
        <v>0</v>
      </c>
      <c r="H42">
        <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f>
        <v>75</v>
      </c>
      <c r="I42">
        <f>SUM($H$6:H42)</f>
        <v>1302</v>
      </c>
      <c r="J42">
        <v>30</v>
      </c>
      <c r="K42">
        <v>31</v>
      </c>
      <c r="L42">
        <v>32</v>
      </c>
      <c r="M42" s="35">
        <v>31.2</v>
      </c>
      <c r="N42" s="35">
        <v>1.2</v>
      </c>
      <c r="O42" s="49">
        <v>4.8</v>
      </c>
      <c r="P42" s="52">
        <v>59.000326875703621</v>
      </c>
      <c r="Q42" s="52">
        <v>250.40130750281449</v>
      </c>
      <c r="R42" s="55">
        <v>3</v>
      </c>
      <c r="S42" s="56">
        <v>1</v>
      </c>
    </row>
    <row r="43" spans="1:19">
      <c r="A43" t="s">
        <v>183</v>
      </c>
      <c r="B43" s="32">
        <v>371</v>
      </c>
      <c r="C43">
        <f>COUNTIF(StageSpawn!$B$2:$B$3284,A43)</f>
        <v>66</v>
      </c>
      <c r="D43">
        <f>COUNTIFS(StageSpawn!$B$2:$B$3284,A43,StageSpawn!$F$2:$F$3284,"GoblinMelee")+COUNTIFS(StageSpawn!$B$2:$B$3284,A43,StageSpawn!$F$2:$F$3284,"FlyingEye")</f>
        <v>42</v>
      </c>
      <c r="E43">
        <f>COUNTIFS(StageSpawn!$B$2:$B$3284,A43,StageSpawn!$F$2:$F$3284,"GoblinRanged")</f>
        <v>17</v>
      </c>
      <c r="F43">
        <f>COUNTIFS(StageSpawn!$B$2:$B$3284,A43,StageSpawn!$F$2:$F$3284,"ShieldSkeleton")</f>
        <v>7</v>
      </c>
      <c r="G43">
        <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f>
        <v>0</v>
      </c>
      <c r="H43">
        <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f>
        <v>78</v>
      </c>
      <c r="I43">
        <f>SUM($H$6:H43)</f>
        <v>1380</v>
      </c>
      <c r="J43">
        <v>31</v>
      </c>
      <c r="K43">
        <v>32</v>
      </c>
      <c r="L43">
        <v>33</v>
      </c>
      <c r="M43" s="35">
        <v>32.299999999999997</v>
      </c>
      <c r="N43" s="35">
        <v>1.3</v>
      </c>
      <c r="O43" s="50">
        <v>4.8</v>
      </c>
      <c r="P43" s="53">
        <v>60.212852392501354</v>
      </c>
      <c r="Q43" s="53">
        <v>255.25140957000542</v>
      </c>
      <c r="R43" s="57">
        <v>3</v>
      </c>
      <c r="S43" s="58">
        <v>1</v>
      </c>
    </row>
    <row r="44" spans="1:19">
      <c r="A44" t="s">
        <v>184</v>
      </c>
      <c r="B44" s="32">
        <v>381</v>
      </c>
      <c r="C44">
        <f>COUNTIF(StageSpawn!$B$2:$B$3284,A44)</f>
        <v>68</v>
      </c>
      <c r="D44">
        <f>COUNTIFS(StageSpawn!$B$2:$B$3284,A44,StageSpawn!$F$2:$F$3284,"GoblinMelee")+COUNTIFS(StageSpawn!$B$2:$B$3284,A44,StageSpawn!$F$2:$F$3284,"FlyingEye")</f>
        <v>43</v>
      </c>
      <c r="E44">
        <f>COUNTIFS(StageSpawn!$B$2:$B$3284,A44,StageSpawn!$F$2:$F$3284,"GoblinRanged")</f>
        <v>17</v>
      </c>
      <c r="F44">
        <f>COUNTIFS(StageSpawn!$B$2:$B$3284,A44,StageSpawn!$F$2:$F$3284,"ShieldSkeleton")</f>
        <v>8</v>
      </c>
      <c r="G44">
        <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f>
        <v>0</v>
      </c>
      <c r="H44">
        <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f>
        <v>81</v>
      </c>
      <c r="I44">
        <f>SUM($H$6:H44)</f>
        <v>1461</v>
      </c>
      <c r="J44">
        <v>32</v>
      </c>
      <c r="K44">
        <v>33</v>
      </c>
      <c r="L44">
        <v>34</v>
      </c>
      <c r="M44" s="35">
        <v>33.299999999999997</v>
      </c>
      <c r="N44" s="35">
        <v>1.3</v>
      </c>
      <c r="O44" s="49">
        <v>4.8</v>
      </c>
      <c r="P44" s="52">
        <v>61.30902029304076</v>
      </c>
      <c r="Q44" s="52">
        <v>259.63608117216307</v>
      </c>
      <c r="R44" s="55">
        <v>3</v>
      </c>
      <c r="S44" s="56">
        <v>1</v>
      </c>
    </row>
    <row r="45" spans="1:19">
      <c r="A45" t="s">
        <v>185</v>
      </c>
      <c r="B45" s="32">
        <v>391</v>
      </c>
      <c r="C45">
        <f>COUNTIF(StageSpawn!$B$2:$B$3284,A45)</f>
        <v>70</v>
      </c>
      <c r="D45">
        <f>COUNTIFS(StageSpawn!$B$2:$B$3284,A45,StageSpawn!$F$2:$F$3284,"GoblinMelee")+COUNTIFS(StageSpawn!$B$2:$B$3284,A45,StageSpawn!$F$2:$F$3284,"FlyingEye")</f>
        <v>44</v>
      </c>
      <c r="E45">
        <f>COUNTIFS(StageSpawn!$B$2:$B$3284,A45,StageSpawn!$F$2:$F$3284,"GoblinRanged")</f>
        <v>18</v>
      </c>
      <c r="F45">
        <f>COUNTIFS(StageSpawn!$B$2:$B$3284,A45,StageSpawn!$F$2:$F$3284,"ShieldSkeleton")</f>
        <v>8</v>
      </c>
      <c r="G45">
        <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f>
        <v>0</v>
      </c>
      <c r="H45">
        <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f>
        <v>83</v>
      </c>
      <c r="I45">
        <f>SUM($H$6:H45)</f>
        <v>1544</v>
      </c>
      <c r="J45">
        <v>32</v>
      </c>
      <c r="K45">
        <v>33</v>
      </c>
      <c r="L45">
        <v>34</v>
      </c>
      <c r="M45" s="35">
        <v>33.299999999999997</v>
      </c>
      <c r="N45" s="35">
        <v>1.3</v>
      </c>
      <c r="O45" s="50">
        <v>6</v>
      </c>
      <c r="P45" s="53">
        <v>76.636275366300964</v>
      </c>
      <c r="Q45" s="53">
        <v>324.54510146520386</v>
      </c>
      <c r="R45" s="57">
        <v>4</v>
      </c>
      <c r="S45" s="58">
        <v>1</v>
      </c>
    </row>
    <row r="46" spans="1:19">
      <c r="A46" t="s">
        <v>186</v>
      </c>
      <c r="B46" s="32">
        <v>401</v>
      </c>
      <c r="C46">
        <f>COUNTIF(StageSpawn!$B$2:$B$3284,A46)</f>
        <v>72</v>
      </c>
      <c r="D46">
        <f>COUNTIFS(StageSpawn!$B$2:$B$3284,A46,StageSpawn!$F$2:$F$3284,"GoblinMelee")+COUNTIFS(StageSpawn!$B$2:$B$3284,A46,StageSpawn!$F$2:$F$3284,"FlyingEye")</f>
        <v>45</v>
      </c>
      <c r="E46">
        <f>COUNTIFS(StageSpawn!$B$2:$B$3284,A46,StageSpawn!$F$2:$F$3284,"GoblinRanged")</f>
        <v>19</v>
      </c>
      <c r="F46">
        <f>COUNTIFS(StageSpawn!$B$2:$B$3284,A46,StageSpawn!$F$2:$F$3284,"ShieldSkeleton")</f>
        <v>8</v>
      </c>
      <c r="G46">
        <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f>
        <v>0</v>
      </c>
      <c r="H46">
        <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f>
        <v>85</v>
      </c>
      <c r="I46">
        <f>SUM($H$6:H46)</f>
        <v>1629</v>
      </c>
      <c r="J46">
        <v>33</v>
      </c>
      <c r="K46">
        <v>34</v>
      </c>
      <c r="L46">
        <v>35</v>
      </c>
      <c r="M46" s="35">
        <v>34.4</v>
      </c>
      <c r="N46" s="35">
        <v>1.4</v>
      </c>
      <c r="O46" s="49">
        <v>6</v>
      </c>
      <c r="P46" s="52">
        <v>78.135493884671774</v>
      </c>
      <c r="Q46" s="52">
        <v>330.5419755386871</v>
      </c>
      <c r="R46" s="55">
        <v>4</v>
      </c>
      <c r="S46" s="56">
        <v>1</v>
      </c>
    </row>
    <row r="47" spans="1:19">
      <c r="A47" t="s">
        <v>187</v>
      </c>
      <c r="B47" s="32">
        <v>411</v>
      </c>
      <c r="C47">
        <f>COUNTIF(StageSpawn!$B$2:$B$3284,A47)</f>
        <v>75</v>
      </c>
      <c r="D47">
        <f>COUNTIFS(StageSpawn!$B$2:$B$3284,A47,StageSpawn!$F$2:$F$3284,"GoblinMelee")+COUNTIFS(StageSpawn!$B$2:$B$3284,A47,StageSpawn!$F$2:$F$3284,"FlyingEye")</f>
        <v>46</v>
      </c>
      <c r="E47">
        <f>COUNTIFS(StageSpawn!$B$2:$B$3284,A47,StageSpawn!$F$2:$F$3284,"GoblinRanged")</f>
        <v>20</v>
      </c>
      <c r="F47">
        <f>COUNTIFS(StageSpawn!$B$2:$B$3284,A47,StageSpawn!$F$2:$F$3284,"ShieldSkeleton")</f>
        <v>9</v>
      </c>
      <c r="G47">
        <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f>
        <v>0</v>
      </c>
      <c r="H47">
        <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f>
        <v>89</v>
      </c>
      <c r="I47">
        <f>SUM($H$6:H47)</f>
        <v>1718</v>
      </c>
      <c r="J47">
        <v>34</v>
      </c>
      <c r="K47">
        <v>35</v>
      </c>
      <c r="L47">
        <v>36</v>
      </c>
      <c r="M47" s="35">
        <v>35.4</v>
      </c>
      <c r="N47" s="35">
        <v>1.4</v>
      </c>
      <c r="O47" s="50">
        <v>6</v>
      </c>
      <c r="P47" s="53">
        <v>79.491471729174947</v>
      </c>
      <c r="Q47" s="53">
        <v>335.96588691669979</v>
      </c>
      <c r="R47" s="57">
        <v>4</v>
      </c>
      <c r="S47" s="58">
        <v>1</v>
      </c>
    </row>
    <row r="48" spans="1:19">
      <c r="A48" t="s">
        <v>188</v>
      </c>
      <c r="B48" s="32">
        <v>421</v>
      </c>
      <c r="C48">
        <f>COUNTIF(StageSpawn!$B$2:$B$3284,A48)</f>
        <v>77</v>
      </c>
      <c r="D48">
        <f>COUNTIFS(StageSpawn!$B$2:$B$3284,A48,StageSpawn!$F$2:$F$3284,"GoblinMelee")+COUNTIFS(StageSpawn!$B$2:$B$3284,A48,StageSpawn!$F$2:$F$3284,"FlyingEye")</f>
        <v>48</v>
      </c>
      <c r="E48">
        <f>COUNTIFS(StageSpawn!$B$2:$B$3284,A48,StageSpawn!$F$2:$F$3284,"GoblinRanged")</f>
        <v>20</v>
      </c>
      <c r="F48">
        <f>COUNTIFS(StageSpawn!$B$2:$B$3284,A48,StageSpawn!$F$2:$F$3284,"ShieldSkeleton")</f>
        <v>9</v>
      </c>
      <c r="G48">
        <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f>
        <v>0</v>
      </c>
      <c r="H48">
        <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f>
        <v>92</v>
      </c>
      <c r="I48">
        <f>SUM($H$6:H48)</f>
        <v>1810</v>
      </c>
      <c r="J48">
        <v>35</v>
      </c>
      <c r="K48">
        <v>36</v>
      </c>
      <c r="L48">
        <v>37</v>
      </c>
      <c r="M48" s="35">
        <v>36.4</v>
      </c>
      <c r="N48" s="35">
        <v>1.4</v>
      </c>
      <c r="O48" s="49">
        <v>6</v>
      </c>
      <c r="P48" s="52">
        <v>80.841128552512771</v>
      </c>
      <c r="Q48" s="52">
        <v>341.36451421005108</v>
      </c>
      <c r="R48" s="55">
        <v>4</v>
      </c>
      <c r="S48" s="56">
        <v>1</v>
      </c>
    </row>
    <row r="49" spans="1:19">
      <c r="A49" t="s">
        <v>189</v>
      </c>
      <c r="B49" s="32">
        <v>431</v>
      </c>
      <c r="C49">
        <f>COUNTIF(StageSpawn!$B$2:$B$3284,A49)</f>
        <v>80</v>
      </c>
      <c r="D49">
        <f>COUNTIFS(StageSpawn!$B$2:$B$3284,A49,StageSpawn!$F$2:$F$3284,"GoblinMelee")+COUNTIFS(StageSpawn!$B$2:$B$3284,A49,StageSpawn!$F$2:$F$3284,"FlyingEye")</f>
        <v>49</v>
      </c>
      <c r="E49">
        <f>COUNTIFS(StageSpawn!$B$2:$B$3284,A49,StageSpawn!$F$2:$F$3284,"GoblinRanged")</f>
        <v>21</v>
      </c>
      <c r="F49">
        <f>COUNTIFS(StageSpawn!$B$2:$B$3284,A49,StageSpawn!$F$2:$F$3284,"ShieldSkeleton")</f>
        <v>10</v>
      </c>
      <c r="G49">
        <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f>
        <v>0</v>
      </c>
      <c r="H49">
        <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f>
        <v>96</v>
      </c>
      <c r="I49">
        <f>SUM($H$6:H49)</f>
        <v>1906</v>
      </c>
      <c r="J49">
        <v>36</v>
      </c>
      <c r="K49">
        <v>37</v>
      </c>
      <c r="L49">
        <v>38</v>
      </c>
      <c r="M49" s="35">
        <v>37.5</v>
      </c>
      <c r="N49" s="35">
        <v>1.5</v>
      </c>
      <c r="O49" s="50">
        <v>6</v>
      </c>
      <c r="P49" s="53">
        <v>82.318767232666161</v>
      </c>
      <c r="Q49" s="53">
        <v>347.27506893066464</v>
      </c>
      <c r="R49" s="57">
        <v>4</v>
      </c>
      <c r="S49" s="58">
        <v>1</v>
      </c>
    </row>
    <row r="50" spans="1:19">
      <c r="A50" t="s">
        <v>190</v>
      </c>
      <c r="B50" s="32">
        <v>441</v>
      </c>
      <c r="C50">
        <f>COUNTIF(StageSpawn!$B$2:$B$3284,A50)</f>
        <v>82</v>
      </c>
      <c r="D50">
        <f>COUNTIFS(StageSpawn!$B$2:$B$3284,A50,StageSpawn!$F$2:$F$3284,"GoblinMelee")+COUNTIFS(StageSpawn!$B$2:$B$3284,A50,StageSpawn!$F$2:$F$3284,"FlyingEye")</f>
        <v>50</v>
      </c>
      <c r="E50">
        <f>COUNTIFS(StageSpawn!$B$2:$B$3284,A50,StageSpawn!$F$2:$F$3284,"GoblinRanged")</f>
        <v>22</v>
      </c>
      <c r="F50">
        <f>COUNTIFS(StageSpawn!$B$2:$B$3284,A50,StageSpawn!$F$2:$F$3284,"ShieldSkeleton")</f>
        <v>10</v>
      </c>
      <c r="G50">
        <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f>
        <v>0</v>
      </c>
      <c r="H50">
        <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f>
        <v>98</v>
      </c>
      <c r="I50">
        <f>SUM($H$6:H50)</f>
        <v>2004</v>
      </c>
      <c r="J50">
        <v>37</v>
      </c>
      <c r="K50">
        <v>38</v>
      </c>
      <c r="L50">
        <v>39</v>
      </c>
      <c r="M50" s="35">
        <v>38.5</v>
      </c>
      <c r="N50" s="35">
        <v>1.5</v>
      </c>
      <c r="O50" s="49">
        <v>6</v>
      </c>
      <c r="P50" s="52">
        <v>83.655994220485525</v>
      </c>
      <c r="Q50" s="52">
        <v>352.6239768819421</v>
      </c>
      <c r="R50" s="55">
        <v>4</v>
      </c>
      <c r="S50" s="56">
        <v>1</v>
      </c>
    </row>
    <row r="51" spans="1:19">
      <c r="A51" t="s">
        <v>191</v>
      </c>
      <c r="B51" s="32">
        <v>451</v>
      </c>
      <c r="C51">
        <f>COUNTIF(StageSpawn!$B$2:$B$3284,A51)</f>
        <v>85</v>
      </c>
      <c r="D51">
        <f>COUNTIFS(StageSpawn!$B$2:$B$3284,A51,StageSpawn!$F$2:$F$3284,"GoblinMelee")+COUNTIFS(StageSpawn!$B$2:$B$3284,A51,StageSpawn!$F$2:$F$3284,"FlyingEye")</f>
        <v>51</v>
      </c>
      <c r="E51">
        <f>COUNTIFS(StageSpawn!$B$2:$B$3284,A51,StageSpawn!$F$2:$F$3284,"GoblinRanged")</f>
        <v>23</v>
      </c>
      <c r="F51">
        <f>COUNTIFS(StageSpawn!$B$2:$B$3284,A51,StageSpawn!$F$2:$F$3284,"ShieldSkeleton")</f>
        <v>11</v>
      </c>
      <c r="G51">
        <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f>
        <v>0</v>
      </c>
      <c r="H51">
        <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f>
        <v>102</v>
      </c>
      <c r="I51">
        <f>SUM($H$6:H51)</f>
        <v>2106</v>
      </c>
      <c r="J51">
        <v>37</v>
      </c>
      <c r="K51">
        <v>38</v>
      </c>
      <c r="L51">
        <v>39</v>
      </c>
      <c r="M51" s="35">
        <v>38.5</v>
      </c>
      <c r="N51" s="35">
        <v>1.5</v>
      </c>
      <c r="O51" s="50">
        <v>6</v>
      </c>
      <c r="P51" s="53">
        <v>83.655994220485525</v>
      </c>
      <c r="Q51" s="53">
        <v>352.6239768819421</v>
      </c>
      <c r="R51" s="57">
        <v>4</v>
      </c>
      <c r="S51" s="58">
        <v>1</v>
      </c>
    </row>
    <row r="52" spans="1:19">
      <c r="A52" t="s">
        <v>192</v>
      </c>
      <c r="B52" s="32">
        <v>461</v>
      </c>
      <c r="C52">
        <f>COUNTIF(StageSpawn!$B$2:$B$3284,A52)</f>
        <v>87</v>
      </c>
      <c r="D52">
        <f>COUNTIFS(StageSpawn!$B$2:$B$3284,A52,StageSpawn!$F$2:$F$3284,"GoblinMelee")+COUNTIFS(StageSpawn!$B$2:$B$3284,A52,StageSpawn!$F$2:$F$3284,"FlyingEye")</f>
        <v>52</v>
      </c>
      <c r="E52">
        <f>COUNTIFS(StageSpawn!$B$2:$B$3284,A52,StageSpawn!$F$2:$F$3284,"GoblinRanged")</f>
        <v>24</v>
      </c>
      <c r="F52">
        <f>COUNTIFS(StageSpawn!$B$2:$B$3284,A52,StageSpawn!$F$2:$F$3284,"ShieldSkeleton")</f>
        <v>11</v>
      </c>
      <c r="G52">
        <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f>
        <v>0</v>
      </c>
      <c r="H52">
        <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f>
        <v>104</v>
      </c>
      <c r="I52">
        <f>SUM($H$6:H52)</f>
        <v>2210</v>
      </c>
      <c r="J52">
        <v>38</v>
      </c>
      <c r="K52">
        <v>39</v>
      </c>
      <c r="L52">
        <v>40</v>
      </c>
      <c r="M52" s="35">
        <v>39.6</v>
      </c>
      <c r="N52" s="35">
        <v>1.6</v>
      </c>
      <c r="O52" s="49">
        <v>6</v>
      </c>
      <c r="P52" s="52">
        <v>85.120538116698498</v>
      </c>
      <c r="Q52" s="52">
        <v>358.48215246679399</v>
      </c>
      <c r="R52" s="55">
        <v>4</v>
      </c>
      <c r="S52" s="56">
        <v>1</v>
      </c>
    </row>
    <row r="53" spans="1:19">
      <c r="A53" t="s">
        <v>193</v>
      </c>
      <c r="B53" s="32">
        <v>471</v>
      </c>
      <c r="C53">
        <f>COUNTIF(StageSpawn!$B$2:$B$3284,A53)</f>
        <v>90</v>
      </c>
      <c r="D53">
        <f>COUNTIFS(StageSpawn!$B$2:$B$3284,A53,StageSpawn!$F$2:$F$3284,"GoblinMelee")+COUNTIFS(StageSpawn!$B$2:$B$3284,A53,StageSpawn!$F$2:$F$3284,"FlyingEye")</f>
        <v>53</v>
      </c>
      <c r="E53">
        <f>COUNTIFS(StageSpawn!$B$2:$B$3284,A53,StageSpawn!$F$2:$F$3284,"GoblinRanged")</f>
        <v>25</v>
      </c>
      <c r="F53">
        <f>COUNTIFS(StageSpawn!$B$2:$B$3284,A53,StageSpawn!$F$2:$F$3284,"ShieldSkeleton")</f>
        <v>12</v>
      </c>
      <c r="G53">
        <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f>
        <v>0</v>
      </c>
      <c r="H53">
        <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f>
        <v>109</v>
      </c>
      <c r="I53">
        <f>SUM($H$6:H53)</f>
        <v>2319</v>
      </c>
      <c r="J53">
        <v>39</v>
      </c>
      <c r="K53">
        <v>40</v>
      </c>
      <c r="L53">
        <v>41</v>
      </c>
      <c r="M53" s="35">
        <v>40.6</v>
      </c>
      <c r="N53" s="35">
        <v>1.6</v>
      </c>
      <c r="O53" s="50">
        <v>7.5</v>
      </c>
      <c r="P53" s="53">
        <v>108.05793844250829</v>
      </c>
      <c r="Q53" s="53">
        <v>454.73175377003315</v>
      </c>
      <c r="R53" s="57">
        <v>4</v>
      </c>
      <c r="S53" s="58">
        <v>2</v>
      </c>
    </row>
    <row r="54" spans="1:19">
      <c r="A54" t="s">
        <v>194</v>
      </c>
      <c r="B54" s="32">
        <v>481</v>
      </c>
      <c r="C54">
        <f>COUNTIF(StageSpawn!$B$2:$B$3284,A54)</f>
        <v>93</v>
      </c>
      <c r="D54">
        <f>COUNTIFS(StageSpawn!$B$2:$B$3284,A54,StageSpawn!$F$2:$F$3284,"GoblinMelee")+COUNTIFS(StageSpawn!$B$2:$B$3284,A54,StageSpawn!$F$2:$F$3284,"FlyingEye")</f>
        <v>55</v>
      </c>
      <c r="E54">
        <f>COUNTIFS(StageSpawn!$B$2:$B$3284,A54,StageSpawn!$F$2:$F$3284,"GoblinRanged")</f>
        <v>26</v>
      </c>
      <c r="F54">
        <f>COUNTIFS(StageSpawn!$B$2:$B$3284,A54,StageSpawn!$F$2:$F$3284,"ShieldSkeleton")</f>
        <v>12</v>
      </c>
      <c r="G54">
        <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f>
        <v>0</v>
      </c>
      <c r="H54">
        <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f>
        <v>111</v>
      </c>
      <c r="I54">
        <f>SUM($H$6:H54)</f>
        <v>2430</v>
      </c>
      <c r="J54">
        <v>40</v>
      </c>
      <c r="K54">
        <v>41</v>
      </c>
      <c r="L54">
        <v>42</v>
      </c>
      <c r="M54" s="35">
        <v>41.6</v>
      </c>
      <c r="N54" s="35">
        <v>1.6</v>
      </c>
      <c r="O54" s="49">
        <v>7.5</v>
      </c>
      <c r="P54" s="52">
        <v>109.70880742128867</v>
      </c>
      <c r="Q54" s="52">
        <v>461.33522968515467</v>
      </c>
      <c r="R54" s="55">
        <v>4</v>
      </c>
      <c r="S54" s="56">
        <v>2</v>
      </c>
    </row>
    <row r="55" spans="1:19">
      <c r="A55" t="s">
        <v>195</v>
      </c>
      <c r="B55" s="32">
        <v>491</v>
      </c>
      <c r="C55">
        <f>COUNTIF(StageSpawn!$B$2:$B$3284,A55)</f>
        <v>95</v>
      </c>
      <c r="D55">
        <f>COUNTIFS(StageSpawn!$B$2:$B$3284,A55,StageSpawn!$F$2:$F$3284,"GoblinMelee")+COUNTIFS(StageSpawn!$B$2:$B$3284,A55,StageSpawn!$F$2:$F$3284,"FlyingEye")</f>
        <v>55</v>
      </c>
      <c r="E55">
        <f>COUNTIFS(StageSpawn!$B$2:$B$3284,A55,StageSpawn!$F$2:$F$3284,"GoblinRanged")</f>
        <v>27</v>
      </c>
      <c r="F55">
        <f>COUNTIFS(StageSpawn!$B$2:$B$3284,A55,StageSpawn!$F$2:$F$3284,"ShieldSkeleton")</f>
        <v>13</v>
      </c>
      <c r="G55">
        <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f>
        <v>0</v>
      </c>
      <c r="H55">
        <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f>
        <v>114</v>
      </c>
      <c r="I55">
        <f>SUM($H$6:H55)</f>
        <v>2544</v>
      </c>
      <c r="J55">
        <v>41</v>
      </c>
      <c r="K55">
        <v>42</v>
      </c>
      <c r="L55">
        <v>43</v>
      </c>
      <c r="M55" s="35">
        <v>42.7</v>
      </c>
      <c r="N55" s="35">
        <v>1.7</v>
      </c>
      <c r="O55" s="50">
        <v>7.5</v>
      </c>
      <c r="P55" s="53">
        <v>111.51765494195548</v>
      </c>
      <c r="Q55" s="53">
        <v>468.57061976782194</v>
      </c>
      <c r="R55" s="57">
        <v>4</v>
      </c>
      <c r="S55" s="58">
        <v>2</v>
      </c>
    </row>
    <row r="56" spans="1:19">
      <c r="A56" t="s">
        <v>196</v>
      </c>
      <c r="B56" s="32">
        <v>501</v>
      </c>
      <c r="C56">
        <f>COUNTIF(StageSpawn!$B$2:$B$3284,A56)</f>
        <v>98</v>
      </c>
      <c r="D56">
        <f>COUNTIFS(StageSpawn!$B$2:$B$3284,A56,StageSpawn!$F$2:$F$3284,"GoblinMelee")+COUNTIFS(StageSpawn!$B$2:$B$3284,A56,StageSpawn!$F$2:$F$3284,"FlyingEye")</f>
        <v>57</v>
      </c>
      <c r="E56">
        <f>COUNTIFS(StageSpawn!$B$2:$B$3284,A56,StageSpawn!$F$2:$F$3284,"GoblinRanged")</f>
        <v>28</v>
      </c>
      <c r="F56">
        <f>COUNTIFS(StageSpawn!$B$2:$B$3284,A56,StageSpawn!$F$2:$F$3284,"ShieldSkeleton")</f>
        <v>13</v>
      </c>
      <c r="G56">
        <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f>
        <v>0</v>
      </c>
      <c r="H56">
        <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f>
        <v>118</v>
      </c>
      <c r="I56">
        <f>SUM($H$6:H56)</f>
        <v>2662</v>
      </c>
      <c r="J56">
        <v>42</v>
      </c>
      <c r="K56">
        <v>43</v>
      </c>
      <c r="L56">
        <v>44</v>
      </c>
      <c r="M56" s="35">
        <v>43.7</v>
      </c>
      <c r="N56" s="35">
        <v>1.7</v>
      </c>
      <c r="O56" s="49">
        <v>7.5</v>
      </c>
      <c r="P56" s="52">
        <v>113.15583859439658</v>
      </c>
      <c r="Q56" s="52">
        <v>475.12335437758634</v>
      </c>
      <c r="R56" s="55">
        <v>4</v>
      </c>
      <c r="S56" s="56">
        <v>2</v>
      </c>
    </row>
    <row r="57" spans="1:19">
      <c r="A57" t="s">
        <v>197</v>
      </c>
      <c r="B57" s="32">
        <v>511</v>
      </c>
      <c r="C57">
        <f>COUNTIF(StageSpawn!$B$2:$B$3284,A57)</f>
        <v>101</v>
      </c>
      <c r="D57">
        <f>COUNTIFS(StageSpawn!$B$2:$B$3284,A57,StageSpawn!$F$2:$F$3284,"GoblinMelee")+COUNTIFS(StageSpawn!$B$2:$B$3284,A57,StageSpawn!$F$2:$F$3284,"FlyingEye")</f>
        <v>58</v>
      </c>
      <c r="E57">
        <f>COUNTIFS(StageSpawn!$B$2:$B$3284,A57,StageSpawn!$F$2:$F$3284,"GoblinRanged")</f>
        <v>29</v>
      </c>
      <c r="F57">
        <f>COUNTIFS(StageSpawn!$B$2:$B$3284,A57,StageSpawn!$F$2:$F$3284,"ShieldSkeleton")</f>
        <v>14</v>
      </c>
      <c r="G57">
        <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f>
        <v>0</v>
      </c>
      <c r="H57">
        <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f>
        <v>122</v>
      </c>
      <c r="I57">
        <f>SUM($H$6:H57)</f>
        <v>2784</v>
      </c>
      <c r="J57">
        <v>43</v>
      </c>
      <c r="K57">
        <v>44</v>
      </c>
      <c r="L57">
        <v>45</v>
      </c>
      <c r="M57" s="35">
        <v>44.7</v>
      </c>
      <c r="N57" s="35">
        <v>1.7</v>
      </c>
      <c r="O57" s="50">
        <v>7.5</v>
      </c>
      <c r="P57" s="53">
        <v>114.78830939664795</v>
      </c>
      <c r="Q57" s="53">
        <v>481.65323758659179</v>
      </c>
      <c r="R57" s="57">
        <v>4</v>
      </c>
      <c r="S57" s="58">
        <v>2</v>
      </c>
    </row>
    <row r="58" spans="1:19">
      <c r="A58" t="s">
        <v>198</v>
      </c>
      <c r="B58" s="32">
        <v>521</v>
      </c>
      <c r="C58">
        <f>COUNTIF(StageSpawn!$B$2:$B$3284,A58)</f>
        <v>104</v>
      </c>
      <c r="D58">
        <f>COUNTIFS(StageSpawn!$B$2:$B$3284,A58,StageSpawn!$F$2:$F$3284,"GoblinMelee")+COUNTIFS(StageSpawn!$B$2:$B$3284,A58,StageSpawn!$F$2:$F$3284,"FlyingEye")</f>
        <v>60</v>
      </c>
      <c r="E58">
        <f>COUNTIFS(StageSpawn!$B$2:$B$3284,A58,StageSpawn!$F$2:$F$3284,"GoblinRanged")</f>
        <v>30</v>
      </c>
      <c r="F58">
        <f>COUNTIFS(StageSpawn!$B$2:$B$3284,A58,StageSpawn!$F$2:$F$3284,"ShieldSkeleton")</f>
        <v>14</v>
      </c>
      <c r="G58">
        <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f>
        <v>0</v>
      </c>
      <c r="H58">
        <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f>
        <v>125</v>
      </c>
      <c r="I58">
        <f>SUM($H$6:H58)</f>
        <v>2909</v>
      </c>
      <c r="J58">
        <v>44</v>
      </c>
      <c r="K58">
        <v>45</v>
      </c>
      <c r="L58">
        <v>46</v>
      </c>
      <c r="M58" s="35">
        <v>45.8</v>
      </c>
      <c r="N58" s="35">
        <v>1.8</v>
      </c>
      <c r="O58" s="49">
        <v>7.5</v>
      </c>
      <c r="P58" s="52">
        <v>116.57766135323786</v>
      </c>
      <c r="Q58" s="52">
        <v>488.81064541295143</v>
      </c>
      <c r="R58" s="55">
        <v>4</v>
      </c>
      <c r="S58" s="56">
        <v>2</v>
      </c>
    </row>
    <row r="59" spans="1:19">
      <c r="A59" t="s">
        <v>199</v>
      </c>
      <c r="B59" s="32">
        <v>531</v>
      </c>
      <c r="C59">
        <f>COUNTIF(StageSpawn!$B$2:$B$3284,A59)</f>
        <v>107</v>
      </c>
      <c r="D59">
        <f>COUNTIFS(StageSpawn!$B$2:$B$3284,A59,StageSpawn!$F$2:$F$3284,"GoblinMelee")+COUNTIFS(StageSpawn!$B$2:$B$3284,A59,StageSpawn!$F$2:$F$3284,"FlyingEye")</f>
        <v>61</v>
      </c>
      <c r="E59">
        <f>COUNTIFS(StageSpawn!$B$2:$B$3284,A59,StageSpawn!$F$2:$F$3284,"GoblinRanged")</f>
        <v>31</v>
      </c>
      <c r="F59">
        <f>COUNTIFS(StageSpawn!$B$2:$B$3284,A59,StageSpawn!$F$2:$F$3284,"ShieldSkeleton")</f>
        <v>15</v>
      </c>
      <c r="G59">
        <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f>
        <v>0</v>
      </c>
      <c r="H59">
        <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f>
        <v>129</v>
      </c>
      <c r="I59">
        <f>SUM($H$6:H59)</f>
        <v>3038</v>
      </c>
      <c r="J59">
        <v>44</v>
      </c>
      <c r="K59">
        <v>45</v>
      </c>
      <c r="L59">
        <v>46</v>
      </c>
      <c r="M59" s="35">
        <v>45.8</v>
      </c>
      <c r="N59" s="35">
        <v>1.8</v>
      </c>
      <c r="O59" s="50">
        <v>7.5</v>
      </c>
      <c r="P59" s="53">
        <v>116.57766135323786</v>
      </c>
      <c r="Q59" s="53">
        <v>488.81064541295143</v>
      </c>
      <c r="R59" s="57">
        <v>4</v>
      </c>
      <c r="S59" s="58">
        <v>2</v>
      </c>
    </row>
    <row r="60" spans="1:19">
      <c r="A60" t="s">
        <v>200</v>
      </c>
      <c r="B60" s="32">
        <v>541</v>
      </c>
      <c r="C60">
        <f>COUNTIF(StageSpawn!$B$2:$B$3284,A60)</f>
        <v>109</v>
      </c>
      <c r="D60">
        <f>COUNTIFS(StageSpawn!$B$2:$B$3284,A60,StageSpawn!$F$2:$F$3284,"GoblinMelee")+COUNTIFS(StageSpawn!$B$2:$B$3284,A60,StageSpawn!$F$2:$F$3284,"FlyingEye")</f>
        <v>62</v>
      </c>
      <c r="E60">
        <f>COUNTIFS(StageSpawn!$B$2:$B$3284,A60,StageSpawn!$F$2:$F$3284,"GoblinRanged")</f>
        <v>32</v>
      </c>
      <c r="F60">
        <f>COUNTIFS(StageSpawn!$B$2:$B$3284,A60,StageSpawn!$F$2:$F$3284,"ShieldSkeleton")</f>
        <v>15</v>
      </c>
      <c r="G60">
        <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f>
        <v>0</v>
      </c>
      <c r="H60">
        <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f>
        <v>131</v>
      </c>
      <c r="I60">
        <f>SUM($H$6:H60)</f>
        <v>3169</v>
      </c>
      <c r="J60">
        <v>45</v>
      </c>
      <c r="K60">
        <v>46</v>
      </c>
      <c r="L60">
        <v>47</v>
      </c>
      <c r="M60" s="35">
        <v>46.8</v>
      </c>
      <c r="N60" s="35">
        <v>1.8</v>
      </c>
      <c r="O60" s="49">
        <v>7.5</v>
      </c>
      <c r="P60" s="52">
        <v>118.198757005006</v>
      </c>
      <c r="Q60" s="52">
        <v>495.29502802002406</v>
      </c>
      <c r="R60" s="55">
        <v>4</v>
      </c>
      <c r="S60" s="56">
        <v>2</v>
      </c>
    </row>
    <row r="61" spans="1:19">
      <c r="A61" t="s">
        <v>201</v>
      </c>
      <c r="B61" s="32">
        <v>551</v>
      </c>
      <c r="C61">
        <f>COUNTIF(StageSpawn!$B$2:$B$3284,A61)</f>
        <v>112</v>
      </c>
      <c r="D61">
        <f>COUNTIFS(StageSpawn!$B$2:$B$3284,A61,StageSpawn!$F$2:$F$3284,"GoblinMelee")+COUNTIFS(StageSpawn!$B$2:$B$3284,A61,StageSpawn!$F$2:$F$3284,"FlyingEye")</f>
        <v>63</v>
      </c>
      <c r="E61">
        <f>COUNTIFS(StageSpawn!$B$2:$B$3284,A61,StageSpawn!$F$2:$F$3284,"GoblinRanged")</f>
        <v>33</v>
      </c>
      <c r="F61">
        <f>COUNTIFS(StageSpawn!$B$2:$B$3284,A61,StageSpawn!$F$2:$F$3284,"ShieldSkeleton")</f>
        <v>16</v>
      </c>
      <c r="G61">
        <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f>
        <v>0</v>
      </c>
      <c r="H61">
        <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f>
        <v>135</v>
      </c>
      <c r="I61">
        <f>SUM($H$6:H61)</f>
        <v>3304</v>
      </c>
      <c r="J61">
        <v>46</v>
      </c>
      <c r="K61">
        <v>47</v>
      </c>
      <c r="L61">
        <v>48</v>
      </c>
      <c r="M61" s="35">
        <v>47.9</v>
      </c>
      <c r="N61" s="35">
        <v>1.9</v>
      </c>
      <c r="O61" s="50">
        <v>9.5</v>
      </c>
      <c r="P61" s="53">
        <v>151.9696365484925</v>
      </c>
      <c r="Q61" s="53">
        <v>636.37854619397001</v>
      </c>
      <c r="R61" s="57">
        <v>5</v>
      </c>
      <c r="S61" s="58">
        <v>2</v>
      </c>
    </row>
    <row r="62" spans="1:19">
      <c r="A62" t="s">
        <v>202</v>
      </c>
      <c r="B62" s="32">
        <v>561</v>
      </c>
      <c r="C62">
        <f>COUNTIF(StageSpawn!$B$2:$B$3284,A62)</f>
        <v>115</v>
      </c>
      <c r="D62">
        <f>COUNTIFS(StageSpawn!$B$2:$B$3284,A62,StageSpawn!$F$2:$F$3284,"GoblinMelee")+COUNTIFS(StageSpawn!$B$2:$B$3284,A62,StageSpawn!$F$2:$F$3284,"FlyingEye")</f>
        <v>64</v>
      </c>
      <c r="E62">
        <f>COUNTIFS(StageSpawn!$B$2:$B$3284,A62,StageSpawn!$F$2:$F$3284,"GoblinRanged")</f>
        <v>34</v>
      </c>
      <c r="F62">
        <f>COUNTIFS(StageSpawn!$B$2:$B$3284,A62,StageSpawn!$F$2:$F$3284,"ShieldSkeleton")</f>
        <v>17</v>
      </c>
      <c r="G62">
        <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f>
        <v>0</v>
      </c>
      <c r="H62">
        <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f>
        <v>140</v>
      </c>
      <c r="I62">
        <f>SUM($H$6:H62)</f>
        <v>3444</v>
      </c>
      <c r="J62">
        <v>47</v>
      </c>
      <c r="K62">
        <v>48</v>
      </c>
      <c r="L62">
        <v>49</v>
      </c>
      <c r="M62" s="35">
        <v>48.9</v>
      </c>
      <c r="N62" s="35">
        <v>1.9</v>
      </c>
      <c r="O62" s="49">
        <v>9.5</v>
      </c>
      <c r="P62" s="52">
        <v>154.00958440778442</v>
      </c>
      <c r="Q62" s="52">
        <v>644.53833763113767</v>
      </c>
      <c r="R62" s="55">
        <v>5</v>
      </c>
      <c r="S62" s="56">
        <v>2</v>
      </c>
    </row>
    <row r="63" spans="1:19">
      <c r="A63" t="s">
        <v>203</v>
      </c>
      <c r="B63" s="32">
        <v>571</v>
      </c>
      <c r="C63">
        <f>COUNTIF(StageSpawn!$B$2:$B$3284,A63)</f>
        <v>118</v>
      </c>
      <c r="D63">
        <f>COUNTIFS(StageSpawn!$B$2:$B$3284,A63,StageSpawn!$F$2:$F$3284,"GoblinMelee")+COUNTIFS(StageSpawn!$B$2:$B$3284,A63,StageSpawn!$F$2:$F$3284,"FlyingEye")</f>
        <v>66</v>
      </c>
      <c r="E63">
        <f>COUNTIFS(StageSpawn!$B$2:$B$3284,A63,StageSpawn!$F$2:$F$3284,"GoblinRanged")</f>
        <v>35</v>
      </c>
      <c r="F63">
        <f>COUNTIFS(StageSpawn!$B$2:$B$3284,A63,StageSpawn!$F$2:$F$3284,"ShieldSkeleton")</f>
        <v>17</v>
      </c>
      <c r="G63">
        <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f>
        <v>0</v>
      </c>
      <c r="H63">
        <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f>
        <v>143</v>
      </c>
      <c r="I63">
        <f>SUM($H$6:H63)</f>
        <v>3587</v>
      </c>
      <c r="J63">
        <v>48</v>
      </c>
      <c r="K63">
        <v>49</v>
      </c>
      <c r="L63">
        <v>50</v>
      </c>
      <c r="M63" s="35">
        <v>49.9</v>
      </c>
      <c r="N63" s="35">
        <v>1.9</v>
      </c>
      <c r="O63" s="50">
        <v>9.5</v>
      </c>
      <c r="P63" s="53">
        <v>156.04344197066209</v>
      </c>
      <c r="Q63" s="53">
        <v>652.67376788264835</v>
      </c>
      <c r="R63" s="57">
        <v>5</v>
      </c>
      <c r="S63" s="58">
        <v>2</v>
      </c>
    </row>
    <row r="64" spans="1:19">
      <c r="A64" t="s">
        <v>204</v>
      </c>
      <c r="B64" s="32">
        <v>581</v>
      </c>
      <c r="C64">
        <f>COUNTIF(StageSpawn!$B$2:$B$3284,A64)</f>
        <v>121</v>
      </c>
      <c r="D64">
        <f>COUNTIFS(StageSpawn!$B$2:$B$3284,A64,StageSpawn!$F$2:$F$3284,"GoblinMelee")+COUNTIFS(StageSpawn!$B$2:$B$3284,A64,StageSpawn!$F$2:$F$3284,"FlyingEye")</f>
        <v>67</v>
      </c>
      <c r="E64">
        <f>COUNTIFS(StageSpawn!$B$2:$B$3284,A64,StageSpawn!$F$2:$F$3284,"GoblinRanged")</f>
        <v>36</v>
      </c>
      <c r="F64">
        <f>COUNTIFS(StageSpawn!$B$2:$B$3284,A64,StageSpawn!$F$2:$F$3284,"ShieldSkeleton")</f>
        <v>18</v>
      </c>
      <c r="G64">
        <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f>
        <v>0</v>
      </c>
      <c r="H64">
        <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f>
        <v>147</v>
      </c>
      <c r="I64">
        <f>SUM($H$6:H64)</f>
        <v>3734</v>
      </c>
      <c r="J64">
        <v>49</v>
      </c>
      <c r="K64">
        <v>50</v>
      </c>
      <c r="L64">
        <v>51</v>
      </c>
      <c r="M64" s="35">
        <v>51</v>
      </c>
      <c r="N64" s="35">
        <v>2</v>
      </c>
      <c r="O64" s="49">
        <v>9.5</v>
      </c>
      <c r="P64" s="52">
        <v>158.2738725808137</v>
      </c>
      <c r="Q64" s="52">
        <v>661.59549032325481</v>
      </c>
      <c r="R64" s="55">
        <v>5</v>
      </c>
      <c r="S64" s="56">
        <v>2</v>
      </c>
    </row>
    <row r="65" spans="1:19">
      <c r="A65" t="s">
        <v>205</v>
      </c>
      <c r="B65" s="32">
        <v>591</v>
      </c>
      <c r="C65">
        <f>COUNTIF(StageSpawn!$B$2:$B$3284,A65)</f>
        <v>124</v>
      </c>
      <c r="D65">
        <f>COUNTIFS(StageSpawn!$B$2:$B$3284,A65,StageSpawn!$F$2:$F$3284,"GoblinMelee")+COUNTIFS(StageSpawn!$B$2:$B$3284,A65,StageSpawn!$F$2:$F$3284,"FlyingEye")</f>
        <v>68</v>
      </c>
      <c r="E65">
        <f>COUNTIFS(StageSpawn!$B$2:$B$3284,A65,StageSpawn!$F$2:$F$3284,"GoblinRanged")</f>
        <v>37</v>
      </c>
      <c r="F65">
        <f>COUNTIFS(StageSpawn!$B$2:$B$3284,A65,StageSpawn!$F$2:$F$3284,"ShieldSkeleton")</f>
        <v>18</v>
      </c>
      <c r="G65">
        <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f>
        <v>1</v>
      </c>
      <c r="H65">
        <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f>
        <v>164</v>
      </c>
      <c r="I65">
        <f>SUM($H$6:H65)</f>
        <v>3898</v>
      </c>
      <c r="J65">
        <v>50</v>
      </c>
      <c r="K65">
        <v>52</v>
      </c>
      <c r="L65">
        <v>52</v>
      </c>
      <c r="M65" s="35">
        <v>52</v>
      </c>
      <c r="N65" s="35">
        <v>2</v>
      </c>
      <c r="O65" s="51">
        <v>9.5</v>
      </c>
      <c r="P65" s="54">
        <v>160.29553456048353</v>
      </c>
      <c r="Q65" s="54">
        <v>669.68213824193413</v>
      </c>
      <c r="R65" s="59">
        <v>5</v>
      </c>
      <c r="S65" s="60">
        <v>2</v>
      </c>
    </row>
  </sheetData>
  <mergeCells count="2">
    <mergeCell ref="A1:S1"/>
    <mergeCell ref="A3:S3"/>
  </mergeCells>
  <phoneticPr fontId="3" type="noConversion"/>
  <conditionalFormatting sqref="N6:N1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showGridLines="0" workbookViewId="0"/>
  </sheetViews>
  <sheetFormatPr defaultRowHeight="14"/>
  <cols>
    <col min="1" max="1" width="15" customWidth="1"/>
    <col min="2" max="2" width="13" customWidth="1"/>
    <col min="3" max="3" width="17" customWidth="1"/>
    <col min="4" max="4" width="15" customWidth="1"/>
    <col min="5" max="5" width="18" customWidth="1"/>
    <col min="6" max="6" width="20" customWidth="1"/>
    <col min="7" max="7" width="17" customWidth="1"/>
    <col min="8" max="8" width="24" customWidth="1"/>
    <col min="9" max="9" width="19" customWidth="1"/>
    <col min="10" max="10" width="18" customWidth="1"/>
    <col min="11" max="11" width="17" customWidth="1"/>
    <col min="12" max="12" width="18" customWidth="1"/>
    <col min="13" max="16" width="17" customWidth="1"/>
    <col min="17" max="17" width="14" customWidth="1"/>
  </cols>
  <sheetData>
    <row r="1" spans="1:17" ht="36" customHeight="1">
      <c r="A1" s="77" t="s">
        <v>344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90"/>
      <c r="N1" s="88"/>
      <c r="O1" s="88"/>
      <c r="P1" s="88"/>
      <c r="Q1" s="88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>
      <c r="A3" s="63" t="s">
        <v>345</v>
      </c>
      <c r="B3" s="43" t="s">
        <v>346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ht="26" customHeight="1">
      <c r="A4" s="2" t="s">
        <v>347</v>
      </c>
      <c r="B4" s="4">
        <v>0.75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7" ht="26" customHeight="1">
      <c r="A5" s="2" t="s">
        <v>348</v>
      </c>
      <c r="B5" s="4">
        <v>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7" ht="26" customHeight="1">
      <c r="A6" s="2" t="s">
        <v>349</v>
      </c>
      <c r="B6" s="4">
        <v>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7" ht="26" customHeight="1">
      <c r="A7" s="2" t="s">
        <v>350</v>
      </c>
      <c r="B7" s="8">
        <v>0.05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7" ht="26" customHeight="1">
      <c r="A8" s="2" t="s">
        <v>351</v>
      </c>
      <c r="B8" s="8">
        <v>0.1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44" customHeight="1">
      <c r="A9" s="63" t="s">
        <v>352</v>
      </c>
      <c r="B9" s="64" t="s">
        <v>353</v>
      </c>
      <c r="C9" s="64" t="s">
        <v>354</v>
      </c>
      <c r="D9" s="64" t="s">
        <v>355</v>
      </c>
      <c r="E9" s="64" t="s">
        <v>356</v>
      </c>
      <c r="F9" s="64" t="s">
        <v>357</v>
      </c>
      <c r="G9" s="64" t="s">
        <v>358</v>
      </c>
      <c r="H9" s="64" t="s">
        <v>359</v>
      </c>
      <c r="I9" s="64" t="s">
        <v>360</v>
      </c>
      <c r="J9" s="64" t="s">
        <v>361</v>
      </c>
      <c r="K9" s="64" t="s">
        <v>362</v>
      </c>
      <c r="L9" s="43" t="s">
        <v>363</v>
      </c>
      <c r="M9" s="65" t="s">
        <v>364</v>
      </c>
      <c r="N9" t="s">
        <v>365</v>
      </c>
      <c r="O9" t="s">
        <v>366</v>
      </c>
      <c r="P9" t="s">
        <v>367</v>
      </c>
      <c r="Q9" s="73" t="s">
        <v>368</v>
      </c>
    </row>
    <row r="10" spans="1:17" ht="28" customHeight="1">
      <c r="A10" s="66">
        <v>1</v>
      </c>
      <c r="B10" s="66">
        <f>A10</f>
        <v>1</v>
      </c>
      <c r="C10" s="67">
        <f>$B$5</f>
        <v>2</v>
      </c>
      <c r="D10" s="67">
        <f>1+C10</f>
        <v>3</v>
      </c>
      <c r="E10" s="66">
        <f>2*A10+1</f>
        <v>3</v>
      </c>
      <c r="F10" s="68">
        <f>1+$B$4</f>
        <v>1.75</v>
      </c>
      <c r="G10" s="68">
        <f>$B$4</f>
        <v>0.75</v>
      </c>
      <c r="H10" s="68">
        <f>MIN(3,A10)*$B$6*$B$7</f>
        <v>0.1</v>
      </c>
      <c r="I10" s="69">
        <f>10%+3%*(A10-1)</f>
        <v>0.1</v>
      </c>
      <c r="J10" s="66">
        <f>A10+1</f>
        <v>2</v>
      </c>
      <c r="K10" s="70">
        <f>100%+15%*(A10-1)</f>
        <v>1</v>
      </c>
      <c r="L10" s="67">
        <f>(LevelUpCard!H10+0.35*(A10-1))*3</f>
        <v>5.4</v>
      </c>
      <c r="M10" s="71">
        <f>MIN(3,A10)*$B$8</f>
        <v>0.1</v>
      </c>
      <c r="N10" s="32">
        <f>LevelUpCard!$H$14+10%*(A10-1)</f>
        <v>0.35</v>
      </c>
      <c r="O10" s="32">
        <f>1.2*(1+10%*(A10-1))</f>
        <v>1.2</v>
      </c>
      <c r="P10" s="35">
        <f>6-0.5*(A10-1)</f>
        <v>6</v>
      </c>
      <c r="Q10" s="74">
        <f>A10</f>
        <v>1</v>
      </c>
    </row>
    <row r="11" spans="1:17" ht="28" customHeight="1">
      <c r="A11" s="37">
        <v>2</v>
      </c>
      <c r="B11" s="37">
        <f>A11</f>
        <v>2</v>
      </c>
      <c r="C11" s="38">
        <f>$B$5</f>
        <v>2</v>
      </c>
      <c r="D11" s="38">
        <f>1+C11</f>
        <v>3</v>
      </c>
      <c r="E11" s="37">
        <f>2*A11+1</f>
        <v>5</v>
      </c>
      <c r="F11" s="39">
        <f>1+$B$4</f>
        <v>1.75</v>
      </c>
      <c r="G11" s="39">
        <f>$B$4</f>
        <v>0.75</v>
      </c>
      <c r="H11" s="39">
        <f>MIN(3,A11)*$B$6*$B$7</f>
        <v>0.2</v>
      </c>
      <c r="I11" s="40">
        <f>10%+3%*(A11-1)</f>
        <v>0.13</v>
      </c>
      <c r="J11" s="37">
        <f>A11+1</f>
        <v>3</v>
      </c>
      <c r="K11" s="41">
        <f>100%+15%*(A11-1)</f>
        <v>1.1499999999999999</v>
      </c>
      <c r="L11" s="38">
        <f>(LevelUpCard!H10+0.35*(A11-1))*3</f>
        <v>6.4499999999999993</v>
      </c>
      <c r="M11" s="42">
        <f>MIN(3,A11)*$B$8</f>
        <v>0.2</v>
      </c>
      <c r="N11" s="32">
        <f>LevelUpCard!$H$14+10%*(A11-1)</f>
        <v>0.44999999999999996</v>
      </c>
      <c r="O11" s="32">
        <f>1.2*(1+10%*(A11-1))</f>
        <v>1.32</v>
      </c>
      <c r="P11" s="35">
        <f>6-0.5*(A11-1)</f>
        <v>5.5</v>
      </c>
      <c r="Q11" s="75">
        <f>A11</f>
        <v>2</v>
      </c>
    </row>
    <row r="12" spans="1:17" ht="28" customHeight="1">
      <c r="A12" s="66">
        <v>3</v>
      </c>
      <c r="B12" s="66">
        <f>A12</f>
        <v>3</v>
      </c>
      <c r="C12" s="67">
        <f>$B$5</f>
        <v>2</v>
      </c>
      <c r="D12" s="67">
        <f>1+C12</f>
        <v>3</v>
      </c>
      <c r="E12" s="66">
        <f>2*A12+1</f>
        <v>7</v>
      </c>
      <c r="F12" s="68">
        <f>1+$B$4</f>
        <v>1.75</v>
      </c>
      <c r="G12" s="68">
        <f>$B$4</f>
        <v>0.75</v>
      </c>
      <c r="H12" s="68">
        <f>MIN(3,A12)*$B$6*$B$7</f>
        <v>0.30000000000000004</v>
      </c>
      <c r="I12" s="69">
        <f>10%+3%*(A12-1)</f>
        <v>0.16</v>
      </c>
      <c r="J12" s="66">
        <f>A12+1</f>
        <v>4</v>
      </c>
      <c r="K12" s="70">
        <f>100%+15%*(A12-1)</f>
        <v>1.3</v>
      </c>
      <c r="L12" s="67">
        <f>(LevelUpCard!H10+0.35*(A12-1))*3</f>
        <v>7.5</v>
      </c>
      <c r="M12" s="71">
        <f>MIN(3,A12)*$B$8</f>
        <v>0.30000000000000004</v>
      </c>
      <c r="N12" s="32">
        <f>LevelUpCard!$H$14+10%*(A12-1)</f>
        <v>0.55000000000000004</v>
      </c>
      <c r="O12" s="32">
        <f>1.2*(1+10%*(A12-1))</f>
        <v>1.44</v>
      </c>
      <c r="P12" s="35">
        <f>6-0.5*(A12-1)</f>
        <v>5</v>
      </c>
      <c r="Q12" s="74">
        <f>A12</f>
        <v>3</v>
      </c>
    </row>
    <row r="13" spans="1:17" ht="28" customHeight="1">
      <c r="A13" s="37">
        <v>4</v>
      </c>
      <c r="B13" s="37">
        <f>A13</f>
        <v>4</v>
      </c>
      <c r="C13" s="38">
        <f>$B$5</f>
        <v>2</v>
      </c>
      <c r="D13" s="38">
        <f>1+C13</f>
        <v>3</v>
      </c>
      <c r="E13" s="37">
        <f>2*A13+1</f>
        <v>9</v>
      </c>
      <c r="F13" s="39">
        <f>1+$B$4</f>
        <v>1.75</v>
      </c>
      <c r="G13" s="39">
        <f>$B$4</f>
        <v>0.75</v>
      </c>
      <c r="H13" s="39">
        <f>MIN(3,A13)*$B$6*$B$7</f>
        <v>0.30000000000000004</v>
      </c>
      <c r="I13" s="40">
        <f>10%+3%*(A13-1)</f>
        <v>0.19</v>
      </c>
      <c r="J13" s="37">
        <f>A13+1</f>
        <v>5</v>
      </c>
      <c r="K13" s="41">
        <f>100%+15%*(A13-1)</f>
        <v>1.45</v>
      </c>
      <c r="L13" s="38">
        <f>(LevelUpCard!H10+0.35*(A13-1))*3</f>
        <v>8.5499999999999989</v>
      </c>
      <c r="M13" s="42">
        <f>MIN(3,A13)*$B$8</f>
        <v>0.30000000000000004</v>
      </c>
      <c r="N13" s="32">
        <f>LevelUpCard!$H$14+10%*(A13-1)</f>
        <v>0.65</v>
      </c>
      <c r="O13" s="32">
        <f>1.2*(1+10%*(A13-1))</f>
        <v>1.56</v>
      </c>
      <c r="P13" s="35">
        <f>6-0.5*(A13-1)</f>
        <v>4.5</v>
      </c>
      <c r="Q13" s="75">
        <f>A13</f>
        <v>4</v>
      </c>
    </row>
    <row r="14" spans="1:17" ht="28" customHeight="1">
      <c r="A14" s="66">
        <v>5</v>
      </c>
      <c r="B14" s="66">
        <f>A14</f>
        <v>5</v>
      </c>
      <c r="C14" s="67">
        <f>$B$5</f>
        <v>2</v>
      </c>
      <c r="D14" s="67">
        <f>1+C14</f>
        <v>3</v>
      </c>
      <c r="E14" s="66">
        <f>2*A14+1</f>
        <v>11</v>
      </c>
      <c r="F14" s="68">
        <f>1+$B$4</f>
        <v>1.75</v>
      </c>
      <c r="G14" s="68">
        <f>$B$4</f>
        <v>0.75</v>
      </c>
      <c r="H14" s="68">
        <f>MIN(3,A14)*$B$6*$B$7</f>
        <v>0.30000000000000004</v>
      </c>
      <c r="I14" s="69">
        <f>10%+3%*(A14-1)</f>
        <v>0.22</v>
      </c>
      <c r="J14" s="66">
        <f>A14+1</f>
        <v>6</v>
      </c>
      <c r="K14" s="70">
        <f>100%+15%*(A14-1)</f>
        <v>1.6</v>
      </c>
      <c r="L14" s="67">
        <f>(LevelUpCard!H10+0.35*(A14-1))*3</f>
        <v>9.6000000000000014</v>
      </c>
      <c r="M14" s="71">
        <f>MIN(3,A14)*$B$8</f>
        <v>0.30000000000000004</v>
      </c>
      <c r="N14" s="32">
        <f>LevelUpCard!$H$14+10%*(A14-1)</f>
        <v>0.75</v>
      </c>
      <c r="O14" s="32">
        <f>1.2*(1+10%*(A14-1))</f>
        <v>1.68</v>
      </c>
      <c r="P14" s="35">
        <f>6-0.5*(A14-1)</f>
        <v>4</v>
      </c>
      <c r="Q14" s="74">
        <f>A14</f>
        <v>5</v>
      </c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7" ht="90" customHeight="1">
      <c r="A16" s="91" t="s">
        <v>418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2"/>
      <c r="N16" s="88"/>
      <c r="O16" s="88"/>
      <c r="P16" s="88"/>
      <c r="Q16" s="88"/>
    </row>
    <row r="17" spans="1:13" ht="22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ht="22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</sheetData>
  <mergeCells count="2">
    <mergeCell ref="A1:Q1"/>
    <mergeCell ref="A16:Q16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showGridLines="0" workbookViewId="0"/>
  </sheetViews>
  <sheetFormatPr defaultRowHeight="14"/>
  <cols>
    <col min="1" max="1" width="29" customWidth="1"/>
    <col min="2" max="2" width="16" customWidth="1"/>
    <col min="3" max="3" width="18" customWidth="1"/>
    <col min="4" max="4" width="19" customWidth="1"/>
    <col min="5" max="5" width="54" customWidth="1"/>
    <col min="6" max="12" width="13" customWidth="1"/>
  </cols>
  <sheetData>
    <row r="1" spans="1:12" ht="36" customHeight="1">
      <c r="A1" s="77" t="s">
        <v>369</v>
      </c>
      <c r="B1" s="77"/>
      <c r="C1" s="77"/>
      <c r="D1" s="77"/>
      <c r="E1" s="77"/>
      <c r="F1" s="22"/>
      <c r="G1" s="22"/>
      <c r="H1" s="22"/>
      <c r="I1" s="22"/>
      <c r="J1" s="22"/>
      <c r="K1" s="22"/>
      <c r="L1" s="2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3" t="s">
        <v>370</v>
      </c>
      <c r="B3" s="25" t="s">
        <v>346</v>
      </c>
      <c r="C3" s="2"/>
      <c r="D3" s="93" t="s">
        <v>371</v>
      </c>
      <c r="E3" s="94"/>
      <c r="F3" s="94"/>
      <c r="G3" s="94" t="s">
        <v>372</v>
      </c>
      <c r="H3" s="94" t="s">
        <v>373</v>
      </c>
      <c r="I3" s="94"/>
      <c r="J3" s="94"/>
      <c r="K3" s="94"/>
      <c r="L3" s="95"/>
    </row>
    <row r="4" spans="1:12" ht="40" customHeight="1">
      <c r="A4" s="26" t="s">
        <v>374</v>
      </c>
      <c r="B4" s="27">
        <f>600</f>
        <v>600</v>
      </c>
      <c r="C4" s="2"/>
      <c r="D4" s="12" t="s">
        <v>375</v>
      </c>
      <c r="E4" s="36" t="s">
        <v>376</v>
      </c>
      <c r="F4" s="28"/>
      <c r="G4" s="28" t="s">
        <v>377</v>
      </c>
      <c r="H4" s="28" t="s">
        <v>378</v>
      </c>
      <c r="I4" s="28"/>
      <c r="J4" s="28"/>
      <c r="K4" s="28"/>
      <c r="L4" s="28"/>
    </row>
    <row r="5" spans="1:12" ht="40" customHeight="1">
      <c r="A5" s="29" t="s">
        <v>379</v>
      </c>
      <c r="B5" s="30">
        <f>COUNTA(StageSpawn!$A$2:$A$3284)</f>
        <v>3283</v>
      </c>
      <c r="C5" s="2"/>
      <c r="D5" s="12" t="s">
        <v>380</v>
      </c>
      <c r="E5" s="36" t="s">
        <v>381</v>
      </c>
      <c r="F5" s="28"/>
      <c r="G5" s="28" t="s">
        <v>382</v>
      </c>
      <c r="H5" s="28" t="s">
        <v>383</v>
      </c>
      <c r="I5" s="28"/>
      <c r="J5" s="28"/>
      <c r="K5" s="28"/>
      <c r="L5" s="28"/>
    </row>
    <row r="6" spans="1:12" ht="40" customHeight="1">
      <c r="A6" s="29" t="s">
        <v>384</v>
      </c>
      <c r="B6" s="30">
        <f>MAX(WavePlan!$I$6:$I$65)</f>
        <v>3898</v>
      </c>
      <c r="C6" s="2"/>
      <c r="D6" s="12" t="s">
        <v>385</v>
      </c>
      <c r="E6" s="36" t="s">
        <v>386</v>
      </c>
      <c r="F6" s="28"/>
      <c r="G6" s="28" t="s">
        <v>387</v>
      </c>
      <c r="H6" s="28" t="s">
        <v>388</v>
      </c>
      <c r="I6" s="28"/>
      <c r="J6" s="28"/>
      <c r="K6" s="28"/>
      <c r="L6" s="28"/>
    </row>
    <row r="7" spans="1:12" ht="40" customHeight="1">
      <c r="A7" s="29" t="s">
        <v>389</v>
      </c>
      <c r="B7" s="30">
        <f>MAX(WavePlan!$J$6:$J$65)</f>
        <v>50</v>
      </c>
      <c r="C7" s="2"/>
      <c r="D7" s="12" t="s">
        <v>390</v>
      </c>
      <c r="E7" s="36" t="s">
        <v>391</v>
      </c>
      <c r="F7" s="28"/>
      <c r="G7" s="28" t="s">
        <v>320</v>
      </c>
      <c r="H7" s="28" t="s">
        <v>419</v>
      </c>
      <c r="I7" s="28"/>
      <c r="J7" s="28"/>
      <c r="K7" s="28"/>
      <c r="L7" s="28"/>
    </row>
    <row r="8" spans="1:12" ht="40" customHeight="1">
      <c r="A8" s="29" t="s">
        <v>392</v>
      </c>
      <c r="B8" s="30">
        <f>43</f>
        <v>43</v>
      </c>
      <c r="C8" s="2"/>
      <c r="D8" s="12" t="s">
        <v>393</v>
      </c>
      <c r="E8" s="36" t="s">
        <v>394</v>
      </c>
      <c r="F8" s="28"/>
      <c r="G8" s="28"/>
      <c r="H8" s="28"/>
      <c r="I8" s="28"/>
      <c r="J8" s="28"/>
      <c r="K8" s="28"/>
      <c r="L8" s="28"/>
    </row>
    <row r="9" spans="1:12" ht="28" customHeight="1">
      <c r="A9" s="29" t="s">
        <v>395</v>
      </c>
      <c r="B9" s="31">
        <f>MAX(WavePlan!$N$6:$N$65)</f>
        <v>2</v>
      </c>
      <c r="C9" s="2"/>
      <c r="D9" s="12" t="s">
        <v>270</v>
      </c>
      <c r="E9" s="36" t="s">
        <v>396</v>
      </c>
      <c r="F9" s="28"/>
      <c r="G9" s="28"/>
      <c r="H9" s="28"/>
      <c r="I9" s="28"/>
      <c r="J9" s="28"/>
      <c r="K9" s="28"/>
      <c r="L9" s="28"/>
    </row>
    <row r="10" spans="1:12" ht="28" customHeight="1">
      <c r="A10" s="29" t="s">
        <v>397</v>
      </c>
      <c r="B10" s="30">
        <f>COUNTIF(StageSpawn!$F$2:$F$3284,"GoblinBoss")+COUNTIF(StageSpawn!$F$2:$F$3284,"MushroomBoss")+COUNTIF(StageSpawn!$F$2:$F$3284,"FlyingEyeBoss")+COUNTIF(StageSpawn!$F$2:$F$3284,"SkeletonBoss")</f>
        <v>4</v>
      </c>
      <c r="C10" s="2"/>
      <c r="D10" s="12" t="s">
        <v>290</v>
      </c>
      <c r="E10" s="36" t="s">
        <v>398</v>
      </c>
      <c r="F10" s="28"/>
      <c r="G10" s="28"/>
      <c r="H10" s="28"/>
      <c r="I10" s="28"/>
      <c r="J10" s="28"/>
      <c r="K10" s="28"/>
      <c r="L10" s="28"/>
    </row>
    <row r="11" spans="1:12" ht="28" customHeight="1">
      <c r="A11" s="2"/>
      <c r="B11" s="2"/>
      <c r="C11" s="2"/>
      <c r="D11" s="12" t="s">
        <v>277</v>
      </c>
      <c r="E11" s="36" t="s">
        <v>399</v>
      </c>
      <c r="F11" s="28"/>
      <c r="G11" s="28"/>
      <c r="H11" s="28"/>
      <c r="I11" s="28"/>
      <c r="J11" s="28"/>
      <c r="K11" s="28"/>
      <c r="L11" s="28"/>
    </row>
    <row r="12" spans="1:12">
      <c r="A12" s="2"/>
      <c r="B12" s="2"/>
      <c r="C12" s="2"/>
      <c r="D12" s="2" t="s">
        <v>302</v>
      </c>
      <c r="E12" s="11" t="s">
        <v>400</v>
      </c>
      <c r="F12" s="2"/>
      <c r="G12" s="2"/>
      <c r="H12" s="2"/>
      <c r="I12" s="2"/>
      <c r="J12" s="2"/>
      <c r="K12" s="2"/>
      <c r="L12" s="2"/>
    </row>
    <row r="13" spans="1:12">
      <c r="A13" s="23" t="s">
        <v>401</v>
      </c>
      <c r="B13" s="24" t="s">
        <v>402</v>
      </c>
      <c r="C13" s="25" t="s">
        <v>403</v>
      </c>
      <c r="D13" s="61" t="s">
        <v>404</v>
      </c>
      <c r="E13" s="61" t="s">
        <v>405</v>
      </c>
      <c r="F13" s="2"/>
      <c r="G13" s="2"/>
      <c r="H13" s="2"/>
      <c r="I13" s="2"/>
      <c r="J13" s="2"/>
      <c r="K13" s="2"/>
      <c r="L13" s="2"/>
    </row>
    <row r="14" spans="1:12">
      <c r="A14" s="2" t="s">
        <v>406</v>
      </c>
      <c r="B14" s="2">
        <f>COUNTIFS(StageSpawn!$C$2:$C$3284,"&gt;=0",StageSpawn!$C$2:$C$3284,"&lt;60")</f>
        <v>43</v>
      </c>
      <c r="C14" s="6">
        <f>WavePlan!M11</f>
        <v>5.2</v>
      </c>
      <c r="D14" s="2" t="s">
        <v>126</v>
      </c>
      <c r="E14" s="62">
        <v>1.2</v>
      </c>
      <c r="F14" s="2"/>
      <c r="G14" s="2"/>
      <c r="H14" s="2"/>
      <c r="I14" s="2"/>
      <c r="J14" s="2"/>
      <c r="K14" s="2"/>
      <c r="L14" s="2"/>
    </row>
    <row r="15" spans="1:12">
      <c r="A15" s="2" t="s">
        <v>407</v>
      </c>
      <c r="B15" s="2">
        <f>COUNTIFS(StageSpawn!$C$2:$C$3284,"&gt;=60",StageSpawn!$C$2:$C$3284,"&lt;120")</f>
        <v>92</v>
      </c>
      <c r="C15" s="6">
        <f>WavePlan!M17</f>
        <v>10.4</v>
      </c>
      <c r="D15" s="2" t="s">
        <v>147</v>
      </c>
      <c r="E15" s="62">
        <v>1.5</v>
      </c>
      <c r="F15" s="2"/>
      <c r="G15" s="2"/>
      <c r="H15" s="2"/>
      <c r="I15" s="2"/>
      <c r="J15" s="2"/>
      <c r="K15" s="2"/>
      <c r="L15" s="2"/>
    </row>
    <row r="16" spans="1:12">
      <c r="A16" s="2" t="s">
        <v>408</v>
      </c>
      <c r="B16" s="2">
        <f>COUNTIFS(StageSpawn!$C$2:$C$3284,"&gt;=120",StageSpawn!$C$2:$C$3284,"&lt;180")</f>
        <v>141</v>
      </c>
      <c r="C16" s="6">
        <f>WavePlan!M23</f>
        <v>14.6</v>
      </c>
      <c r="D16" s="2" t="s">
        <v>157</v>
      </c>
      <c r="E16" s="62">
        <v>1.9</v>
      </c>
      <c r="F16" s="2"/>
      <c r="G16" s="2"/>
      <c r="H16" s="2"/>
      <c r="I16" s="2"/>
      <c r="J16" s="2"/>
      <c r="K16" s="2"/>
      <c r="L16" s="2"/>
    </row>
    <row r="17" spans="1:12">
      <c r="A17" s="2" t="s">
        <v>409</v>
      </c>
      <c r="B17" s="2">
        <f>COUNTIFS(StageSpawn!$C$2:$C$3284,"&gt;=180",StageSpawn!$C$2:$C$3284,"&lt;240")</f>
        <v>197</v>
      </c>
      <c r="C17" s="6">
        <f>WavePlan!M29</f>
        <v>19.8</v>
      </c>
      <c r="D17" s="2" t="s">
        <v>161</v>
      </c>
      <c r="E17" s="62">
        <v>2.4</v>
      </c>
      <c r="F17" s="2"/>
      <c r="G17" s="2"/>
      <c r="H17" s="2"/>
      <c r="I17" s="2"/>
      <c r="J17" s="2"/>
      <c r="K17" s="2"/>
      <c r="L17" s="2"/>
    </row>
    <row r="18" spans="1:12">
      <c r="A18" s="2" t="s">
        <v>410</v>
      </c>
      <c r="B18" s="2">
        <f>COUNTIFS(StageSpawn!$C$2:$C$3284,"&gt;=240",StageSpawn!$C$2:$C$3284,"&lt;300")</f>
        <v>263</v>
      </c>
      <c r="C18" s="6">
        <f>WavePlan!M35</f>
        <v>25</v>
      </c>
      <c r="D18" s="2" t="s">
        <v>165</v>
      </c>
      <c r="E18" s="62">
        <v>3</v>
      </c>
      <c r="F18" s="2"/>
      <c r="G18" s="2"/>
      <c r="H18" s="2"/>
      <c r="I18" s="2"/>
      <c r="J18" s="2"/>
      <c r="K18" s="2"/>
      <c r="L18" s="2"/>
    </row>
    <row r="19" spans="1:12">
      <c r="A19" s="2" t="s">
        <v>411</v>
      </c>
      <c r="B19" s="2">
        <f>COUNTIFS(StageSpawn!$C$2:$C$3284,"&gt;=300",StageSpawn!$C$2:$C$3284,"&lt;360")</f>
        <v>335</v>
      </c>
      <c r="C19" s="6">
        <f>WavePlan!M41</f>
        <v>30.2</v>
      </c>
      <c r="D19" s="2" t="s">
        <v>169</v>
      </c>
      <c r="E19" s="62">
        <v>3.8</v>
      </c>
      <c r="F19" s="2"/>
      <c r="G19" s="2"/>
      <c r="H19" s="2"/>
      <c r="I19" s="2"/>
      <c r="J19" s="2"/>
      <c r="K19" s="2"/>
      <c r="L19" s="2"/>
    </row>
    <row r="20" spans="1:12">
      <c r="A20" s="2" t="s">
        <v>412</v>
      </c>
      <c r="B20" s="2">
        <f>COUNTIFS(StageSpawn!$C$2:$C$3284,"&gt;=360",StageSpawn!$C$2:$C$3284,"&lt;420")</f>
        <v>414</v>
      </c>
      <c r="C20" s="6">
        <f>WavePlan!M47</f>
        <v>35.4</v>
      </c>
      <c r="D20" s="2" t="s">
        <v>177</v>
      </c>
      <c r="E20" s="62">
        <v>4.8</v>
      </c>
      <c r="F20" s="2"/>
      <c r="G20" s="2"/>
      <c r="H20" s="2"/>
      <c r="I20" s="2"/>
      <c r="J20" s="2"/>
      <c r="K20" s="2"/>
      <c r="L20" s="2"/>
    </row>
    <row r="21" spans="1:12">
      <c r="A21" s="2" t="s">
        <v>413</v>
      </c>
      <c r="B21" s="2">
        <f>COUNTIFS(StageSpawn!$C$2:$C$3284,"&gt;=420",StageSpawn!$C$2:$C$3284,"&lt;480")</f>
        <v>501</v>
      </c>
      <c r="C21" s="6">
        <f>WavePlan!M53</f>
        <v>40.6</v>
      </c>
      <c r="D21" s="2" t="s">
        <v>185</v>
      </c>
      <c r="E21" s="62">
        <v>6</v>
      </c>
      <c r="F21" s="2"/>
      <c r="G21" s="2"/>
      <c r="H21" s="2"/>
      <c r="I21" s="2"/>
      <c r="J21" s="2"/>
      <c r="K21" s="2"/>
      <c r="L21" s="2"/>
    </row>
    <row r="22" spans="1:12">
      <c r="A22" s="2" t="s">
        <v>414</v>
      </c>
      <c r="B22" s="2">
        <f>COUNTIFS(StageSpawn!$C$2:$C$3284,"&gt;=480",StageSpawn!$C$2:$C$3284,"&lt;540")</f>
        <v>598</v>
      </c>
      <c r="C22" s="6">
        <f>WavePlan!M59</f>
        <v>45.8</v>
      </c>
      <c r="D22" s="2" t="s">
        <v>193</v>
      </c>
      <c r="E22" s="62">
        <v>7.5</v>
      </c>
      <c r="F22" s="2"/>
      <c r="G22" s="2"/>
      <c r="H22" s="2"/>
      <c r="I22" s="2"/>
      <c r="J22" s="2"/>
      <c r="K22" s="2"/>
      <c r="L22" s="2"/>
    </row>
    <row r="23" spans="1:12">
      <c r="A23" s="2" t="s">
        <v>415</v>
      </c>
      <c r="B23" s="2">
        <f>COUNTIFS(StageSpawn!$C$2:$C$3284,"&gt;=540",StageSpawn!$C$2:$C$3284,"&lt;600")</f>
        <v>699</v>
      </c>
      <c r="C23" s="6">
        <f>WavePlan!M65</f>
        <v>52</v>
      </c>
      <c r="D23" s="2" t="s">
        <v>201</v>
      </c>
      <c r="E23" s="62">
        <v>9.5</v>
      </c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36" customHeight="1">
      <c r="A27" s="96" t="s">
        <v>420</v>
      </c>
      <c r="B27" s="97"/>
      <c r="C27" s="97"/>
      <c r="D27" s="97"/>
      <c r="E27" s="97"/>
      <c r="F27" s="97"/>
      <c r="G27" s="97"/>
      <c r="H27" s="97"/>
      <c r="I27" s="13"/>
      <c r="J27" s="13"/>
      <c r="K27" s="13"/>
      <c r="L27" s="14"/>
    </row>
    <row r="28" spans="1:12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0"/>
    </row>
  </sheetData>
  <mergeCells count="3">
    <mergeCell ref="D3:L3"/>
    <mergeCell ref="A1:E1"/>
    <mergeCell ref="A27:H27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README</vt:lpstr>
      <vt:lpstr>EnemyBalance</vt:lpstr>
      <vt:lpstr>StageSpawn</vt:lpstr>
      <vt:lpstr>PlayerBalance</vt:lpstr>
      <vt:lpstr>PlayerLevelExp</vt:lpstr>
      <vt:lpstr>AccountLevelExp</vt:lpstr>
      <vt:lpstr>GlobalBalance</vt:lpstr>
      <vt:lpstr>LevelUpCard</vt:lpstr>
      <vt:lpstr>WavePlan</vt:lpstr>
      <vt:lpstr>CardMath</vt:lpstr>
      <vt:lpstr>BalanceSummary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황준우</cp:lastModifiedBy>
  <dcterms:modified xsi:type="dcterms:W3CDTF">2026-07-31T14:43:39Z</dcterms:modified>
</cp:coreProperties>
</file>