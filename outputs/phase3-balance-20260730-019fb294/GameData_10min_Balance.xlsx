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0607495e7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e52c57133a5413e"/>
    <x:sheet xmlns:r="http://schemas.openxmlformats.org/officeDocument/2006/relationships" name="EnemyBalance" sheetId="3" r:id="R1a5cad906a2345b1"/>
    <x:sheet xmlns:r="http://schemas.openxmlformats.org/officeDocument/2006/relationships" name="StageSpawn" sheetId="2" r:id="Rcf51e85ed62b49ea"/>
    <x:sheet xmlns:r="http://schemas.openxmlformats.org/officeDocument/2006/relationships" name="PlayerBalance" sheetId="8" r:id="Re5bc1a3a9df0424e"/>
    <x:sheet xmlns:r="http://schemas.openxmlformats.org/officeDocument/2006/relationships" name="PlayerLevelExp" sheetId="4" r:id="Rd620f1f5ec8e41e8"/>
    <x:sheet xmlns:r="http://schemas.openxmlformats.org/officeDocument/2006/relationships" name="AccountLevelExp" sheetId="5" r:id="Rc7c8ddfa03ce46ca"/>
    <x:sheet xmlns:r="http://schemas.openxmlformats.org/officeDocument/2006/relationships" name="GlobalBalance" sheetId="6" r:id="Rff8d5ec6ff634cb4"/>
    <x:sheet xmlns:r="http://schemas.openxmlformats.org/officeDocument/2006/relationships" name="LevelUpCard" sheetId="7" r:id="Rc6d675db2a764396"/>
    <x:sheet xmlns:r="http://schemas.openxmlformats.org/officeDocument/2006/relationships" name="WavePlan" sheetId="9" r:id="Rdd498d7595d24f67"/>
    <x:sheet xmlns:r="http://schemas.openxmlformats.org/officeDocument/2006/relationships" name="CardMath" sheetId="10" r:id="R0b5e50cbaca84628"/>
    <x:sheet xmlns:r="http://schemas.openxmlformats.org/officeDocument/2006/relationships" name="BalanceSummary" sheetId="11" r:id="R8291fc535b214b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176" formatCode="0.0%"/>
    <x:numFmt numFmtId="177" formatCode="0.0000"/>
    <x:numFmt numFmtId="200" formatCode="0.00"/>
    <x:numFmt numFmtId="201" formatCode="0.000"/>
    <x:numFmt numFmtId="202" formatCode="0.0"/>
    <x:numFmt numFmtId="203" formatCode="0"/>
    <x:numFmt numFmtId="204" formatCode="0.00x"/>
    <x:numFmt numFmtId="205" formatCode="0%"/>
    <x:numFmt numFmtId="206" formatCode="0.00&quot;x&quot;"/>
    <x:numFmt numFmtId="207" formatCode="General"/>
  </x:numFmts>
  <x:fonts count="2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13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name val="Arial Unicode MS"/>
    </x:font>
    <x:font>
      <x:sz val="11"/>
      <x:color rgb="FF000000"/>
      <x:name val="Carlito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55E28"/>
      <x:name val="Aptos"/>
    </x:font>
    <x:font>
      <x:i/>
      <x:sz val="10"/>
      <x:color rgb="FF17202A"/>
      <x:name val="Aptos"/>
    </x:font>
    <x:font>
      <x:sz val="11"/>
      <x:color rgb="FF183153"/>
      <x:name val="Aptos"/>
    </x:font>
    <x:font>
      <x:b/>
      <x:sz val="14"/>
      <x:color rgb="FF155E28"/>
      <x:name val="Aptos Display"/>
    </x:font>
    <x:font>
      <x:b/>
      <x:sz val="10"/>
      <x:color rgb="FF155E28"/>
      <x:name val="Aptos"/>
    </x:font>
    <x:font>
      <x:sz val="10"/>
      <x:color rgb="FF183153"/>
      <x:name val="Aptos"/>
    </x:font>
    <x:font>
      <x:sz val="10"/>
      <x:color rgb="FF9A3412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245B13"/>
      </x:patternFill>
    </x:fill>
    <x:fill>
      <x:patternFill patternType="solid">
        <x:fgColor rgb="FFDDEFD5"/>
      </x:patternFill>
    </x:fill>
    <x:fill>
      <x:patternFill patternType="solid">
        <x:fgColor rgb="FF3B941A"/>
      </x:patternFill>
    </x:fill>
    <x:fill>
      <x:patternFill patternType="solid">
        <x:fgColor rgb="FF3B941A"/>
      </x:patternFill>
    </x:fill>
    <x:fill>
      <x:patternFill patternType="solid">
        <x:fgColor rgb="FFFFFFFF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17652B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278F20"/>
      </x:patternFill>
    </x:fill>
    <x:fill>
      <x:patternFill patternType="solid">
        <x:fgColor rgb="FFDCEFD9"/>
      </x:patternFill>
    </x:fill>
    <x:fill>
      <x:patternFill patternType="solid">
        <x:fgColor rgb="FFC6EFD0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</x:fills>
  <x:borders count="32">
    <x:border/>
    <x:border>
      <x:bottom style="thin">
        <x:color rgb="FFD9E7D3"/>
      </x:bottom>
    </x:border>
    <x:border>
      <x:top style="thin">
        <x:color rgb="FFD9E7D3"/>
      </x:top>
      <x:bottom style="thin">
        <x:color rgb="FFD9E7D3"/>
      </x:bottom>
    </x:border>
    <x:border>
      <x:top style="thin">
        <x:color rgb="FFD9E7D3"/>
      </x:top>
      <x:bottom style="thin">
        <x:color rgb="FFA7C79A"/>
      </x:bottom>
    </x:border>
    <x:border/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</x:borders>
  <x:cellStyleXfs count="2">
    <x:xf numFmtId="0" fontId="0" fillId="0" borderId="0"/>
    <x:xf numFmtId="0" fontId="4" fillId="0" borderId="0"/>
  </x:cellStyleXfs>
  <x:cellXfs count="530">
    <x:xf numFmtId="0" fontId="0" fillId="0" borderId="0" xfId="0"/>
    <x:xf numFmtId="0" fontId="0" fillId="0" borderId="0" xfId="1" applyFont="1" applyAlignment="1">
      <x:alignment wrapText="1"/>
    </x:xf>
    <x:xf numFmtId="0" fontId="2" fillId="3" borderId="1" xfId="1" applyFont="1" applyFill="1" applyBorder="1" applyAlignment="1">
      <x:alignment wrapText="1"/>
    </x:xf>
    <x:xf numFmtId="0" fontId="0" fillId="0" borderId="1" xfId="1" applyFont="1" applyBorder="1" applyAlignment="1">
      <x:alignment wrapText="1"/>
    </x:xf>
    <x:xf numFmtId="0" fontId="0" fillId="0" borderId="2" xfId="1" applyFont="1" applyBorder="1" applyAlignment="1">
      <x:alignment wrapText="1"/>
    </x:xf>
    <x:xf numFmtId="0" fontId="3" fillId="4" borderId="2" xfId="1" applyFont="1" applyFill="1" applyBorder="1" applyAlignment="1">
      <x:alignment horizontal="center" vertical="center" wrapText="1"/>
    </x:xf>
    <x:xf numFmtId="0" fontId="0" fillId="0" borderId="3" xfId="1" applyFont="1" applyBorder="1" applyAlignment="1">
      <x:alignment wrapText="1"/>
    </x:xf>
    <x:xf numFmtId="1" fontId="0" fillId="0" borderId="2" xfId="1" applyNumberFormat="1" applyFont="1" applyBorder="1" applyAlignment="1">
      <x:alignment wrapText="1"/>
    </x:xf>
    <x:xf numFmtId="0" fontId="3" fillId="4" borderId="1" xfId="1" applyFont="1" applyFill="1" applyBorder="1" applyAlignment="1">
      <x:alignment horizontal="center" vertical="center"/>
    </x:xf>
    <x:xf numFmtId="1" fontId="0" fillId="0" borderId="2" xfId="1" applyNumberFormat="1" applyFont="1" applyBorder="1"/>
    <x:xf numFmtId="1" fontId="0" fillId="0" borderId="3" xfId="1" applyNumberFormat="1" applyFont="1" applyBorder="1"/>
    <x:xf numFmtId="176" fontId="0" fillId="0" borderId="3" xfId="1" applyNumberFormat="1" applyFont="1" applyBorder="1"/>
    <x:xf numFmtId="0" fontId="0" fillId="0" borderId="0" xfId="0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1" fontId="0" fillId="0" borderId="3" xfId="0" applyNumberFormat="1" applyBorder="1" applyAlignment="1">
      <x:alignment horizontal="center" vertical="center" wrapText="1"/>
    </x:xf>
    <x:xf numFmtId="177" fontId="0" fillId="0" borderId="3" xfId="0" applyNumberFormat="1" applyBorder="1" applyAlignment="1">
      <x:alignment horizontal="center" vertical="center" wrapText="1"/>
    </x:xf>
    <x:xf numFmtId="176" fontId="0" fillId="0" borderId="3" xfId="0" applyNumberFormat="1" applyBorder="1"/>
    <x:xf numFmtId="0" fontId="0" fillId="0" borderId="2" xfId="0" applyBorder="1" applyAlignment="1">
      <x:alignment horizontal="center" vertical="center"/>
    </x:xf>
    <x:xf numFmtId="1" fontId="0" fillId="0" borderId="2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1" fontId="0" fillId="0" borderId="3" xfId="0" applyNumberFormat="1" applyBorder="1" applyAlignment="1">
      <x:alignment horizontal="center" vertical="center"/>
    </x:xf>
    <x:xf numFmtId="0" fontId="0" fillId="0" borderId="1" xfId="0" applyBorder="1" applyAlignment="1">
      <x:alignment wrapText="1"/>
    </x:xf>
    <x:xf numFmtId="0" fontId="0" fillId="0" borderId="3" xfId="0" applyBorder="1" applyAlignment="1">
      <x:alignment wrapText="1"/>
    </x:xf>
    <x:xf numFmtId="0" fontId="3" fillId="5" borderId="1" xfId="0" applyFont="1" applyFill="1" applyBorder="1" applyAlignment="1">
      <x:alignment horizontal="center" vertical="center" wrapText="1"/>
    </x:xf>
    <x:xf numFmtId="177" fontId="0" fillId="0" borderId="2" xfId="0" applyNumberFormat="1" applyBorder="1" applyAlignment="1">
      <x:alignment horizontal="center"/>
    </x:xf>
    <x:xf numFmtId="1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2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0" fillId="0" borderId="3" xfId="0" applyNumberFormat="1" applyBorder="1" applyAlignment="1">
      <x:alignment horizontal="center"/>
    </x:xf>
    <x:xf numFmtId="1" fontId="0" fillId="0" borderId="3" xfId="0" applyNumberFormat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3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Font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176" fontId="0" fillId="0" borderId="3" xfId="0" applyNumberFormat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3" xfId="0" applyNumberFormat="1" applyBorder="1" applyAlignment="1">
      <x:alignment horizontal="center" vertical="center" wrapText="1"/>
    </x:xf>
    <x:xf numFmtId="2" fontId="0" fillId="0" borderId="3" xfId="0" applyNumberFormat="1" applyBorder="1"/>
    <x:xf numFmtId="0" fontId="7" fillId="6" borderId="4" xfId="0" applyFont="1" applyFill="1" applyBorder="1"/>
    <x:xf numFmtId="0" fontId="7" fillId="6" borderId="5" xfId="0" applyFont="1" applyFill="1" applyBorder="1"/>
    <x:xf numFmtId="0" fontId="1" fillId="2" borderId="0" xfId="1" applyFont="1" applyFill="1" applyAlignment="1">
      <x:alignment vertical="center" wrapText="1"/>
    </x:xf>
    <x:xf numFmtId="0" fontId="0" fillId="0" borderId="2" xfId="1" applyFont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176" fontId="8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left"/>
    </x:xf>
    <x:xf numFmtId="0" fontId="12" fillId="8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horizontal="center" wrapText="1"/>
    </x:xf>
    <x:xf numFmtId="0" fontId="9" fillId="7" borderId="7" xfId="0" applyNumberFormat="1" applyFont="1" applyFill="1" applyBorder="1" applyAlignment="1">
      <x:alignment horizontal="center" wrapText="1"/>
    </x:xf>
    <x:xf numFmtId="0" fontId="9" fillId="7" borderId="8" xfId="0" applyNumberFormat="1" applyFont="1" applyFill="1" applyBorder="1" applyAlignment="1">
      <x:alignment horizontal="center" wrapText="1"/>
    </x:xf>
    <x:xf numFmtId="0" fontId="9" fillId="7" borderId="6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9" fillId="7" borderId="8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horizontal="left" vertical="center"/>
    </x:xf>
    <x:xf numFmtId="0" fontId="13" fillId="7" borderId="6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13" fillId="7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9" xfId="0" applyNumberFormat="1" applyFont="1" applyFill="1" applyBorder="1"/>
    <x:xf numFmtId="0" fontId="16" fillId="10" borderId="10" xfId="0" applyNumberFormat="1" applyFont="1" applyFill="1" applyBorder="1"/>
    <x:xf numFmtId="0" fontId="16" fillId="10" borderId="11" xfId="0" applyNumberFormat="1" applyFont="1" applyFill="1" applyBorder="1"/>
    <x:xf numFmtId="0" fontId="16" fillId="10" borderId="12" xfId="0" applyNumberFormat="1" applyFont="1" applyFill="1" applyBorder="1"/>
    <x:xf numFmtId="0" fontId="16" fillId="10" borderId="9" xfId="0" applyNumberFormat="1" applyFont="1" applyFill="1" applyBorder="1" applyAlignment="1">
      <x:alignment vertical="center"/>
    </x:xf>
    <x:xf numFmtId="0" fontId="16" fillId="10" borderId="10" xfId="0" applyNumberFormat="1" applyFont="1" applyFill="1" applyBorder="1" applyAlignment="1">
      <x:alignment vertical="center"/>
    </x:xf>
    <x:xf numFmtId="0" fontId="16" fillId="10" borderId="11" xfId="0" applyNumberFormat="1" applyFont="1" applyFill="1" applyBorder="1" applyAlignment="1">
      <x:alignment vertical="center"/>
    </x:xf>
    <x:xf numFmtId="0" fontId="16" fillId="10" borderId="12" xfId="0" applyNumberFormat="1" applyFont="1" applyFill="1" applyBorder="1" applyAlignment="1">
      <x:alignment vertical="center"/>
    </x:xf>
    <x:xf numFmtId="0" fontId="17" fillId="10" borderId="10" xfId="0" applyNumberFormat="1" applyFont="1" applyFill="1" applyBorder="1" applyAlignment="1">
      <x:alignment vertical="center"/>
    </x:xf>
    <x:xf numFmtId="0" fontId="17" fillId="10" borderId="12" xfId="0" applyNumberFormat="1" applyFont="1" applyFill="1" applyBorder="1" applyAlignment="1">
      <x:alignment vertical="center"/>
    </x:xf>
    <x:xf numFmtId="202" fontId="17" fillId="10" borderId="12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vertical="center" wrapText="1"/>
    </x:xf>
    <x:xf numFmtId="0" fontId="18" fillId="9" borderId="13" xfId="0" applyNumberFormat="1" applyFont="1" applyFill="1" applyBorder="1" applyAlignment="1">
      <x:alignment vertical="center"/>
    </x:xf>
    <x:xf numFmtId="0" fontId="19" fillId="11" borderId="1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20" fillId="12" borderId="0" xfId="0" applyNumberFormat="1" applyFont="1" applyFill="1" applyBorder="1"/>
    <x:xf numFmtId="0" fontId="20" fillId="12" borderId="14" xfId="0" applyNumberFormat="1" applyFont="1" applyFill="1" applyBorder="1"/>
    <x:xf numFmtId="0" fontId="20" fillId="12" borderId="15" xfId="0" applyNumberFormat="1" applyFont="1" applyFill="1" applyBorder="1"/>
    <x:xf numFmtId="0" fontId="20" fillId="12" borderId="16" xfId="0" applyNumberFormat="1" applyFont="1" applyFill="1" applyBorder="1"/>
    <x:xf numFmtId="0" fontId="20" fillId="12" borderId="17" xfId="0" applyNumberFormat="1" applyFont="1" applyFill="1" applyBorder="1"/>
    <x:xf numFmtId="0" fontId="20" fillId="12" borderId="18" xfId="0" applyNumberFormat="1" applyFont="1" applyFill="1" applyBorder="1"/>
    <x:xf numFmtId="0" fontId="20" fillId="12" borderId="19" xfId="0" applyNumberFormat="1" applyFont="1" applyFill="1" applyBorder="1"/>
    <x:xf numFmtId="0" fontId="20" fillId="12" borderId="20" xfId="0" applyNumberFormat="1" applyFont="1" applyFill="1" applyBorder="1"/>
    <x:xf numFmtId="0" fontId="20" fillId="12" borderId="21" xfId="0" applyNumberFormat="1" applyFont="1" applyFill="1" applyBorder="1"/>
    <x:xf numFmtId="0" fontId="20" fillId="12" borderId="14" xfId="0" applyNumberFormat="1" applyFont="1" applyFill="1" applyBorder="1" applyAlignment="1">
      <x:alignment wrapText="1"/>
    </x:xf>
    <x:xf numFmtId="0" fontId="20" fillId="12" borderId="15" xfId="0" applyNumberFormat="1" applyFont="1" applyFill="1" applyBorder="1" applyAlignment="1">
      <x:alignment wrapText="1"/>
    </x:xf>
    <x:xf numFmtId="0" fontId="20" fillId="12" borderId="16" xfId="0" applyNumberFormat="1" applyFont="1" applyFill="1" applyBorder="1" applyAlignment="1">
      <x:alignment wrapText="1"/>
    </x:xf>
    <x:xf numFmtId="0" fontId="20" fillId="12" borderId="17" xfId="0" applyNumberFormat="1" applyFont="1" applyFill="1" applyBorder="1" applyAlignment="1">
      <x:alignment wrapText="1"/>
    </x:xf>
    <x:xf numFmtId="0" fontId="20" fillId="12" borderId="0" xfId="0" applyNumberFormat="1" applyFont="1" applyFill="1" applyBorder="1" applyAlignment="1">
      <x:alignment wrapText="1"/>
    </x:xf>
    <x:xf numFmtId="0" fontId="20" fillId="12" borderId="18" xfId="0" applyNumberFormat="1" applyFont="1" applyFill="1" applyBorder="1" applyAlignment="1">
      <x:alignment wrapText="1"/>
    </x:xf>
    <x:xf numFmtId="0" fontId="20" fillId="12" borderId="19" xfId="0" applyNumberFormat="1" applyFont="1" applyFill="1" applyBorder="1" applyAlignment="1">
      <x:alignment wrapText="1"/>
    </x:xf>
    <x:xf numFmtId="0" fontId="20" fillId="12" borderId="20" xfId="0" applyNumberFormat="1" applyFont="1" applyFill="1" applyBorder="1" applyAlignment="1">
      <x:alignment wrapText="1"/>
    </x:xf>
    <x:xf numFmtId="0" fontId="20" fillId="12" borderId="21" xfId="0" applyNumberFormat="1" applyFont="1" applyFill="1" applyBorder="1" applyAlignment="1">
      <x:alignment wrapText="1"/>
    </x:xf>
    <x:xf numFmtId="0" fontId="20" fillId="12" borderId="14" xfId="0" applyNumberFormat="1" applyFont="1" applyFill="1" applyBorder="1" applyAlignment="1">
      <x:alignment vertical="center" wrapText="1"/>
    </x:xf>
    <x:xf numFmtId="0" fontId="20" fillId="12" borderId="15" xfId="0" applyNumberFormat="1" applyFont="1" applyFill="1" applyBorder="1" applyAlignment="1">
      <x:alignment vertical="center" wrapText="1"/>
    </x:xf>
    <x:xf numFmtId="0" fontId="20" fillId="12" borderId="16" xfId="0" applyNumberFormat="1" applyFont="1" applyFill="1" applyBorder="1" applyAlignment="1">
      <x:alignment vertical="center" wrapText="1"/>
    </x:xf>
    <x:xf numFmtId="0" fontId="20" fillId="12" borderId="17" xfId="0" applyNumberFormat="1" applyFont="1" applyFill="1" applyBorder="1" applyAlignment="1">
      <x:alignment vertical="center" wrapText="1"/>
    </x:xf>
    <x:xf numFmtId="0" fontId="20" fillId="12" borderId="0" xfId="0" applyNumberFormat="1" applyFont="1" applyFill="1" applyBorder="1" applyAlignment="1">
      <x:alignment vertical="center" wrapText="1"/>
    </x:xf>
    <x:xf numFmtId="0" fontId="20" fillId="12" borderId="18" xfId="0" applyNumberFormat="1" applyFont="1" applyFill="1" applyBorder="1" applyAlignment="1">
      <x:alignment vertical="center" wrapText="1"/>
    </x:xf>
    <x:xf numFmtId="0" fontId="20" fillId="12" borderId="19" xfId="0" applyNumberFormat="1" applyFont="1" applyFill="1" applyBorder="1" applyAlignment="1">
      <x:alignment vertical="center" wrapText="1"/>
    </x:xf>
    <x:xf numFmtId="0" fontId="20" fillId="12" borderId="20" xfId="0" applyNumberFormat="1" applyFont="1" applyFill="1" applyBorder="1" applyAlignment="1">
      <x:alignment vertical="center" wrapText="1"/>
    </x:xf>
    <x:xf numFmtId="0" fontId="20" fillId="12" borderId="21" xfId="0" applyNumberFormat="1" applyFont="1" applyFill="1" applyBorder="1" applyAlignment="1">
      <x:alignment vertical="center" wrapText="1"/>
    </x:xf>
    <x:xf numFmtId="0" fontId="8" fillId="10" borderId="9" xfId="0" applyNumberFormat="1" applyFont="1" applyFill="1" applyBorder="1" applyAlignment="1">
      <x:alignment vertical="center"/>
    </x:xf>
    <x:xf numFmtId="0" fontId="13" fillId="10" borderId="10" xfId="0" applyNumberFormat="1" applyFont="1" applyFill="1" applyBorder="1" applyAlignment="1">
      <x:alignment vertical="center"/>
    </x:xf>
    <x:xf numFmtId="0" fontId="13" fillId="9" borderId="13" xfId="0" applyNumberFormat="1" applyFont="1" applyFill="1" applyBorder="1" applyAlignment="1">
      <x:alignment vertical="center"/>
    </x:xf>
    <x:xf numFmtId="0" fontId="8" fillId="11" borderId="13" xfId="0" applyNumberFormat="1" applyFont="1" applyFill="1" applyBorder="1" applyAlignment="1">
      <x:alignment vertical="center" wrapText="1"/>
    </x:xf>
    <x:xf numFmtId="0" fontId="8" fillId="10" borderId="11" xfId="0" applyNumberFormat="1" applyFont="1" applyFill="1" applyBorder="1" applyAlignment="1">
      <x:alignment vertical="center"/>
    </x:xf>
    <x:xf numFmtId="0" fontId="13" fillId="10" borderId="12" xfId="0" applyNumberFormat="1" applyFont="1" applyFill="1" applyBorder="1" applyAlignment="1">
      <x:alignment vertical="center"/>
    </x:xf>
    <x:xf numFmtId="202" fontId="13" fillId="10" borderId="12" xfId="0" applyNumberFormat="1" applyFont="1" applyFill="1" applyBorder="1" applyAlignment="1">
      <x:alignment vertical="center"/>
    </x:xf>
    <x:xf numFmtId="0" fontId="8" fillId="12" borderId="14" xfId="0" applyNumberFormat="1" applyFont="1" applyFill="1" applyBorder="1" applyAlignment="1">
      <x:alignment vertical="center" wrapText="1"/>
    </x:xf>
    <x:xf numFmtId="0" fontId="8" fillId="12" borderId="15" xfId="0" applyNumberFormat="1" applyFont="1" applyFill="1" applyBorder="1" applyAlignment="1">
      <x:alignment vertical="center" wrapText="1"/>
    </x:xf>
    <x:xf numFmtId="0" fontId="8" fillId="12" borderId="16" xfId="0" applyNumberFormat="1" applyFont="1" applyFill="1" applyBorder="1" applyAlignment="1">
      <x:alignment vertical="center" wrapText="1"/>
    </x:xf>
    <x:xf numFmtId="0" fontId="8" fillId="12" borderId="17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18" xfId="0" applyNumberFormat="1" applyFont="1" applyFill="1" applyBorder="1" applyAlignment="1">
      <x:alignment vertical="center" wrapText="1"/>
    </x:xf>
    <x:xf numFmtId="0" fontId="8" fillId="12" borderId="19" xfId="0" applyNumberFormat="1" applyFont="1" applyFill="1" applyBorder="1" applyAlignment="1">
      <x:alignment vertical="center" wrapText="1"/>
    </x:xf>
    <x:xf numFmtId="0" fontId="8" fillId="12" borderId="20" xfId="0" applyNumberFormat="1" applyFont="1" applyFill="1" applyBorder="1" applyAlignment="1">
      <x:alignment vertical="center" wrapText="1"/>
    </x:xf>
    <x:xf numFmtId="0" fontId="8" fillId="12" borderId="21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left"/>
    </x:xf>
    <x:xf numFmtId="0" fontId="12" fillId="14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6" xfId="0" applyNumberFormat="1" applyFont="1" applyFill="1" applyBorder="1"/>
    <x:xf numFmtId="0" fontId="9" fillId="13" borderId="7" xfId="0" applyNumberFormat="1" applyFont="1" applyFill="1" applyBorder="1"/>
    <x:xf numFmtId="0" fontId="9" fillId="13" borderId="8" xfId="0" applyNumberFormat="1" applyFont="1" applyFill="1" applyBorder="1"/>
    <x:xf numFmtId="0" fontId="9" fillId="13" borderId="6" xfId="0" applyNumberFormat="1" applyFont="1" applyFill="1" applyBorder="1" applyAlignment="1">
      <x:alignment wrapText="1"/>
    </x:xf>
    <x:xf numFmtId="0" fontId="9" fillId="13" borderId="7" xfId="0" applyNumberFormat="1" applyFont="1" applyFill="1" applyBorder="1" applyAlignment="1">
      <x:alignment wrapText="1"/>
    </x:xf>
    <x:xf numFmtId="0" fontId="9" fillId="13" borderId="8" xfId="0" applyNumberFormat="1" applyFont="1" applyFill="1" applyBorder="1" applyAlignment="1">
      <x:alignment wrapText="1"/>
    </x:xf>
    <x:xf numFmtId="0" fontId="9" fillId="13" borderId="6" xfId="0" applyNumberFormat="1" applyFont="1" applyFill="1" applyBorder="1" applyAlignment="1">
      <x:alignment horizontal="center" wrapText="1"/>
    </x:xf>
    <x:xf numFmtId="0" fontId="9" fillId="13" borderId="7" xfId="0" applyNumberFormat="1" applyFont="1" applyFill="1" applyBorder="1" applyAlignment="1">
      <x:alignment horizontal="center" wrapText="1"/>
    </x:xf>
    <x:xf numFmtId="0" fontId="9" fillId="13" borderId="8" xfId="0" applyNumberFormat="1" applyFont="1" applyFill="1" applyBorder="1" applyAlignment="1">
      <x:alignment horizontal="center" wrapText="1"/>
    </x:xf>
    <x:xf numFmtId="0" fontId="9" fillId="13" borderId="6" xfId="0" applyNumberFormat="1" applyFont="1" applyFill="1" applyBorder="1" applyAlignment="1">
      <x:alignment horizontal="center" vertical="center" wrapText="1"/>
    </x:xf>
    <x:xf numFmtId="0" fontId="9" fillId="13" borderId="7" xfId="0" applyNumberFormat="1" applyFont="1" applyFill="1" applyBorder="1" applyAlignment="1">
      <x:alignment horizontal="center" vertical="center" wrapText="1"/>
    </x:xf>
    <x:xf numFmtId="0" fontId="9" fillId="13" borderId="8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22" xfId="0" applyNumberFormat="1" applyFont="1" applyFill="1" applyBorder="1"/>
    <x:xf numFmtId="0" fontId="19" fillId="15" borderId="23" xfId="0" applyNumberFormat="1" applyFont="1" applyFill="1" applyBorder="1"/>
    <x:xf numFmtId="0" fontId="19" fillId="15" borderId="24" xfId="0" applyNumberFormat="1" applyFont="1" applyFill="1" applyBorder="1"/>
    <x:xf numFmtId="0" fontId="19" fillId="15" borderId="9" xfId="0" applyNumberFormat="1" applyFont="1" applyFill="1" applyBorder="1"/>
    <x:xf numFmtId="0" fontId="19" fillId="15" borderId="25" xfId="0" applyNumberFormat="1" applyFont="1" applyFill="1" applyBorder="1"/>
    <x:xf numFmtId="0" fontId="19" fillId="15" borderId="10" xfId="0" applyNumberFormat="1" applyFont="1" applyFill="1" applyBorder="1"/>
    <x:xf numFmtId="0" fontId="19" fillId="15" borderId="22" xfId="0" applyNumberFormat="1" applyFont="1" applyFill="1" applyBorder="1" applyAlignment="1">
      <x:alignment wrapText="1"/>
    </x:xf>
    <x:xf numFmtId="0" fontId="19" fillId="15" borderId="23" xfId="0" applyNumberFormat="1" applyFont="1" applyFill="1" applyBorder="1" applyAlignment="1">
      <x:alignment wrapText="1"/>
    </x:xf>
    <x:xf numFmtId="0" fontId="19" fillId="15" borderId="24" xfId="0" applyNumberFormat="1" applyFont="1" applyFill="1" applyBorder="1" applyAlignment="1">
      <x:alignment wrapText="1"/>
    </x:xf>
    <x:xf numFmtId="0" fontId="19" fillId="15" borderId="9" xfId="0" applyNumberFormat="1" applyFont="1" applyFill="1" applyBorder="1" applyAlignment="1">
      <x:alignment wrapText="1"/>
    </x:xf>
    <x:xf numFmtId="0" fontId="19" fillId="15" borderId="25" xfId="0" applyNumberFormat="1" applyFont="1" applyFill="1" applyBorder="1" applyAlignment="1">
      <x:alignment wrapText="1"/>
    </x:xf>
    <x:xf numFmtId="0" fontId="19" fillId="15" borderId="10" xfId="0" applyNumberFormat="1" applyFont="1" applyFill="1" applyBorder="1" applyAlignment="1">
      <x:alignment wrapText="1"/>
    </x:xf>
    <x:xf numFmtId="0" fontId="19" fillId="15" borderId="22" xfId="0" applyNumberFormat="1" applyFont="1" applyFill="1" applyBorder="1" applyAlignment="1">
      <x:alignment vertical="center" wrapText="1"/>
    </x:xf>
    <x:xf numFmtId="0" fontId="19" fillId="15" borderId="23" xfId="0" applyNumberFormat="1" applyFont="1" applyFill="1" applyBorder="1" applyAlignment="1">
      <x:alignment vertical="center" wrapText="1"/>
    </x:xf>
    <x:xf numFmtId="0" fontId="19" fillId="15" borderId="24" xfId="0" applyNumberFormat="1" applyFont="1" applyFill="1" applyBorder="1" applyAlignment="1">
      <x:alignment vertical="center" wrapText="1"/>
    </x:xf>
    <x:xf numFmtId="0" fontId="19" fillId="15" borderId="9" xfId="0" applyNumberFormat="1" applyFont="1" applyFill="1" applyBorder="1" applyAlignment="1">
      <x:alignment vertical="center" wrapText="1"/>
    </x:xf>
    <x:xf numFmtId="0" fontId="19" fillId="15" borderId="25" xfId="0" applyNumberFormat="1" applyFont="1" applyFill="1" applyBorder="1" applyAlignment="1">
      <x:alignment vertical="center" wrapText="1"/>
    </x:xf>
    <x:xf numFmtId="0" fontId="19" fillId="15" borderId="1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horizontal="left" vertical="center"/>
    </x:xf>
    <x:xf numFmtId="0" fontId="13" fillId="13" borderId="6" xfId="0" applyNumberFormat="1" applyFont="1" applyFill="1" applyBorder="1" applyAlignment="1">
      <x:alignment horizontal="center" vertical="center" wrapText="1"/>
    </x:xf>
    <x:xf numFmtId="0" fontId="13" fillId="13" borderId="7" xfId="0" applyNumberFormat="1" applyFont="1" applyFill="1" applyBorder="1" applyAlignment="1">
      <x:alignment horizontal="center" vertical="center" wrapText="1"/>
    </x:xf>
    <x:xf numFmtId="0" fontId="13" fillId="13" borderId="8" xfId="0" applyNumberFormat="1" applyFont="1" applyFill="1" applyBorder="1" applyAlignment="1">
      <x:alignment horizontal="center" vertical="center" wrapText="1"/>
    </x:xf>
    <x:xf numFmtId="0" fontId="8" fillId="15" borderId="22" xfId="0" applyNumberFormat="1" applyFont="1" applyFill="1" applyBorder="1" applyAlignment="1">
      <x:alignment vertical="center" wrapText="1"/>
    </x:xf>
    <x:xf numFmtId="0" fontId="8" fillId="15" borderId="23" xfId="0" applyNumberFormat="1" applyFont="1" applyFill="1" applyBorder="1" applyAlignment="1">
      <x:alignment vertical="center" wrapText="1"/>
    </x:xf>
    <x:xf numFmtId="0" fontId="8" fillId="15" borderId="24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 wrapText="1"/>
    </x:xf>
    <x:xf numFmtId="0" fontId="8" fillId="15" borderId="25" xfId="0" applyNumberFormat="1" applyFont="1" applyFill="1" applyBorder="1" applyAlignment="1">
      <x:alignment vertical="center" wrapText="1"/>
    </x:xf>
    <x:xf numFmtId="0" fontId="8" fillId="15" borderId="1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16" fillId="15" borderId="0" xfId="0" applyNumberFormat="1" applyFont="1" applyFill="1" applyBorder="1"/>
    <x:xf numFmtId="0" fontId="16" fillId="15" borderId="9" xfId="0" applyNumberFormat="1" applyFont="1" applyFill="1" applyBorder="1"/>
    <x:xf numFmtId="0" fontId="16" fillId="15" borderId="10" xfId="0" applyNumberFormat="1" applyFont="1" applyFill="1" applyBorder="1"/>
    <x:xf numFmtId="0" fontId="16" fillId="15" borderId="11" xfId="0" applyNumberFormat="1" applyFont="1" applyFill="1" applyBorder="1"/>
    <x:xf numFmtId="0" fontId="16" fillId="15" borderId="12" xfId="0" applyNumberFormat="1" applyFont="1" applyFill="1" applyBorder="1"/>
    <x:xf numFmtId="0" fontId="16" fillId="15" borderId="9" xfId="0" applyNumberFormat="1" applyFont="1" applyFill="1" applyBorder="1" applyAlignment="1">
      <x:alignment vertical="center"/>
    </x:xf>
    <x:xf numFmtId="0" fontId="16" fillId="15" borderId="10" xfId="0" applyNumberFormat="1" applyFont="1" applyFill="1" applyBorder="1" applyAlignment="1">
      <x:alignment vertical="center"/>
    </x:xf>
    <x:xf numFmtId="0" fontId="16" fillId="15" borderId="11" xfId="0" applyNumberFormat="1" applyFont="1" applyFill="1" applyBorder="1" applyAlignment="1">
      <x:alignment vertical="center"/>
    </x:xf>
    <x:xf numFmtId="0" fontId="16" fillId="15" borderId="12" xfId="0" applyNumberFormat="1" applyFont="1" applyFill="1" applyBorder="1" applyAlignment="1">
      <x:alignment vertical="center"/>
    </x:xf>
    <x:xf numFmtId="0" fontId="17" fillId="15" borderId="10" xfId="0" applyNumberFormat="1" applyFont="1" applyFill="1" applyBorder="1" applyAlignment="1">
      <x:alignment vertical="center"/>
    </x:xf>
    <x:xf numFmtId="0" fontId="17" fillId="15" borderId="12" xfId="0" applyNumberFormat="1" applyFont="1" applyFill="1" applyBorder="1" applyAlignment="1">
      <x:alignment vertical="center"/>
    </x:xf>
    <x:xf numFmtId="202" fontId="17" fillId="15" borderId="12" xfId="0" applyNumberFormat="1" applyFont="1" applyFill="1" applyBorder="1" applyAlignment="1">
      <x:alignment vertical="center"/>
    </x:xf>
    <x:xf numFmtId="0" fontId="18" fillId="16" borderId="0" xfId="0" applyNumberFormat="1" applyFont="1" applyFill="1" applyBorder="1"/>
    <x:xf numFmtId="0" fontId="18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vertical="center" wrapText="1"/>
    </x:xf>
    <x:xf numFmtId="0" fontId="18" fillId="16" borderId="13" xfId="0" applyNumberFormat="1" applyFont="1" applyFill="1" applyBorder="1" applyAlignment="1">
      <x:alignment vertical="center"/>
    </x:xf>
    <x:xf numFmtId="0" fontId="19" fillId="17" borderId="13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14" xfId="0" applyNumberFormat="1" applyFont="1" applyFill="1" applyBorder="1"/>
    <x:xf numFmtId="0" fontId="20" fillId="18" borderId="15" xfId="0" applyNumberFormat="1" applyFont="1" applyFill="1" applyBorder="1"/>
    <x:xf numFmtId="0" fontId="20" fillId="18" borderId="16" xfId="0" applyNumberFormat="1" applyFont="1" applyFill="1" applyBorder="1"/>
    <x:xf numFmtId="0" fontId="20" fillId="18" borderId="17" xfId="0" applyNumberFormat="1" applyFont="1" applyFill="1" applyBorder="1"/>
    <x:xf numFmtId="0" fontId="20" fillId="18" xfId="0" applyNumberFormat="1" applyFont="1" applyFill="1" applyBorder="0"/>
    <x:xf numFmtId="0" fontId="20" fillId="18" borderId="18" xfId="0" applyNumberFormat="1" applyFont="1" applyFill="1" applyBorder="1"/>
    <x:xf numFmtId="0" fontId="20" fillId="18" borderId="19" xfId="0" applyNumberFormat="1" applyFont="1" applyFill="1" applyBorder="1"/>
    <x:xf numFmtId="0" fontId="20" fillId="18" borderId="20" xfId="0" applyNumberFormat="1" applyFont="1" applyFill="1" applyBorder="1"/>
    <x:xf numFmtId="0" fontId="20" fillId="18" borderId="21" xfId="0" applyNumberFormat="1" applyFont="1" applyFill="1" applyBorder="1"/>
    <x:xf numFmtId="0" fontId="20" fillId="18" borderId="14" xfId="0" applyNumberFormat="1" applyFont="1" applyFill="1" applyBorder="1" applyAlignment="1">
      <x:alignment wrapText="1"/>
    </x:xf>
    <x:xf numFmtId="0" fontId="20" fillId="18" borderId="15" xfId="0" applyNumberFormat="1" applyFont="1" applyFill="1" applyBorder="1" applyAlignment="1">
      <x:alignment wrapText="1"/>
    </x:xf>
    <x:xf numFmtId="0" fontId="20" fillId="18" borderId="16" xfId="0" applyNumberFormat="1" applyFont="1" applyFill="1" applyBorder="1" applyAlignment="1">
      <x:alignment wrapText="1"/>
    </x:xf>
    <x:xf numFmtId="0" fontId="20" fillId="18" borderId="17" xfId="0" applyNumberFormat="1" applyFont="1" applyFill="1" applyBorder="1" applyAlignment="1">
      <x:alignment wrapText="1"/>
    </x:xf>
    <x:xf numFmtId="0" fontId="20" fillId="18" xfId="0" applyNumberFormat="1" applyFont="1" applyFill="1" applyBorder="0" applyAlignment="1">
      <x:alignment wrapText="1"/>
    </x:xf>
    <x:xf numFmtId="0" fontId="20" fillId="18" borderId="18" xfId="0" applyNumberFormat="1" applyFont="1" applyFill="1" applyBorder="1" applyAlignment="1">
      <x:alignment wrapText="1"/>
    </x:xf>
    <x:xf numFmtId="0" fontId="20" fillId="18" borderId="19" xfId="0" applyNumberFormat="1" applyFont="1" applyFill="1" applyBorder="1" applyAlignment="1">
      <x:alignment wrapText="1"/>
    </x:xf>
    <x:xf numFmtId="0" fontId="20" fillId="18" borderId="20" xfId="0" applyNumberFormat="1" applyFont="1" applyFill="1" applyBorder="1" applyAlignment="1">
      <x:alignment wrapText="1"/>
    </x:xf>
    <x:xf numFmtId="0" fontId="20" fillId="18" borderId="21" xfId="0" applyNumberFormat="1" applyFont="1" applyFill="1" applyBorder="1" applyAlignment="1">
      <x:alignment wrapText="1"/>
    </x:xf>
    <x:xf numFmtId="0" fontId="20" fillId="18" borderId="14" xfId="0" applyNumberFormat="1" applyFont="1" applyFill="1" applyBorder="1" applyAlignment="1">
      <x:alignment vertical="center" wrapText="1"/>
    </x:xf>
    <x:xf numFmtId="0" fontId="20" fillId="18" borderId="15" xfId="0" applyNumberFormat="1" applyFont="1" applyFill="1" applyBorder="1" applyAlignment="1">
      <x:alignment vertical="center" wrapText="1"/>
    </x:xf>
    <x:xf numFmtId="0" fontId="20" fillId="18" borderId="16" xfId="0" applyNumberFormat="1" applyFont="1" applyFill="1" applyBorder="1" applyAlignment="1">
      <x:alignment vertical="center" wrapText="1"/>
    </x:xf>
    <x:xf numFmtId="0" fontId="20" fillId="18" borderId="17" xfId="0" applyNumberFormat="1" applyFont="1" applyFill="1" applyBorder="1" applyAlignment="1">
      <x:alignment vertical="center" wrapText="1"/>
    </x:xf>
    <x:xf numFmtId="0" fontId="20" fillId="18" xfId="0" applyNumberFormat="1" applyFont="1" applyFill="1" applyBorder="0" applyAlignment="1">
      <x:alignment vertical="center" wrapText="1"/>
    </x:xf>
    <x:xf numFmtId="0" fontId="20" fillId="18" borderId="18" xfId="0" applyNumberFormat="1" applyFont="1" applyFill="1" applyBorder="1" applyAlignment="1">
      <x:alignment vertical="center" wrapText="1"/>
    </x:xf>
    <x:xf numFmtId="0" fontId="20" fillId="18" borderId="19" xfId="0" applyNumberFormat="1" applyFont="1" applyFill="1" applyBorder="1" applyAlignment="1">
      <x:alignment vertical="center" wrapText="1"/>
    </x:xf>
    <x:xf numFmtId="0" fontId="20" fillId="18" borderId="20" xfId="0" applyNumberFormat="1" applyFont="1" applyFill="1" applyBorder="1" applyAlignment="1">
      <x:alignment vertical="center" wrapText="1"/>
    </x:xf>
    <x:xf numFmtId="0" fontId="20" fillId="18" borderId="21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/>
    </x:xf>
    <x:xf numFmtId="0" fontId="13" fillId="15" borderId="10" xfId="0" applyNumberFormat="1" applyFont="1" applyFill="1" applyBorder="1" applyAlignment="1">
      <x:alignment vertical="center"/>
    </x:xf>
    <x:xf numFmtId="0" fontId="13" fillId="16" borderId="13" xfId="0" applyNumberFormat="1" applyFont="1" applyFill="1" applyBorder="1" applyAlignment="1">
      <x:alignment vertical="center"/>
    </x:xf>
    <x:xf numFmtId="0" fontId="8" fillId="17" borderId="13" xfId="0" applyNumberFormat="1" applyFont="1" applyFill="1" applyBorder="1" applyAlignment="1">
      <x:alignment vertical="center" wrapText="1"/>
    </x:xf>
    <x:xf numFmtId="0" fontId="8" fillId="15" borderId="11" xfId="0" applyNumberFormat="1" applyFont="1" applyFill="1" applyBorder="1" applyAlignment="1">
      <x:alignment vertical="center"/>
    </x:xf>
    <x:xf numFmtId="0" fontId="13" fillId="15" borderId="12" xfId="0" applyNumberFormat="1" applyFont="1" applyFill="1" applyBorder="1" applyAlignment="1">
      <x:alignment vertical="center"/>
    </x:xf>
    <x:xf numFmtId="202" fontId="13" fillId="15" borderId="12" xfId="0" applyNumberFormat="1" applyFont="1" applyFill="1" applyBorder="1" applyAlignment="1">
      <x:alignment vertical="center"/>
    </x:xf>
    <x:xf numFmtId="0" fontId="8" fillId="18" borderId="14" xfId="0" applyNumberFormat="1" applyFont="1" applyFill="1" applyBorder="1" applyAlignment="1">
      <x:alignment vertical="center" wrapText="1"/>
    </x:xf>
    <x:xf numFmtId="0" fontId="8" fillId="18" borderId="15" xfId="0" applyNumberFormat="1" applyFont="1" applyFill="1" applyBorder="1" applyAlignment="1">
      <x:alignment vertical="center" wrapText="1"/>
    </x:xf>
    <x:xf numFmtId="0" fontId="8" fillId="18" borderId="16" xfId="0" applyNumberFormat="1" applyFont="1" applyFill="1" applyBorder="1" applyAlignment="1">
      <x:alignment vertical="center" wrapText="1"/>
    </x:xf>
    <x:xf numFmtId="0" fontId="8" fillId="18" borderId="17" xfId="0" applyNumberFormat="1" applyFont="1" applyFill="1" applyBorder="1" applyAlignment="1">
      <x:alignment vertical="center" wrapText="1"/>
    </x:xf>
    <x:xf numFmtId="0" fontId="8" fillId="18" xfId="0" applyNumberFormat="1" applyFont="1" applyFill="1" applyBorder="0" applyAlignment="1">
      <x:alignment vertical="center" wrapText="1"/>
    </x:xf>
    <x:xf numFmtId="0" fontId="8" fillId="18" borderId="18" xfId="0" applyNumberFormat="1" applyFont="1" applyFill="1" applyBorder="1" applyAlignment="1">
      <x:alignment vertical="center" wrapText="1"/>
    </x:xf>
    <x:xf numFmtId="0" fontId="8" fillId="18" borderId="19" xfId="0" applyNumberFormat="1" applyFont="1" applyFill="1" applyBorder="1" applyAlignment="1">
      <x:alignment vertical="center" wrapText="1"/>
    </x:xf>
    <x:xf numFmtId="0" fontId="8" fillId="18" borderId="20" xfId="0" applyNumberFormat="1" applyFont="1" applyFill="1" applyBorder="1" applyAlignment="1">
      <x:alignment vertical="center" wrapText="1"/>
    </x:xf>
    <x:xf numFmtId="0" fontId="8" fillId="18" borderId="21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horizontal="left"/>
    </x:xf>
    <x:xf numFmtId="0" fontId="12" fillId="20" borderId="0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6" xfId="0" applyNumberFormat="1" applyFont="1" applyFill="1" applyBorder="1"/>
    <x:xf numFmtId="0" fontId="9" fillId="19" borderId="7" xfId="0" applyNumberFormat="1" applyFont="1" applyFill="1" applyBorder="1"/>
    <x:xf numFmtId="0" fontId="9" fillId="19" borderId="8" xfId="0" applyNumberFormat="1" applyFont="1" applyFill="1" applyBorder="1"/>
    <x:xf numFmtId="0" fontId="9" fillId="19" borderId="6" xfId="0" applyNumberFormat="1" applyFont="1" applyFill="1" applyBorder="1" applyAlignment="1">
      <x:alignment wrapText="1"/>
    </x:xf>
    <x:xf numFmtId="0" fontId="9" fillId="19" borderId="7" xfId="0" applyNumberFormat="1" applyFont="1" applyFill="1" applyBorder="1" applyAlignment="1">
      <x:alignment wrapText="1"/>
    </x:xf>
    <x:xf numFmtId="0" fontId="9" fillId="19" borderId="8" xfId="0" applyNumberFormat="1" applyFont="1" applyFill="1" applyBorder="1" applyAlignment="1">
      <x:alignment wrapText="1"/>
    </x:xf>
    <x:xf numFmtId="0" fontId="9" fillId="19" borderId="6" xfId="0" applyNumberFormat="1" applyFont="1" applyFill="1" applyBorder="1" applyAlignment="1">
      <x:alignment horizontal="center" wrapText="1"/>
    </x:xf>
    <x:xf numFmtId="0" fontId="9" fillId="19" borderId="7" xfId="0" applyNumberFormat="1" applyFont="1" applyFill="1" applyBorder="1" applyAlignment="1">
      <x:alignment horizontal="center" wrapText="1"/>
    </x:xf>
    <x:xf numFmtId="0" fontId="9" fillId="19" borderId="8" xfId="0" applyNumberFormat="1" applyFont="1" applyFill="1" applyBorder="1" applyAlignment="1">
      <x:alignment horizontal="center" wrapText="1"/>
    </x:xf>
    <x:xf numFmtId="0" fontId="9" fillId="19" borderId="6" xfId="0" applyNumberFormat="1" applyFont="1" applyFill="1" applyBorder="1" applyAlignment="1">
      <x:alignment horizontal="center" vertical="center" wrapText="1"/>
    </x:xf>
    <x:xf numFmtId="0" fontId="9" fillId="19" borderId="7" xfId="0" applyNumberFormat="1" applyFont="1" applyFill="1" applyBorder="1" applyAlignment="1">
      <x:alignment horizontal="center" vertical="center" wrapText="1"/>
    </x:xf>
    <x:xf numFmtId="0" fontId="9" fillId="19" borderId="8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9" fillId="21" borderId="0" xfId="0" applyNumberFormat="1" applyFont="1" applyFill="1" applyBorder="1"/>
    <x:xf numFmtId="0" fontId="19" fillId="21" borderId="22" xfId="0" applyNumberFormat="1" applyFont="1" applyFill="1" applyBorder="1"/>
    <x:xf numFmtId="0" fontId="19" fillId="21" borderId="23" xfId="0" applyNumberFormat="1" applyFont="1" applyFill="1" applyBorder="1"/>
    <x:xf numFmtId="0" fontId="19" fillId="21" borderId="24" xfId="0" applyNumberFormat="1" applyFont="1" applyFill="1" applyBorder="1"/>
    <x:xf numFmtId="0" fontId="19" fillId="21" borderId="9" xfId="0" applyNumberFormat="1" applyFont="1" applyFill="1" applyBorder="1"/>
    <x:xf numFmtId="0" fontId="19" fillId="21" borderId="25" xfId="0" applyNumberFormat="1" applyFont="1" applyFill="1" applyBorder="1"/>
    <x:xf numFmtId="0" fontId="19" fillId="21" borderId="10" xfId="0" applyNumberFormat="1" applyFont="1" applyFill="1" applyBorder="1"/>
    <x:xf numFmtId="0" fontId="19" fillId="21" borderId="22" xfId="0" applyNumberFormat="1" applyFont="1" applyFill="1" applyBorder="1" applyAlignment="1">
      <x:alignment wrapText="1"/>
    </x:xf>
    <x:xf numFmtId="0" fontId="19" fillId="21" borderId="23" xfId="0" applyNumberFormat="1" applyFont="1" applyFill="1" applyBorder="1" applyAlignment="1">
      <x:alignment wrapText="1"/>
    </x:xf>
    <x:xf numFmtId="0" fontId="19" fillId="21" borderId="24" xfId="0" applyNumberFormat="1" applyFont="1" applyFill="1" applyBorder="1" applyAlignment="1">
      <x:alignment wrapText="1"/>
    </x:xf>
    <x:xf numFmtId="0" fontId="19" fillId="21" borderId="9" xfId="0" applyNumberFormat="1" applyFont="1" applyFill="1" applyBorder="1" applyAlignment="1">
      <x:alignment wrapText="1"/>
    </x:xf>
    <x:xf numFmtId="0" fontId="19" fillId="21" borderId="25" xfId="0" applyNumberFormat="1" applyFont="1" applyFill="1" applyBorder="1" applyAlignment="1">
      <x:alignment wrapText="1"/>
    </x:xf>
    <x:xf numFmtId="0" fontId="19" fillId="21" borderId="10" xfId="0" applyNumberFormat="1" applyFont="1" applyFill="1" applyBorder="1" applyAlignment="1">
      <x:alignment wrapText="1"/>
    </x:xf>
    <x:xf numFmtId="0" fontId="19" fillId="21" borderId="22" xfId="0" applyNumberFormat="1" applyFont="1" applyFill="1" applyBorder="1" applyAlignment="1">
      <x:alignment vertical="center" wrapText="1"/>
    </x:xf>
    <x:xf numFmtId="0" fontId="19" fillId="21" borderId="23" xfId="0" applyNumberFormat="1" applyFont="1" applyFill="1" applyBorder="1" applyAlignment="1">
      <x:alignment vertical="center" wrapText="1"/>
    </x:xf>
    <x:xf numFmtId="0" fontId="19" fillId="21" borderId="24" xfId="0" applyNumberFormat="1" applyFont="1" applyFill="1" applyBorder="1" applyAlignment="1">
      <x:alignment vertical="center" wrapText="1"/>
    </x:xf>
    <x:xf numFmtId="0" fontId="19" fillId="21" borderId="9" xfId="0" applyNumberFormat="1" applyFont="1" applyFill="1" applyBorder="1" applyAlignment="1">
      <x:alignment vertical="center" wrapText="1"/>
    </x:xf>
    <x:xf numFmtId="0" fontId="19" fillId="21" borderId="25" xfId="0" applyNumberFormat="1" applyFont="1" applyFill="1" applyBorder="1" applyAlignment="1">
      <x:alignment vertical="center" wrapText="1"/>
    </x:xf>
    <x:xf numFmtId="0" fontId="19" fillId="21" borderId="10" xfId="0" applyNumberFormat="1" applyFont="1" applyFill="1" applyBorder="1" applyAlignment="1">
      <x:alignment vertical="center" wrapText="1"/>
    </x:xf>
    <x:xf numFmtId="0" fontId="13" fillId="20" borderId="0" xfId="0" applyNumberFormat="1" applyFont="1" applyFill="1" applyBorder="1" applyAlignment="1">
      <x:alignment horizontal="left" vertical="center"/>
    </x:xf>
    <x:xf numFmtId="0" fontId="13" fillId="19" borderId="6" xfId="0" applyNumberFormat="1" applyFont="1" applyFill="1" applyBorder="1" applyAlignment="1">
      <x:alignment horizontal="center" vertical="center" wrapText="1"/>
    </x:xf>
    <x:xf numFmtId="0" fontId="13" fillId="19" borderId="7" xfId="0" applyNumberFormat="1" applyFont="1" applyFill="1" applyBorder="1" applyAlignment="1">
      <x:alignment horizontal="center" vertical="center" wrapText="1"/>
    </x:xf>
    <x:xf numFmtId="0" fontId="13" fillId="19" borderId="8" xfId="0" applyNumberFormat="1" applyFont="1" applyFill="1" applyBorder="1" applyAlignment="1">
      <x:alignment horizontal="center" vertical="center" wrapText="1"/>
    </x:xf>
    <x:xf numFmtId="0" fontId="8" fillId="21" borderId="22" xfId="0" applyNumberFormat="1" applyFont="1" applyFill="1" applyBorder="1" applyAlignment="1">
      <x:alignment vertical="center" wrapText="1"/>
    </x:xf>
    <x:xf numFmtId="0" fontId="8" fillId="21" borderId="23" xfId="0" applyNumberFormat="1" applyFont="1" applyFill="1" applyBorder="1" applyAlignment="1">
      <x:alignment vertical="center" wrapText="1"/>
    </x:xf>
    <x:xf numFmtId="0" fontId="8" fillId="21" borderId="24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 wrapText="1"/>
    </x:xf>
    <x:xf numFmtId="0" fontId="8" fillId="21" borderId="25" xfId="0" applyNumberFormat="1" applyFont="1" applyFill="1" applyBorder="1" applyAlignment="1">
      <x:alignment vertical="center" wrapText="1"/>
    </x:xf>
    <x:xf numFmtId="0" fontId="8" fillId="21" borderId="1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vertical="center" wrapText="1"/>
    </x:xf>
    <x:xf numFmtId="0" fontId="15" fillId="22" borderId="0" xfId="0" applyNumberFormat="1" applyFont="1" applyFill="1" applyBorder="1" applyAlignment="1">
      <x:alignment vertical="center" wrapText="1"/>
    </x:xf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10" fillId="22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/>
    <x:xf numFmtId="0" fontId="16" fillId="21" borderId="9" xfId="0" applyNumberFormat="1" applyFont="1" applyFill="1" applyBorder="1"/>
    <x:xf numFmtId="0" fontId="16" fillId="21" borderId="10" xfId="0" applyNumberFormat="1" applyFont="1" applyFill="1" applyBorder="1"/>
    <x:xf numFmtId="0" fontId="16" fillId="21" borderId="11" xfId="0" applyNumberFormat="1" applyFont="1" applyFill="1" applyBorder="1"/>
    <x:xf numFmtId="0" fontId="16" fillId="21" borderId="12" xfId="0" applyNumberFormat="1" applyFont="1" applyFill="1" applyBorder="1"/>
    <x:xf numFmtId="0" fontId="16" fillId="21" borderId="9" xfId="0" applyNumberFormat="1" applyFont="1" applyFill="1" applyBorder="1" applyAlignment="1">
      <x:alignment vertical="center"/>
    </x:xf>
    <x:xf numFmtId="0" fontId="16" fillId="21" borderId="10" xfId="0" applyNumberFormat="1" applyFont="1" applyFill="1" applyBorder="1" applyAlignment="1">
      <x:alignment vertical="center"/>
    </x:xf>
    <x:xf numFmtId="0" fontId="16" fillId="21" borderId="11" xfId="0" applyNumberFormat="1" applyFont="1" applyFill="1" applyBorder="1" applyAlignment="1">
      <x:alignment vertical="center"/>
    </x:xf>
    <x:xf numFmtId="0" fontId="16" fillId="21" borderId="12" xfId="0" applyNumberFormat="1" applyFont="1" applyFill="1" applyBorder="1" applyAlignment="1">
      <x:alignment vertical="center"/>
    </x:xf>
    <x:xf numFmtId="0" fontId="17" fillId="21" borderId="10" xfId="0" applyNumberFormat="1" applyFont="1" applyFill="1" applyBorder="1" applyAlignment="1">
      <x:alignment vertical="center"/>
    </x:xf>
    <x:xf numFmtId="0" fontId="17" fillId="21" borderId="12" xfId="0" applyNumberFormat="1" applyFont="1" applyFill="1" applyBorder="1" applyAlignment="1">
      <x:alignment vertical="center"/>
    </x:xf>
    <x:xf numFmtId="202" fontId="17" fillId="21" borderId="12" xfId="0" applyNumberFormat="1" applyFont="1" applyFill="1" applyBorder="1" applyAlignment="1">
      <x:alignment vertical="center"/>
    </x:xf>
    <x:xf numFmtId="0" fontId="18" fillId="22" borderId="0" xfId="0" applyNumberFormat="1" applyFont="1" applyFill="1" applyBorder="1"/>
    <x:xf numFmtId="0" fontId="18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19" fillId="23" borderId="0" xfId="0" applyNumberFormat="1" applyFont="1" applyFill="1" applyBorder="1"/>
    <x:xf numFmtId="0" fontId="19" fillId="23" borderId="0" xfId="0" applyNumberFormat="1" applyFont="1" applyFill="1" applyBorder="1" applyAlignment="1">
      <x:alignment wrapText="1"/>
    </x:xf>
    <x:xf numFmtId="0" fontId="19" fillId="23" borderId="0" xfId="0" applyNumberFormat="1" applyFont="1" applyFill="1" applyBorder="1" applyAlignment="1">
      <x:alignment vertical="center" wrapText="1"/>
    </x:xf>
    <x:xf numFmtId="0" fontId="18" fillId="22" borderId="13" xfId="0" applyNumberFormat="1" applyFont="1" applyFill="1" applyBorder="1" applyAlignment="1">
      <x:alignment vertical="center"/>
    </x:xf>
    <x:xf numFmtId="0" fontId="19" fillId="23" borderId="13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14" xfId="0" applyNumberFormat="1" applyFont="1" applyFill="1" applyBorder="1"/>
    <x:xf numFmtId="0" fontId="20" fillId="24" borderId="15" xfId="0" applyNumberFormat="1" applyFont="1" applyFill="1" applyBorder="1"/>
    <x:xf numFmtId="0" fontId="20" fillId="24" borderId="16" xfId="0" applyNumberFormat="1" applyFont="1" applyFill="1" applyBorder="1"/>
    <x:xf numFmtId="0" fontId="20" fillId="24" borderId="17" xfId="0" applyNumberFormat="1" applyFont="1" applyFill="1" applyBorder="1"/>
    <x:xf numFmtId="0" fontId="20" fillId="24" xfId="0" applyNumberFormat="1" applyFont="1" applyFill="1" applyBorder="0"/>
    <x:xf numFmtId="0" fontId="20" fillId="24" borderId="18" xfId="0" applyNumberFormat="1" applyFont="1" applyFill="1" applyBorder="1"/>
    <x:xf numFmtId="0" fontId="20" fillId="24" borderId="19" xfId="0" applyNumberFormat="1" applyFont="1" applyFill="1" applyBorder="1"/>
    <x:xf numFmtId="0" fontId="20" fillId="24" borderId="20" xfId="0" applyNumberFormat="1" applyFont="1" applyFill="1" applyBorder="1"/>
    <x:xf numFmtId="0" fontId="20" fillId="24" borderId="21" xfId="0" applyNumberFormat="1" applyFont="1" applyFill="1" applyBorder="1"/>
    <x:xf numFmtId="0" fontId="20" fillId="24" borderId="14" xfId="0" applyNumberFormat="1" applyFont="1" applyFill="1" applyBorder="1" applyAlignment="1">
      <x:alignment wrapText="1"/>
    </x:xf>
    <x:xf numFmtId="0" fontId="20" fillId="24" borderId="15" xfId="0" applyNumberFormat="1" applyFont="1" applyFill="1" applyBorder="1" applyAlignment="1">
      <x:alignment wrapText="1"/>
    </x:xf>
    <x:xf numFmtId="0" fontId="20" fillId="24" borderId="16" xfId="0" applyNumberFormat="1" applyFont="1" applyFill="1" applyBorder="1" applyAlignment="1">
      <x:alignment wrapText="1"/>
    </x:xf>
    <x:xf numFmtId="0" fontId="20" fillId="24" borderId="17" xfId="0" applyNumberFormat="1" applyFont="1" applyFill="1" applyBorder="1" applyAlignment="1">
      <x:alignment wrapText="1"/>
    </x:xf>
    <x:xf numFmtId="0" fontId="20" fillId="24" xfId="0" applyNumberFormat="1" applyFont="1" applyFill="1" applyBorder="0" applyAlignment="1">
      <x:alignment wrapText="1"/>
    </x:xf>
    <x:xf numFmtId="0" fontId="20" fillId="24" borderId="18" xfId="0" applyNumberFormat="1" applyFont="1" applyFill="1" applyBorder="1" applyAlignment="1">
      <x:alignment wrapText="1"/>
    </x:xf>
    <x:xf numFmtId="0" fontId="20" fillId="24" borderId="19" xfId="0" applyNumberFormat="1" applyFont="1" applyFill="1" applyBorder="1" applyAlignment="1">
      <x:alignment wrapText="1"/>
    </x:xf>
    <x:xf numFmtId="0" fontId="20" fillId="24" borderId="20" xfId="0" applyNumberFormat="1" applyFont="1" applyFill="1" applyBorder="1" applyAlignment="1">
      <x:alignment wrapText="1"/>
    </x:xf>
    <x:xf numFmtId="0" fontId="20" fillId="24" borderId="21" xfId="0" applyNumberFormat="1" applyFont="1" applyFill="1" applyBorder="1" applyAlignment="1">
      <x:alignment wrapText="1"/>
    </x:xf>
    <x:xf numFmtId="0" fontId="20" fillId="24" borderId="14" xfId="0" applyNumberFormat="1" applyFont="1" applyFill="1" applyBorder="1" applyAlignment="1">
      <x:alignment vertical="center" wrapText="1"/>
    </x:xf>
    <x:xf numFmtId="0" fontId="20" fillId="24" borderId="15" xfId="0" applyNumberFormat="1" applyFont="1" applyFill="1" applyBorder="1" applyAlignment="1">
      <x:alignment vertical="center" wrapText="1"/>
    </x:xf>
    <x:xf numFmtId="0" fontId="20" fillId="24" borderId="16" xfId="0" applyNumberFormat="1" applyFont="1" applyFill="1" applyBorder="1" applyAlignment="1">
      <x:alignment vertical="center" wrapText="1"/>
    </x:xf>
    <x:xf numFmtId="0" fontId="20" fillId="24" borderId="17" xfId="0" applyNumberFormat="1" applyFont="1" applyFill="1" applyBorder="1" applyAlignment="1">
      <x:alignment vertical="center" wrapText="1"/>
    </x:xf>
    <x:xf numFmtId="0" fontId="20" fillId="24" xfId="0" applyNumberFormat="1" applyFont="1" applyFill="1" applyBorder="0" applyAlignment="1">
      <x:alignment vertical="center" wrapText="1"/>
    </x:xf>
    <x:xf numFmtId="0" fontId="20" fillId="24" borderId="18" xfId="0" applyNumberFormat="1" applyFont="1" applyFill="1" applyBorder="1" applyAlignment="1">
      <x:alignment vertical="center" wrapText="1"/>
    </x:xf>
    <x:xf numFmtId="0" fontId="20" fillId="24" borderId="19" xfId="0" applyNumberFormat="1" applyFont="1" applyFill="1" applyBorder="1" applyAlignment="1">
      <x:alignment vertical="center" wrapText="1"/>
    </x:xf>
    <x:xf numFmtId="0" fontId="20" fillId="24" borderId="20" xfId="0" applyNumberFormat="1" applyFont="1" applyFill="1" applyBorder="1" applyAlignment="1">
      <x:alignment vertical="center" wrapText="1"/>
    </x:xf>
    <x:xf numFmtId="0" fontId="20" fillId="24" borderId="21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/>
    </x:xf>
    <x:xf numFmtId="0" fontId="13" fillId="21" borderId="10" xfId="0" applyNumberFormat="1" applyFont="1" applyFill="1" applyBorder="1" applyAlignment="1">
      <x:alignment vertical="center"/>
    </x:xf>
    <x:xf numFmtId="0" fontId="13" fillId="22" borderId="13" xfId="0" applyNumberFormat="1" applyFont="1" applyFill="1" applyBorder="1" applyAlignment="1">
      <x:alignment vertical="center"/>
    </x:xf>
    <x:xf numFmtId="0" fontId="8" fillId="23" borderId="13" xfId="0" applyNumberFormat="1" applyFont="1" applyFill="1" applyBorder="1" applyAlignment="1">
      <x:alignment vertical="center" wrapText="1"/>
    </x:xf>
    <x:xf numFmtId="0" fontId="8" fillId="21" borderId="11" xfId="0" applyNumberFormat="1" applyFont="1" applyFill="1" applyBorder="1" applyAlignment="1">
      <x:alignment vertical="center"/>
    </x:xf>
    <x:xf numFmtId="0" fontId="13" fillId="21" borderId="12" xfId="0" applyNumberFormat="1" applyFont="1" applyFill="1" applyBorder="1" applyAlignment="1">
      <x:alignment vertical="center"/>
    </x:xf>
    <x:xf numFmtId="202" fontId="13" fillId="21" borderId="12" xfId="0" applyNumberFormat="1" applyFont="1" applyFill="1" applyBorder="1" applyAlignment="1">
      <x:alignment vertical="center"/>
    </x:xf>
    <x:xf numFmtId="0" fontId="8" fillId="24" borderId="14" xfId="0" applyNumberFormat="1" applyFont="1" applyFill="1" applyBorder="1" applyAlignment="1">
      <x:alignment vertical="center" wrapText="1"/>
    </x:xf>
    <x:xf numFmtId="0" fontId="8" fillId="24" borderId="15" xfId="0" applyNumberFormat="1" applyFont="1" applyFill="1" applyBorder="1" applyAlignment="1">
      <x:alignment vertical="center" wrapText="1"/>
    </x:xf>
    <x:xf numFmtId="0" fontId="8" fillId="24" borderId="16" xfId="0" applyNumberFormat="1" applyFont="1" applyFill="1" applyBorder="1" applyAlignment="1">
      <x:alignment vertical="center" wrapText="1"/>
    </x:xf>
    <x:xf numFmtId="0" fontId="8" fillId="24" borderId="17" xfId="0" applyNumberFormat="1" applyFont="1" applyFill="1" applyBorder="1" applyAlignment="1">
      <x:alignment vertical="center" wrapText="1"/>
    </x:xf>
    <x:xf numFmtId="0" fontId="8" fillId="24" xfId="0" applyNumberFormat="1" applyFont="1" applyFill="1" applyBorder="0" applyAlignment="1">
      <x:alignment vertical="center" wrapText="1"/>
    </x:xf>
    <x:xf numFmtId="0" fontId="8" fillId="24" borderId="18" xfId="0" applyNumberFormat="1" applyFont="1" applyFill="1" applyBorder="1" applyAlignment="1">
      <x:alignment vertical="center" wrapText="1"/>
    </x:xf>
    <x:xf numFmtId="0" fontId="8" fillId="24" borderId="19" xfId="0" applyNumberFormat="1" applyFont="1" applyFill="1" applyBorder="1" applyAlignment="1">
      <x:alignment vertical="center" wrapText="1"/>
    </x:xf>
    <x:xf numFmtId="0" fontId="8" fillId="24" borderId="20" xfId="0" applyNumberFormat="1" applyFont="1" applyFill="1" applyBorder="1" applyAlignment="1">
      <x:alignment vertical="center" wrapText="1"/>
    </x:xf>
    <x:xf numFmtId="0" fontId="8" fillId="24" borderId="2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2" fillId="25" borderId="0" xfId="0" applyNumberFormat="1" applyFont="1" applyFill="1" applyBorder="1" applyAlignment="1">
      <x:alignment horizontal="left"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8" fillId="12" xfId="0" applyNumberFormat="1" applyFont="1" applyFill="1" applyBorder="0" applyAlignment="1">
      <x:alignment vertical="center" wrapText="1"/>
    </x:xf>
    <x:xf numFmtId="0" fontId="12" fillId="26" borderId="0" xfId="0" applyNumberFormat="1" applyFont="1" applyFill="1" applyBorder="1" applyAlignment="1">
      <x:alignment horizontal="left" vertical="center"/>
    </x:xf>
    <x:xf numFmtId="0" fontId="8" fillId="6" borderId="13" xfId="0" applyNumberFormat="1" applyFont="1" applyFill="1" applyBorder="1" applyAlignment="1">
      <x:alignment vertical="center" wrapText="1"/>
    </x:xf>
    <x:xf numFmtId="0" fontId="8" fillId="27" borderId="14" xfId="0" applyNumberFormat="1" applyFont="1" applyFill="1" applyBorder="1" applyAlignment="1">
      <x:alignment vertical="center" wrapText="1"/>
    </x:xf>
    <x:xf numFmtId="0" fontId="8" fillId="27" borderId="15" xfId="0" applyNumberFormat="1" applyFont="1" applyFill="1" applyBorder="1" applyAlignment="1">
      <x:alignment vertical="center" wrapText="1"/>
    </x:xf>
    <x:xf numFmtId="0" fontId="13" fillId="28" borderId="6" xfId="0" applyNumberFormat="1" applyFont="1" applyFill="1" applyBorder="1" applyAlignment="1">
      <x:alignment horizontal="center" vertical="center" wrapText="1"/>
    </x:xf>
    <x:xf numFmtId="0" fontId="13" fillId="28" borderId="7" xfId="0" applyNumberFormat="1" applyFont="1" applyFill="1" applyBorder="1" applyAlignment="1">
      <x:alignment horizontal="center" vertical="center" wrapText="1"/>
    </x:xf>
    <x:xf numFmtId="0" fontId="13" fillId="28" borderId="8" xfId="0" applyNumberFormat="1" applyFont="1" applyFill="1" applyBorder="1" applyAlignment="1">
      <x:alignment horizontal="center" vertical="center" wrapText="1"/>
    </x:xf>
    <x:xf numFmtId="0" fontId="9" fillId="28" borderId="6" xfId="0" applyNumberFormat="1" applyFont="1" applyFill="1" applyBorder="1" applyAlignment="1">
      <x:alignment horizontal="center" vertical="center" wrapText="1"/>
    </x:xf>
    <x:xf numFmtId="0" fontId="9" fillId="28" borderId="7" xfId="0" applyNumberFormat="1" applyFont="1" applyFill="1" applyBorder="1" applyAlignment="1">
      <x:alignment horizontal="center" vertical="center" wrapText="1"/>
    </x:xf>
    <x:xf numFmtId="0" fontId="9" fillId="28" borderId="8" xfId="0" applyNumberFormat="1" applyFont="1" applyFill="1" applyBorder="1" applyAlignment="1">
      <x:alignment horizontal="center" vertical="center" wrapText="1"/>
    </x:xf>
    <x:xf numFmtId="0" fontId="13" fillId="29" borderId="6" xfId="0" applyNumberFormat="1" applyFont="1" applyFill="1" applyBorder="1" applyAlignment="1">
      <x:alignment horizontal="center" vertical="center" wrapText="1"/>
    </x:xf>
    <x:xf numFmtId="0" fontId="13" fillId="29" borderId="7" xfId="0" applyNumberFormat="1" applyFont="1" applyFill="1" applyBorder="1" applyAlignment="1">
      <x:alignment horizontal="center" vertical="center" wrapText="1"/>
    </x:xf>
    <x:xf numFmtId="0" fontId="13" fillId="29" borderId="8" xfId="0" applyNumberFormat="1" applyFont="1" applyFill="1" applyBorder="1" applyAlignment="1">
      <x:alignment horizontal="center" vertical="center" wrapText="1"/>
    </x:xf>
    <x:xf numFmtId="0" fontId="21" fillId="29" borderId="6" xfId="0" applyNumberFormat="1" applyFont="1" applyFill="1" applyBorder="1" applyAlignment="1">
      <x:alignment horizontal="center" vertical="center" wrapText="1"/>
    </x:xf>
    <x:xf numFmtId="0" fontId="21" fillId="29" borderId="7" xfId="0" applyNumberFormat="1" applyFont="1" applyFill="1" applyBorder="1" applyAlignment="1">
      <x:alignment horizontal="center" vertical="center" wrapText="1"/>
    </x:xf>
    <x:xf numFmtId="0" fontId="21" fillId="29" borderId="8" xfId="0" applyNumberFormat="1" applyFont="1" applyFill="1" applyBorder="1" applyAlignment="1">
      <x:alignment horizontal="center" vertical="center" wrapText="1"/>
    </x:xf>
    <x:xf numFmtId="0" fontId="8" fillId="27" borderId="22" xfId="0" applyNumberFormat="1" applyFont="1" applyFill="1" applyBorder="1" applyAlignment="1">
      <x:alignment vertical="center" wrapText="1"/>
    </x:xf>
    <x:xf numFmtId="0" fontId="8" fillId="27" borderId="23" xfId="0" applyNumberFormat="1" applyFont="1" applyFill="1" applyBorder="1" applyAlignment="1">
      <x:alignment vertical="center" wrapText="1"/>
    </x:xf>
    <x:xf numFmtId="0" fontId="8" fillId="27" borderId="24" xfId="0" applyNumberFormat="1" applyFont="1" applyFill="1" applyBorder="1" applyAlignment="1">
      <x:alignment vertical="center" wrapText="1"/>
    </x:xf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3" fillId="28" borderId="0" xfId="0" applyNumberFormat="1" applyFont="1" applyFill="1" applyBorder="1" applyAlignment="1">
      <x:alignment horizontal="center" wrapText="1"/>
    </x:xf>
    <x:xf numFmtId="0" fontId="3" fillId="28" borderId="0" xfId="0" applyNumberFormat="1" applyFont="1" applyFill="1" applyBorder="1" applyAlignment="1">
      <x:alignment horizontal="center" vertical="center" wrapText="1"/>
    </x:xf>
    <x:xf numFmtId="205" fontId="22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 vertical="center"/>
    </x:xf>
    <x:xf numFmtId="204" fontId="8" fillId="0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horizontal="center" vertical="center"/>
    </x:xf>
    <x:xf numFmtId="176" fontId="8" fillId="0" borderId="0" xfId="0" applyNumberFormat="1" applyFont="1" applyFill="1" applyBorder="1" applyAlignment="1">
      <x:alignment horizontal="center" vertical="center"/>
    </x:xf>
    <x:xf numFmtId="205" fontId="8" fillId="0" borderId="0" xfId="0" applyNumberFormat="1" applyFont="1" applyFill="1" applyBorder="1" applyAlignment="1">
      <x:alignment horizontal="center" vertical="center"/>
    </x:xf>
    <x:xf numFmtId="205" fontId="22" fillId="0" borderId="0" xfId="0" applyNumberFormat="1" applyFont="1" applyFill="1" applyBorder="1" applyAlignment="1">
      <x:alignment horizontal="center"/>
    </x:xf>
    <x:xf numFmtId="205" fontId="22" fillId="0" borderId="0" xfId="0" applyNumberFormat="1" applyFont="1" applyFill="1" applyBorder="1" applyAlignment="1">
      <x:alignment horizontal="center" vertical="center"/>
    </x:xf>
    <x:xf numFmtId="0" fontId="8" fillId="30" borderId="0" xfId="0" applyNumberFormat="1" applyFont="1" applyFill="1" applyBorder="1" applyAlignment="1">
      <x:alignment horizontal="center" vertical="center"/>
    </x:xf>
    <x:xf numFmtId="204" fontId="8" fillId="30" borderId="0" xfId="0" applyNumberFormat="1" applyFont="1" applyFill="1" applyBorder="1" applyAlignment="1">
      <x:alignment horizontal="center" vertical="center"/>
    </x:xf>
    <x:xf numFmtId="200" fontId="8" fillId="30" borderId="0" xfId="0" applyNumberFormat="1" applyFont="1" applyFill="1" applyBorder="1" applyAlignment="1">
      <x:alignment horizontal="center" vertical="center"/>
    </x:xf>
    <x:xf numFmtId="176" fontId="8" fillId="30" borderId="0" xfId="0" applyNumberFormat="1" applyFont="1" applyFill="1" applyBorder="1" applyAlignment="1">
      <x:alignment horizontal="center" vertical="center"/>
    </x:xf>
    <x:xf numFmtId="205" fontId="8" fillId="30" borderId="0" xfId="0" applyNumberFormat="1" applyFont="1" applyFill="1" applyBorder="1" applyAlignment="1">
      <x:alignment horizontal="center" vertical="center"/>
    </x:xf>
    <x:xf numFmtId="205" fontId="22" fillId="30" borderId="0" xfId="0" applyNumberFormat="1" applyFont="1" applyFill="1" applyBorder="1" applyAlignment="1">
      <x:alignment horizontal="center" vertical="center"/>
    </x:xf>
    <x:xf numFmtId="0" fontId="8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vertical="center" wrapText="1"/>
    </x:xf>
    <x:xf numFmtId="0" fontId="13" fillId="31" borderId="8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/>
    <x:xf numFmtId="0" fontId="9" fillId="31" borderId="8" xfId="0" applyNumberFormat="1" applyFont="1" applyFill="1" applyBorder="1" applyAlignment="1">
      <x:alignment horizontal="center" vertical="center" wrapText="1"/>
    </x:xf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horizontal="center"/>
    </x:xf>
    <x:xf numFmtId="0" fontId="3" fillId="31" borderId="0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8" fillId="32" borderId="0" xfId="0" applyNumberFormat="1" applyFont="1" applyFill="1" applyBorder="1" applyAlignment="1">
      <x:alignment vertical="center" wrapText="1"/>
    </x:xf>
    <x:xf numFmtId="0" fontId="22" fillId="32" borderId="0" xfId="0" applyNumberFormat="1" applyFont="1" applyFill="1" applyBorder="1" applyAlignment="1">
      <x:alignment vertical="center"/>
    </x:xf>
    <x:xf numFmtId="0" fontId="8" fillId="33" borderId="0" xfId="0" applyNumberFormat="1" applyFont="1" applyFill="1" applyBorder="1" applyAlignment="1">
      <x:alignment vertical="center" wrapText="1"/>
    </x:xf>
    <x:xf numFmtId="0" fontId="22" fillId="33" borderId="0" xfId="0" applyNumberFormat="1" applyFont="1" applyFill="1" applyBorder="1" applyAlignment="1">
      <x:alignment vertical="center"/>
    </x:xf>
    <x:xf numFmtId="0" fontId="9" fillId="31" borderId="26" xfId="0" applyNumberFormat="1" applyFont="1" applyFill="1" applyBorder="1" applyAlignment="1">
      <x:alignment horizontal="center" vertical="center" wrapText="1"/>
    </x:xf>
    <x:xf numFmtId="0" fontId="3" fillId="31" borderId="27" xfId="0" applyNumberFormat="1" applyFont="1" applyFill="1" applyBorder="1" applyAlignment="1">
      <x:alignment horizontal="center" vertical="center"/>
    </x:xf>
    <x:xf numFmtId="0" fontId="3" fillId="31" borderId="26" xfId="0" applyNumberFormat="1" applyFont="1" applyFill="1" applyBorder="1" applyAlignment="1">
      <x:alignment horizontal="center" vertical="center"/>
    </x:xf>
    <x:xf numFmtId="0" fontId="8" fillId="32" borderId="28" xfId="0" applyNumberFormat="1" applyFont="1" applyFill="1" applyBorder="1" applyAlignment="1">
      <x:alignment vertical="center" wrapText="1"/>
    </x:xf>
    <x:xf numFmtId="0" fontId="22" fillId="32" borderId="28" xfId="0" applyNumberFormat="1" applyFont="1" applyFill="1" applyBorder="1" applyAlignment="1">
      <x:alignment vertical="center"/>
    </x:xf>
    <x:xf numFmtId="0" fontId="22" fillId="32" borderId="29" xfId="0" applyNumberFormat="1" applyFont="1" applyFill="1" applyBorder="1" applyAlignment="1">
      <x:alignment vertical="center"/>
    </x:xf>
    <x:xf numFmtId="0" fontId="8" fillId="33" borderId="28" xfId="0" applyNumberFormat="1" applyFont="1" applyFill="1" applyBorder="1" applyAlignment="1">
      <x:alignment vertical="center" wrapText="1"/>
    </x:xf>
    <x:xf numFmtId="0" fontId="22" fillId="33" borderId="28" xfId="0" applyNumberFormat="1" applyFont="1" applyFill="1" applyBorder="1" applyAlignment="1">
      <x:alignment vertical="center"/>
    </x:xf>
    <x:xf numFmtId="0" fontId="22" fillId="33" borderId="29" xfId="0" applyNumberFormat="1" applyFont="1" applyFill="1" applyBorder="1" applyAlignment="1">
      <x:alignment vertical="center"/>
    </x:xf>
    <x:xf numFmtId="0" fontId="22" fillId="33" borderId="30" xfId="0" applyNumberFormat="1" applyFont="1" applyFill="1" applyBorder="1" applyAlignment="1">
      <x:alignment vertical="center"/>
    </x:xf>
    <x:xf numFmtId="0" fontId="22" fillId="33" borderId="31" xfId="0" applyNumberFormat="1" applyFont="1" applyFill="1" applyBorder="1" applyAlignment="1">
      <x:alignment vertical="center"/>
    </x:xf>
    <x:xf numFmtId="206" fontId="8" fillId="32" borderId="28" xfId="0" applyNumberFormat="1" applyFont="1" applyFill="1" applyBorder="1" applyAlignment="1">
      <x:alignment vertical="center" wrapText="1"/>
    </x:xf>
    <x:xf numFmtId="206" fontId="8" fillId="33" borderId="28" xfId="0" applyNumberFormat="1" applyFont="1" applyFill="1" applyBorder="1" applyAlignment="1">
      <x:alignment vertical="center" wrapText="1"/>
    </x:xf>
    <x:xf numFmtId="206" fontId="22" fillId="32" borderId="28" xfId="0" applyNumberFormat="1" applyFont="1" applyFill="1" applyBorder="1" applyAlignment="1">
      <x:alignment vertical="center"/>
    </x:xf>
    <x:xf numFmtId="206" fontId="22" fillId="33" borderId="28" xfId="0" applyNumberFormat="1" applyFont="1" applyFill="1" applyBorder="1" applyAlignment="1">
      <x:alignment vertical="center"/>
    </x:xf>
    <x:xf numFmtId="206" fontId="22" fillId="33" borderId="30" xfId="0" applyNumberFormat="1" applyFont="1" applyFill="1" applyBorder="1" applyAlignment="1">
      <x:alignment vertical="center"/>
    </x:xf>
    <x:xf numFmtId="202" fontId="22" fillId="32" borderId="28" xfId="0" applyNumberFormat="1" applyFont="1" applyFill="1" applyBorder="1" applyAlignment="1">
      <x:alignment vertical="center"/>
    </x:xf>
    <x:xf numFmtId="202" fontId="22" fillId="33" borderId="28" xfId="0" applyNumberFormat="1" applyFont="1" applyFill="1" applyBorder="1" applyAlignment="1">
      <x:alignment vertical="center"/>
    </x:xf>
    <x:xf numFmtId="202" fontId="22" fillId="33" borderId="30" xfId="0" applyNumberFormat="1" applyFont="1" applyFill="1" applyBorder="1" applyAlignment="1">
      <x:alignment vertical="center"/>
    </x:xf>
    <x:xf numFmtId="203" fontId="22" fillId="32" borderId="28" xfId="0" applyNumberFormat="1" applyFont="1" applyFill="1" applyBorder="1" applyAlignment="1">
      <x:alignment vertical="center"/>
    </x:xf>
    <x:xf numFmtId="203" fontId="22" fillId="32" borderId="29" xfId="0" applyNumberFormat="1" applyFont="1" applyFill="1" applyBorder="1" applyAlignment="1">
      <x:alignment vertical="center"/>
    </x:xf>
    <x:xf numFmtId="203" fontId="22" fillId="33" borderId="28" xfId="0" applyNumberFormat="1" applyFont="1" applyFill="1" applyBorder="1" applyAlignment="1">
      <x:alignment vertical="center"/>
    </x:xf>
    <x:xf numFmtId="203" fontId="22" fillId="33" borderId="29" xfId="0" applyNumberFormat="1" applyFont="1" applyFill="1" applyBorder="1" applyAlignment="1">
      <x:alignment vertical="center"/>
    </x:xf>
    <x:xf numFmtId="203" fontId="22" fillId="33" borderId="30" xfId="0" applyNumberFormat="1" applyFont="1" applyFill="1" applyBorder="1" applyAlignment="1">
      <x:alignment vertical="center"/>
    </x:xf>
    <x:xf numFmtId="203" fontId="22" fillId="33" borderId="31" xfId="0" applyNumberFormat="1" applyFont="1" applyFill="1" applyBorder="1" applyAlignment="1">
      <x:alignment vertical="center"/>
    </x:xf>
    <x:xf numFmtId="0" fontId="12" fillId="34" borderId="0" xfId="0" applyNumberFormat="1" applyFont="1" applyFill="1" applyBorder="1" applyAlignment="1">
      <x:alignment horizontal="left" vertical="center"/>
    </x:xf>
    <x:xf numFmtId="0" fontId="8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horizontal="center" vertical="center"/>
    </x:xf>
    <x:xf numFmtId="206" fontId="8" fillId="0" borderId="0" xfId="0" applyNumberFormat="1" applyFont="1" applyFill="1" applyBorder="1" applyAlignment="1">
      <x:alignment vertical="center"/>
    </x:xf>
    <x:xf numFmtId="0" fontId="8" fillId="35" borderId="14" xfId="0" applyNumberFormat="1" applyFont="1" applyFill="1" applyBorder="1" applyAlignment="1">
      <x:alignment vertical="center" wrapText="1"/>
    </x:xf>
    <x:xf numFmtId="0" fontId="8" fillId="35" borderId="15" xfId="0" applyNumberFormat="1" applyFont="1" applyFill="1" applyBorder="1" applyAlignment="1">
      <x:alignment vertical="center" wrapText="1"/>
    </x:xf>
    <x:xf numFmtId="0" fontId="9" fillId="31" borderId="6" xfId="0" applyNumberFormat="1" applyFont="1" applyFill="1" applyBorder="1" applyAlignment="1">
      <x:alignment horizontal="center" vertical="center" wrapText="1"/>
    </x:xf>
    <x:xf numFmtId="0" fontId="9" fillId="31" borderId="7" xfId="0" applyNumberFormat="1" applyFont="1" applyFill="1" applyBorder="1" applyAlignment="1">
      <x:alignment horizontal="center" vertical="center" wrapText="1"/>
    </x:xf>
    <x:xf numFmtId="0" fontId="21" fillId="36" borderId="6" xfId="0" applyNumberFormat="1" applyFont="1" applyFill="1" applyBorder="1" applyAlignment="1">
      <x:alignment horizontal="center" vertical="center" wrapText="1"/>
    </x:xf>
    <x:xf numFmtId="0" fontId="21" fillId="36" borderId="7" xfId="0" applyNumberFormat="1" applyFont="1" applyFill="1" applyBorder="1" applyAlignment="1">
      <x:alignment horizontal="center" vertical="center" wrapText="1"/>
    </x:xf>
    <x:xf numFmtId="0" fontId="21" fillId="36" borderId="8" xfId="0" applyNumberFormat="1" applyFont="1" applyFill="1" applyBorder="1" applyAlignment="1">
      <x:alignment horizontal="center" vertical="center" wrapText="1"/>
    </x:xf>
    <x:xf numFmtId="0" fontId="8" fillId="35" borderId="22" xfId="0" applyNumberFormat="1" applyFont="1" applyFill="1" applyBorder="1" applyAlignment="1">
      <x:alignment vertical="center" wrapText="1"/>
    </x:xf>
    <x:xf numFmtId="0" fontId="8" fillId="35" borderId="23" xfId="0" applyNumberFormat="1" applyFont="1" applyFill="1" applyBorder="1" applyAlignment="1">
      <x:alignment vertical="center" wrapText="1"/>
    </x:xf>
    <x:xf numFmtId="0" fontId="8" fillId="35" borderId="24" xfId="0" applyNumberFormat="1" applyFont="1" applyFill="1" applyBorder="1" applyAlignment="1">
      <x:alignment vertical="center" wrapText="1"/>
    </x:xf>
    <x:xf numFmtId="0" fontId="3" fillId="34" borderId="0" xfId="0" applyNumberFormat="1" applyFont="1" applyFill="1" applyBorder="1" applyAlignment="1">
      <x:alignment vertical="center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8" fillId="32" borderId="0" xfId="0" applyNumberFormat="1" applyFont="1" applyFill="1" applyBorder="1" applyAlignment="1">
      <x:alignment horizontal="center" vertical="center"/>
    </x:xf>
    <x:xf numFmtId="204" fontId="8" fillId="32" borderId="0" xfId="0" applyNumberFormat="1" applyFont="1" applyFill="1" applyBorder="1" applyAlignment="1">
      <x:alignment horizontal="center" vertical="center"/>
    </x:xf>
    <x:xf numFmtId="200" fontId="8" fillId="32" borderId="0" xfId="0" applyNumberFormat="1" applyFont="1" applyFill="1" applyBorder="1" applyAlignment="1">
      <x:alignment horizontal="center" vertical="center"/>
    </x:xf>
    <x:xf numFmtId="176" fontId="8" fillId="32" borderId="0" xfId="0" applyNumberFormat="1" applyFont="1" applyFill="1" applyBorder="1" applyAlignment="1">
      <x:alignment horizontal="center" vertical="center"/>
    </x:xf>
    <x:xf numFmtId="205" fontId="8" fillId="32" borderId="0" xfId="0" applyNumberFormat="1" applyFont="1" applyFill="1" applyBorder="1" applyAlignment="1">
      <x:alignment horizontal="center" vertical="center"/>
    </x:xf>
    <x:xf numFmtId="205" fontId="22" fillId="32" borderId="0" xfId="0" applyNumberFormat="1" applyFont="1" applyFill="1" applyBorder="1" applyAlignment="1">
      <x:alignment horizontal="center" vertical="center"/>
    </x:xf>
    <x:xf numFmtId="0" fontId="8" fillId="35" borderId="0" xfId="0" applyNumberFormat="1" applyFont="1" applyFill="1" applyBorder="1" applyAlignment="1">
      <x:alignment vertical="center" wrapText="1"/>
    </x:xf>
    <x:xf numFmtId="0" fontId="22" fillId="3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10" borderId="9" xfId="0" applyNumberFormat="1" applyFont="1" applyFill="1" applyBorder="1" applyAlignment="1">
      <x:alignment vertical="center" wrapText="1"/>
    </x:xf>
    <x:xf numFmtId="0" fontId="8" fillId="10" borderId="25" xfId="0" applyNumberFormat="1" applyFont="1" applyFill="1" applyBorder="1" applyAlignment="1">
      <x:alignment vertical="center" wrapText="1"/>
    </x:xf>
    <x:xf numFmtId="0" fontId="8" fillId="10" borderId="10" xfId="0" applyNumberFormat="1" applyFont="1" applyFill="1" applyBorder="1" applyAlignment="1">
      <x:alignment vertical="center" wrapText="1"/>
    </x:xf>
    <x:xf numFmtId="207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7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Normal" xfId="1"/>
    <x:cellStyle name="표준" xfId="0"/>
  </x:cellStyles>
  <x:dxfs count="3"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ad1663cc5c4ba5" /><Relationship Type="http://schemas.openxmlformats.org/officeDocument/2006/relationships/theme" Target="/xl/theme/theme1.xml" Id="R20efc6ee41214a07" /><Relationship Type="http://schemas.microsoft.com/office/2022/11/relationships/FeaturePropertyBag" Target="/xl/featurePropertyBag/featurePropertyBag.xml" Id="R5a5d87cb209047aa" /><Relationship Type="http://schemas.openxmlformats.org/officeDocument/2006/relationships/sharedStrings" Target="/xl/sharedStrings.xml" Id="Reb0bc0255efc48c8" /><Relationship Type="http://schemas.openxmlformats.org/officeDocument/2006/relationships/worksheet" Target="/xl/worksheets/sheet1.xml" Id="R6e52c57133a5413e" /><Relationship Type="http://schemas.openxmlformats.org/officeDocument/2006/relationships/worksheet" Target="/xl/worksheets/sheet2.xml" Id="R1a5cad906a2345b1" /><Relationship Type="http://schemas.openxmlformats.org/officeDocument/2006/relationships/worksheet" Target="/xl/worksheets/sheet3.xml" Id="Rcf51e85ed62b49ea" /><Relationship Type="http://schemas.openxmlformats.org/officeDocument/2006/relationships/worksheet" Target="/xl/worksheets/sheet4.xml" Id="Re5bc1a3a9df0424e" /><Relationship Type="http://schemas.openxmlformats.org/officeDocument/2006/relationships/worksheet" Target="/xl/worksheets/sheet5.xml" Id="Rd620f1f5ec8e41e8" /><Relationship Type="http://schemas.openxmlformats.org/officeDocument/2006/relationships/worksheet" Target="/xl/worksheets/sheet6.xml" Id="Rc7c8ddfa03ce46ca" /><Relationship Type="http://schemas.openxmlformats.org/officeDocument/2006/relationships/worksheet" Target="/xl/worksheets/sheet7.xml" Id="Rff8d5ec6ff634cb4" /><Relationship Type="http://schemas.openxmlformats.org/officeDocument/2006/relationships/worksheet" Target="/xl/worksheets/sheet8.xml" Id="Rc6d675db2a764396" /><Relationship Type="http://schemas.openxmlformats.org/officeDocument/2006/relationships/worksheet" Target="/xl/worksheets/sheet9.xml" Id="Rdd498d7595d24f67" /><Relationship Type="http://schemas.openxmlformats.org/officeDocument/2006/relationships/worksheet" Target="/xl/worksheets/sheet10.xml" Id="R0b5e50cbaca84628" /><Relationship Type="http://schemas.openxmlformats.org/officeDocument/2006/relationships/worksheet" Target="/xl/worksheets/sheet11.xml" Id="R8291fc535b214b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53f13c4cad48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'BalanceSummary'!$B$14:$B$23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'BalanceSummary'!$C$14:$C$23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53f13c4cad480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3" name="EnemyBalancePhase3" displayName="EnemyBalancePhase3" ref="A1:S9" headerRowCount="1" totalsRowCount="0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2" name="StageSpawnPhase2" displayName="StageSpawnPhase2" ref="A1:G3284" headerRowCount="1" totalsRowCount="0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headerRowCount="1" totalsRowCount="0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headerRowCount="1" totalsRowCount="0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headerRowCount="1" totalsRowCount="0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34" name="GlobalBalanceTable" displayName="GlobalBalanceTable" ref="A1:D2" headerRowCount="1" totalsRowCount="0" totalsRowShown="0">
  <x:tableColumns count="4">
    <x:tableColumn id="1" name="AccountExpScoreUnit"/>
    <x:tableColumn id="2" name="AccountExpPerUnit"/>
    <x:tableColumn id="3" name="CriticalChancePerCard"/>
    <x:tableColumn id="4" name="MaximumCriticalChanc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54" name="LevelUpCardPhase3" displayName="LevelUpCardPhase3" ref="A1:O14" headerRowCount="1" totalsRowCount="0" totalsRowShown="0">
  <x:tableColumns count="15">
    <x:tableColumn id="1" name="CardId"/>
    <x:tableColumn id="2" name="NameKey"/>
    <x:tableColumn id="3" name="DisplayName"/>
    <x:tableColumn id="4" name="Description"/>
    <x:tableColumn id="5" name="EffectType"/>
    <x:tableColumn id="6" name="TargetStat"/>
    <x:tableColumn id="7" name="Operation"/>
    <x:tableColumn id="8" name="Value"/>
    <x:tableColumn id="9" name="MaxStack"/>
    <x:tableColumn id="10" name="SelectionWeight"/>
    <x:tableColumn id="11" name="MinPlayerLevel"/>
    <x:tableColumn id="12" name="RequiredCardId"/>
    <x:tableColumn id="13" name="Rarity"/>
    <x:tableColumn id="14" name="IconId"/>
    <x:tableColumn id="15" name="Enable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45" name="WavePlan10Min" displayName="WavePlan10Min" ref="A5:O65" headerRowCount="1" totalsRowCount="0" totalsRowShown="0">
  <x:tableColumns count="15">
    <x:tableColumn id="1" name="웨이브"/>
    <x:tableColumn id="2" name="시작 초"/>
    <x:tableColumn id="3" name="적 수"/>
    <x:tableColumn id="4" name="근접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5" name="CardMathPhase3" displayName="CardMathPhase3" ref="A9:P14" headerRowCount="1" totalsRowCount="0" totalsRowShown="0">
  <x:tableColumns count="16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이동 참격 확률"/>
    <x:tableColumn id="10" name="이동 참격 최대 적중"/>
    <x:tableColumn id="11" name="이동 참격 크기"/>
    <x:tableColumn id="12" name="이동 참격 후면 피해"/>
    <x:tableColumn id="13" name="방패 우회 확률"/>
    <x:tableColumn id="14" name="오물 틱 피해"/>
    <x:tableColumn id="15" name="오물 반경"/>
    <x:tableColumn id="16" name="오물 재사용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37cd3f02a947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2e397c7e3747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350819d8e14e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922ddcd3ae4f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649dc3fcdd42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9dadf657d742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6a2b396baa42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60606c874c46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53402e2451644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ef49113d9645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hidden="0" customWidth="1"/>
    <x:col min="2" max="2" width="38" hidden="0" customWidth="1"/>
    <x:col min="3" max="3" width="34" hidden="0" customWidth="1"/>
    <x:col min="4" max="4" width="11" hidden="0" customWidth="1"/>
    <x:col min="5" max="5" width="39" hidden="0" customWidth="1"/>
    <x:col min="6" max="6" width="31" hidden="0" customWidth="1"/>
  </x:cols>
  <x:sheetData>
    <x:row r="1" ht="36" customHeight="1">
      <x:c r="A1" s="499" t="str">
        <x:v>SimpleGame 10분 밸런스 / 엑셀 → 유니티 데이터</x:v>
      </x:c>
      <x:c r="B1" s="499"/>
      <x:c r="C1" s="499"/>
      <x:c r="D1" s="499"/>
      <x:c r="E1" s="499"/>
      <x:c r="F1" s="499"/>
    </x:row>
    <x:row r="2">
      <x:c r="A2" s="45"/>
      <x:c r="B2" s="45"/>
      <x:c r="C2" s="45"/>
      <x:c r="D2" s="45"/>
      <x:c r="E2" s="45"/>
      <x:c r="F2" s="45"/>
    </x:row>
    <x:row r="3" ht="28" customHeight="1">
      <x:c r="A3" s="506" t="str">
        <x:v>순서</x:v>
      </x:c>
      <x:c r="B3" s="507" t="str">
        <x:v>작업</x:v>
      </x:c>
      <x:c r="C3" s="507" t="str">
        <x:v>검증 포인트</x:v>
      </x:c>
      <x:c r="D3" s="507" t="str">
        <x:v>필수</x:v>
      </x:c>
      <x:c r="E3" s="507" t="str">
        <x:v>메뉴/ID</x:v>
      </x:c>
      <x:c r="F3" s="464" t="str">
        <x:v>비고</x:v>
      </x:c>
    </x:row>
    <x:row r="4" ht="38" customHeight="1">
      <x:c r="A4" s="80" t="n">
        <x:v>1</x:v>
      </x:c>
      <x:c r="B4" s="80" t="str">
        <x:v>이 파일의 입력값·스폰표를 수정하고 저장</x:v>
      </x:c>
      <x:c r="C4" s="80" t="str">
        <x:v>파란 입력 / 초록 수식</x:v>
      </x:c>
      <x:c r="D4" s="80" t="str">
        <x:v>예</x:v>
      </x:c>
      <x:c r="E4" s="80" t="str">
        <x:v>Planning/GameData_10min_Balance.xlsx</x:v>
      </x:c>
      <x:c r="F4" s="80" t="str">
        <x:v>2분 원본에서 확장</x:v>
      </x:c>
    </x:row>
    <x:row r="5" ht="38" customHeight="1">
      <x:c r="A5" s="80" t="n">
        <x:v>2</x:v>
      </x:c>
      <x:c r="B5" s="80" t="str">
        <x:v>유니티에서 엑셀 불러오기 실행</x:v>
      </x:c>
      <x:c r="C5" s="80" t="str">
        <x:v>콘솔에 스폰 3,283개</x:v>
      </x:c>
      <x:c r="D5" s="80" t="str">
        <x:v>예</x:v>
      </x:c>
      <x:c r="E5" s="80" t="str">
        <x:v>SimpleGame &gt; 데이터 &gt; 엑셀 불러오기</x:v>
      </x:c>
      <x:c r="F5" s="80" t="str">
        <x:v>오류 시 기존 스크립터블 오브젝트 유지</x:v>
      </x:c>
    </x:row>
    <x:row r="6" ht="38" customHeight="1">
      <x:c r="A6" s="80" t="n">
        <x:v>3</x:v>
      </x:c>
      <x:c r="B6" s="80" t="str">
        <x:v>에디트 모드 테스트 실행</x:v>
      </x:c>
      <x:c r="C6" s="80" t="str">
        <x:v>카드 수식·방패 우회·겹침 수학</x:v>
      </x:c>
      <x:c r="D6" s="80" t="str">
        <x:v>예</x:v>
      </x:c>
      <x:c r="E6" s="80" t="str">
        <x:v>SimpleGame.Tests.EditMode</x:v>
      </x:c>
      <x:c r="F6" s="80" t="str">
        <x:v>빌드 오류 0 확인</x:v>
      </x:c>
    </x:row>
    <x:row r="7" ht="38" customHeight="1">
      <x:c r="A7" s="80" t="n">
        <x:v>4</x:v>
      </x:c>
      <x:c r="B7" s="80" t="str">
        <x:v>10분 플레이 테스트</x:v>
      </x:c>
      <x:c r="C7" s="80" t="str">
        <x:v>지속 스폰 / 후반 적 레벨 우위</x:v>
      </x:c>
      <x:c r="D7" s="80" t="str">
        <x:v>예</x:v>
      </x:c>
      <x:c r="E7" s="80" t="str">
        <x:v>Stage01</x:v>
      </x:c>
      <x:c r="F7" s="80" t="str">
        <x:v>60웨이브 / 3,283마리</x:v>
      </x:c>
    </x:row>
    <x:row r="8">
      <x:c r="A8" s="45"/>
      <x:c r="B8" s="45"/>
      <x:c r="C8" s="45"/>
      <x:c r="D8" s="45"/>
      <x:c r="E8" s="45"/>
      <x:c r="F8" s="45"/>
    </x:row>
    <x:row r="9" ht="28" customHeight="1">
      <x:c r="A9" s="506" t="str">
        <x:v>시트</x:v>
      </x:c>
      <x:c r="B9" s="507" t="str">
        <x:v>역할</x:v>
      </x:c>
      <x:c r="C9" s="507" t="str">
        <x:v>핵심 내용</x:v>
      </x:c>
      <x:c r="D9" s="507" t="str">
        <x:v>수정 권장</x:v>
      </x:c>
      <x:c r="E9" s="507" t="str">
        <x:v>유니티 불러오기</x:v>
      </x:c>
      <x:c r="F9" s="464" t="str">
        <x:v>검증</x:v>
      </x:c>
    </x:row>
    <x:row r="10" ht="30" customHeight="1">
      <x:c r="A10" s="80" t="str">
        <x:v>EnemyBalance</x:v>
      </x:c>
      <x:c r="B10" s="80" t="str">
        <x:v>적 기본 수치</x:v>
      </x:c>
      <x:c r="C10" s="80" t="str">
        <x:v>체력·공격·경험치 점수</x:v>
      </x:c>
      <x:c r="D10" s="80" t="str">
        <x:v>예</x:v>
      </x:c>
      <x:c r="E10" s="80" t="str">
        <x:v>예</x:v>
      </x:c>
      <x:c r="F10" s="80" t="str">
        <x:v>8종</x:v>
      </x:c>
    </x:row>
    <x:row r="11" ht="30" customHeight="1">
      <x:c r="A11" s="80" t="str">
        <x:v>StageSpawn</x:v>
      </x:c>
      <x:c r="B11" s="80" t="str">
        <x:v>개별 스폰 명세</x:v>
      </x:c>
      <x:c r="C11" s="80" t="str">
        <x:v>시간·종류·위치·레벨</x:v>
      </x:c>
      <x:c r="D11" s="80" t="str">
        <x:v>예</x:v>
      </x:c>
      <x:c r="E11" s="80" t="str">
        <x:v>예</x:v>
      </x:c>
      <x:c r="F11" s="80" t="str">
        <x:v>3,283행</x:v>
      </x:c>
    </x:row>
    <x:row r="12" ht="30" customHeight="1">
      <x:c r="A12" s="80" t="str">
        <x:v>PlayerBalance</x:v>
      </x:c>
      <x:c r="B12" s="80" t="str">
        <x:v>플레이어 기본 수치</x:v>
      </x:c>
      <x:c r="C12" s="80" t="str">
        <x:v>공격 성장·후면·이동</x:v>
      </x:c>
      <x:c r="D12" s="80" t="str">
        <x:v>예</x:v>
      </x:c>
      <x:c r="E12" s="80" t="str">
        <x:v>예</x:v>
      </x:c>
      <x:c r="F12" s="80" t="str">
        <x:v>1종</x:v>
      </x:c>
    </x:row>
    <x:row r="13" ht="30" customHeight="1">
      <x:c r="A13" s="80" t="str">
        <x:v>PlayerLevelExp</x:v>
      </x:c>
      <x:c r="B13" s="80" t="str">
        <x:v>레벨업 경험치</x:v>
      </x:c>
      <x:c r="C13" s="80" t="str">
        <x:v>R(L)=6+2L+floor(0.025(L-1)^2)</x:v>
      </x:c>
      <x:c r="D13" s="80" t="str">
        <x:v>예</x:v>
      </x:c>
      <x:c r="E13" s="80" t="str">
        <x:v>예</x:v>
      </x:c>
      <x:c r="F13" s="80" t="str">
        <x:v>50레벨</x:v>
      </x:c>
    </x:row>
    <x:row r="14" ht="30" customHeight="1">
      <x:c r="A14" s="80" t="str">
        <x:v>AccountLevelExp</x:v>
      </x:c>
      <x:c r="B14" s="80" t="str">
        <x:v>계정 레벨 경험치</x:v>
      </x:c>
      <x:c r="C14" s="80" t="str">
        <x:v>누적 계정 성장</x:v>
      </x:c>
      <x:c r="D14" s="80" t="str">
        <x:v>예</x:v>
      </x:c>
      <x:c r="E14" s="80" t="str">
        <x:v>예</x:v>
      </x:c>
      <x:c r="F14" s="80" t="str">
        <x:v>4레벨</x:v>
      </x:c>
    </x:row>
    <x:row r="15" ht="30" customHeight="1">
      <x:c r="A15" s="80" t="str">
        <x:v>GlobalBalance</x:v>
      </x:c>
      <x:c r="B15" s="80" t="str">
        <x:v>공통 규칙</x:v>
      </x:c>
      <x:c r="C15" s="80" t="str">
        <x:v>치명타 상한 등</x:v>
      </x:c>
      <x:c r="D15" s="80" t="str">
        <x:v>예</x:v>
      </x:c>
      <x:c r="E15" s="80" t="str">
        <x:v>예</x:v>
      </x:c>
      <x:c r="F15" s="80" t="str">
        <x:v>1행</x:v>
      </x:c>
    </x:row>
    <x:row r="16" ht="30" customHeight="1">
      <x:c r="A16" s="80" t="str">
        <x:v>LevelUpCard</x:v>
      </x:c>
      <x:c r="B16" s="80" t="str">
        <x:v>레벨업 카드</x:v>
      </x:c>
      <x:c r="C16" s="80" t="str">
        <x:v>13종 / 오물 투척 포함 / 한국어 이름·설명</x:v>
      </x:c>
      <x:c r="D16" s="80" t="str">
        <x:v>예</x:v>
      </x:c>
      <x:c r="E16" s="80" t="str">
        <x:v>예</x:v>
      </x:c>
      <x:c r="F16" s="80" t="str">
        <x:v>13행</x:v>
      </x:c>
    </x:row>
    <x:row r="17" ht="30" customHeight="1">
      <x:c r="A17" s="80" t="str">
        <x:v>BalanceSummary</x:v>
      </x:c>
      <x:c r="B17" s="80" t="str">
        <x:v>핵심 기획</x:v>
      </x:c>
      <x:c r="C17" s="80" t="str">
        <x:v>핵심 지표·수학식·차트</x:v>
      </x:c>
      <x:c r="D17" s="80" t="str">
        <x:v>아니오</x:v>
      </x:c>
      <x:c r="E17" s="80" t="str">
        <x:v>아니오</x:v>
      </x:c>
      <x:c r="F17" s="80" t="str">
        <x:v>수식</x:v>
      </x:c>
    </x:row>
    <x:row r="18" ht="30" customHeight="1">
      <x:c r="A18" s="80" t="str">
        <x:v>WavePlan</x:v>
      </x:c>
      <x:c r="B18" s="80" t="str">
        <x:v>웨이브 요약</x:v>
      </x:c>
      <x:c r="C18" s="80" t="str">
        <x:v>수·종류·경험치·레벨·체력 관문</x:v>
      </x:c>
      <x:c r="D18" s="80" t="str">
        <x:v>아니오</x:v>
      </x:c>
      <x:c r="E18" s="80" t="str">
        <x:v>아니오</x:v>
      </x:c>
      <x:c r="F18" s="80" t="str">
        <x:v>60웨이브</x:v>
      </x:c>
    </x:row>
    <x:row r="19" ht="30" customHeight="1">
      <x:c r="A19" s="80" t="str">
        <x:v>CardMath</x:v>
      </x:c>
      <x:c r="B19" s="80" t="str">
        <x:v>카드 수식</x:v>
      </x:c>
      <x:c r="C19" s="80" t="str">
        <x:v>관통 판정창·절단 재사용·레벨별 효과</x:v>
      </x:c>
      <x:c r="D19" s="80" t="str">
        <x:v>아니오</x:v>
      </x:c>
      <x:c r="E19" s="80" t="str">
        <x:v>아니오</x:v>
      </x:c>
      <x:c r="F19" s="80" t="str">
        <x:v>수식</x:v>
      </x:c>
    </x:row>
    <x:row r="20" ht="26" customHeight="1">
      <x:c r="A20" s="508" t="str">
        <x:v>밀도 설계 참고 자료</x:v>
      </x:c>
      <x:c r="B20" s="509"/>
      <x:c r="C20" s="509"/>
      <x:c r="D20" s="509"/>
      <x:c r="E20" s="509"/>
      <x:c r="F20" s="510"/>
    </x:row>
    <x:row r="21" ht="54" customHeight="1">
      <x:c r="A21" s="434" t="str">
        <x:v>3차 반영: Flying Eye 일반형은 WAVE_25부터 등장하며 다른 적과 겹칠 수 있습니다. 보스는 WAVE_12 고블린 → WAVE_24 머쉬룸 → WAVE_36 플라잉 아이 → WAVE_60 스켈레톤 순서로 각 1회 등장하고 Attack1/Attack2를 교대합니다. 스켈레톤 보스는 정면 방패 판정을 유지합니다. 오물 투척은 화면 안 무작위 위치에 3초 장판을 만들고 0.5초마다 피해를 줍니다.</x:v>
      </x:c>
      <x:c r="B21" s="435"/>
      <x:c r="C21" s="435"/>
      <x:c r="D21" s="435"/>
      <x:c r="E21" s="435"/>
      <x:c r="F21" s="436"/>
    </x:row>
    <x:row r="22">
      <x:c r="A22" s="525"/>
      <x:c r="B22" s="526"/>
      <x:c r="C22" s="526"/>
      <x:c r="D22" s="526"/>
      <x:c r="E22" s="526"/>
      <x:c r="F22" s="527"/>
    </x:row>
  </x:sheetData>
  <x:mergeCells>
    <x:mergeCell ref="A1:F1"/>
    <x:mergeCell ref="A20:F20"/>
    <x:mergeCell ref="A21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1" hidden="0" customWidth="1"/>
    <x:col min="4" max="4" width="12" hidden="0" customWidth="1"/>
    <x:col min="5" max="5" width="13" hidden="0" customWidth="1"/>
    <x:col min="6" max="6" width="13" hidden="0" customWidth="1"/>
    <x:col min="7" max="7" width="17" hidden="0" customWidth="1"/>
    <x:col min="8" max="8" width="14" hidden="0" customWidth="1"/>
    <x:col min="9" max="9" width="15" hidden="0" customWidth="1"/>
    <x:col min="10" max="10" width="14" hidden="0" customWidth="1"/>
    <x:col min="11" max="11" width="15" hidden="0" customWidth="1"/>
    <x:col min="12" max="12" width="18" hidden="0" customWidth="1"/>
    <x:col min="13" max="13" width="14" hidden="0" customWidth="1"/>
    <x:col min="14" max="14" width="10" hidden="0" customWidth="1"/>
    <x:col min="15" max="18" width="22" customWidth="1"/>
    <x:col min="19" max="19" width="23" hidden="0" customWidth="1"/>
    <x:col min="20" max="21" width="22" customWidth="1"/>
    <x:col min="15" max="15" width="12" hidden="0" customWidth="1"/>
    <x:col min="16" max="16" width="17" hidden="0" customWidth="1"/>
    <x:col min="17" max="17" width="18" hidden="0" customWidth="1"/>
    <x:col min="18" max="18" width="18" hidden="0" customWidth="1"/>
    <x:col min="20" max="20" width="18" hidden="0" customWidth="1"/>
    <x:col min="21" max="21" width="11" hidden="0" customWidth="1"/>
  </x:cols>
  <x:sheetData>
    <x:row r="1" ht="30" customHeight="1">
      <x:c r="A1" s="286" t="str">
        <x:v>EnemyId</x:v>
      </x:c>
      <x:c r="B1" s="286" t="str">
        <x:v>Archetype</x:v>
      </x:c>
      <x:c r="C1" s="286" t="str">
        <x:v>MoveSpeed</x:v>
      </x:c>
      <x:c r="D1" s="286" t="str">
        <x:v>AttackRange</x:v>
      </x:c>
      <x:c r="E1" s="286" t="str">
        <x:v>AttackDamage</x:v>
      </x:c>
      <x:c r="F1" s="286" t="str">
        <x:v>AttackWindup</x:v>
      </x:c>
      <x:c r="G1" s="286" t="str">
        <x:v>AttackActiveDuration</x:v>
      </x:c>
      <x:c r="H1" s="286" t="str">
        <x:v>AttackCooldown</x:v>
      </x:c>
      <x:c r="I1" s="286" t="str">
        <x:v>AttackAreaRadius</x:v>
      </x:c>
      <x:c r="J1" s="286" t="str">
        <x:v>ApproachRange</x:v>
      </x:c>
      <x:c r="K1" s="286" t="str">
        <x:v>FacingTurnDelay</x:v>
      </x:c>
      <x:c r="L1" s="286" t="str">
        <x:v>PostAttackFacingLock</x:v>
      </x:c>
      <x:c r="M1" s="286" t="str">
        <x:v>KillExperience</x:v>
      </x:c>
      <x:c r="N1" s="286" t="str">
        <x:v>Score</x:v>
      </x:c>
      <x:c r="O1" s="286" t="str">
        <x:v>BaseMaxHp</x:v>
      </x:c>
      <x:c r="P1" s="286" t="str">
        <x:v>HpGrowthRate</x:v>
      </x:c>
      <x:c r="Q1" s="286" t="str">
        <x:v>LevelDifficultyOffset</x:v>
      </x:c>
      <x:c r="R1" s="286" t="str">
        <x:v>CombatProfileId</x:v>
      </x:c>
      <x:c r="S1" s="286" t="str">
        <x:v>ShowHpBar</x:v>
      </x:c>
      <x:c r="T1" s="286"/>
      <x:c r="U1" s="286"/>
    </x:row>
    <x:row r="2" ht="20" customHeight="1">
      <x:c r="A2" s="45" t="str">
        <x:v>GoblinMelee</x:v>
      </x:c>
      <x:c r="B2" s="45" t="str">
        <x:v>Melee</x:v>
      </x:c>
      <x:c r="C2" s="51" t="n">
        <x:v>0.85</x:v>
      </x:c>
      <x:c r="D2" s="51" t="n">
        <x:v>0.85</x:v>
      </x:c>
      <x:c r="E2" s="51" t="n">
        <x:v>2</x:v>
      </x:c>
      <x:c r="F2" s="51" t="n">
        <x:v>0.55</x:v>
      </x:c>
      <x:c r="G2" s="51" t="n">
        <x:v>0</x:v>
      </x:c>
      <x:c r="H2" s="51" t="n">
        <x:v>1.5</x:v>
      </x:c>
      <x:c r="I2" s="51" t="n">
        <x:v>0</x:v>
      </x:c>
      <x:c r="J2" s="51" t="n">
        <x:v>0</x:v>
      </x:c>
      <x:c r="K2" s="51" t="n">
        <x:v>0.5</x:v>
      </x:c>
      <x:c r="L2" s="51" t="n">
        <x:v>0</x:v>
      </x:c>
      <x:c r="M2" s="51" t="n">
        <x:v>1</x:v>
      </x:c>
      <x:c r="N2" s="51" t="n">
        <x:v>5</x:v>
      </x:c>
      <x:c r="O2" s="51" t="n">
        <x:v>3</x:v>
      </x:c>
      <x:c r="P2" s="51" t="n">
        <x:v>0.85</x:v>
      </x:c>
      <x:c r="Q2" s="51" t="n">
        <x:v>0</x:v>
      </x:c>
      <x:c r="R2" s="45" t="str">
        <x:v>StandardMelee</x:v>
      </x:c>
      <x:c r="S2" s="528" t="b">
        <x:v>1</x:v>
      </x:c>
      <x:c r="T2" s="45"/>
      <x:c r="U2" s="45"/>
    </x:row>
    <x:row r="3" ht="20" customHeight="1">
      <x:c r="A3" s="45" t="str">
        <x:v>GoblinRanged</x:v>
      </x:c>
      <x:c r="B3" s="45" t="str">
        <x:v>Ranged</x:v>
      </x:c>
      <x:c r="C3" s="51" t="n">
        <x:v>0.6</x:v>
      </x:c>
      <x:c r="D3" s="51" t="n">
        <x:v>2.25</x:v>
      </x:c>
      <x:c r="E3" s="51" t="n">
        <x:v>2</x:v>
      </x:c>
      <x:c r="F3" s="51" t="n">
        <x:v>0.8</x:v>
      </x:c>
      <x:c r="G3" s="51" t="n">
        <x:v>0</x:v>
      </x:c>
      <x:c r="H3" s="51" t="n">
        <x:v>2</x:v>
      </x:c>
      <x:c r="I3" s="51" t="n">
        <x:v>0</x:v>
      </x:c>
      <x:c r="J3" s="51" t="n">
        <x:v>0</x:v>
      </x:c>
      <x:c r="K3" s="51" t="n">
        <x:v>0.5</x:v>
      </x:c>
      <x:c r="L3" s="51" t="n">
        <x:v>1</x:v>
      </x:c>
      <x:c r="M3" s="51" t="n">
        <x:v>1</x:v>
      </x:c>
      <x:c r="N3" s="51" t="n">
        <x:v>7</x:v>
      </x:c>
      <x:c r="O3" s="51" t="n">
        <x:v>3</x:v>
      </x:c>
      <x:c r="P3" s="51" t="n">
        <x:v>0.85</x:v>
      </x:c>
      <x:c r="Q3" s="51" t="n">
        <x:v>1</x:v>
      </x:c>
      <x:c r="R3" s="45" t="str">
        <x:v>StandardRanged</x:v>
      </x:c>
      <x:c r="S3" s="528" t="b">
        <x:v>1</x:v>
      </x:c>
      <x:c r="T3" s="45"/>
      <x:c r="U3" s="45"/>
    </x:row>
    <x:row r="4" ht="20" customHeight="1">
      <x:c r="A4" s="45" t="str">
        <x:v>ShieldSkeleton</x:v>
      </x:c>
      <x:c r="B4" s="45" t="str">
        <x:v>Shield</x:v>
      </x:c>
      <x:c r="C4" s="51" t="n">
        <x:v>0.7</x:v>
      </x:c>
      <x:c r="D4" s="51" t="n">
        <x:v>0</x:v>
      </x:c>
      <x:c r="E4" s="51" t="n">
        <x:v>0</x:v>
      </x:c>
      <x:c r="F4" s="51" t="n">
        <x:v>0</x:v>
      </x:c>
      <x:c r="G4" s="51" t="n">
        <x:v>0</x:v>
      </x:c>
      <x:c r="H4" s="51" t="n">
        <x:v>0</x:v>
      </x:c>
      <x:c r="I4" s="51" t="n">
        <x:v>0</x:v>
      </x:c>
      <x:c r="J4" s="51" t="n">
        <x:v>2.25</x:v>
      </x:c>
      <x:c r="K4" s="51" t="n">
        <x:v>0.5</x:v>
      </x:c>
      <x:c r="L4" s="51" t="n">
        <x:v>0</x:v>
      </x:c>
      <x:c r="M4" s="51" t="n">
        <x:v>2</x:v>
      </x:c>
      <x:c r="N4" s="51" t="n">
        <x:v>8</x:v>
      </x:c>
      <x:c r="O4" s="51" t="n">
        <x:v>3</x:v>
      </x:c>
      <x:c r="P4" s="51" t="n">
        <x:v>0.85</x:v>
      </x:c>
      <x:c r="Q4" s="51" t="n">
        <x:v>0</x:v>
      </x:c>
      <x:c r="R4" s="45" t="str">
        <x:v>Shield</x:v>
      </x:c>
      <x:c r="S4" s="528" t="b">
        <x:v>1</x:v>
      </x:c>
      <x:c r="T4" s="45"/>
      <x:c r="U4" s="45"/>
    </x:row>
    <x:row r="5" ht="20" customHeight="1">
      <x:c r="A5" s="45" t="str">
        <x:v>GoblinBoss</x:v>
      </x:c>
      <x:c r="B5" s="45" t="str">
        <x:v>Boss</x:v>
      </x:c>
      <x:c r="C5" s="51" t="n">
        <x:v>0.75</x:v>
      </x:c>
      <x:c r="D5" s="51" t="n">
        <x:v>2.6</x:v>
      </x:c>
      <x:c r="E5" s="51" t="n">
        <x:v>4</x:v>
      </x:c>
      <x:c r="F5" s="51" t="n">
        <x:v>1.5</x:v>
      </x:c>
      <x:c r="G5" s="51" t="n">
        <x:v>0.5</x:v>
      </x:c>
      <x:c r="H5" s="51" t="n">
        <x:v>3</x:v>
      </x:c>
      <x:c r="I5" s="51" t="n">
        <x:v>1.35</x:v>
      </x:c>
      <x:c r="J5" s="51" t="n">
        <x:v>0</x:v>
      </x:c>
      <x:c r="K5" s="51" t="n">
        <x:v>0.5</x:v>
      </x:c>
      <x:c r="L5" s="51" t="n">
        <x:v>0</x:v>
      </x:c>
      <x:c r="M5" s="51" t="n">
        <x:v>8</x:v>
      </x:c>
      <x:c r="N5" s="51" t="n">
        <x:v>50</x:v>
      </x:c>
      <x:c r="O5" s="51" t="n">
        <x:v>15</x:v>
      </x:c>
      <x:c r="P5" s="51" t="n">
        <x:v>3.4</x:v>
      </x:c>
      <x:c r="Q5" s="51" t="n">
        <x:v>0</x:v>
      </x:c>
      <x:c r="R5" s="45" t="str">
        <x:v>Boss</x:v>
      </x:c>
      <x:c r="S5" s="528" t="b">
        <x:v>1</x:v>
      </x:c>
      <x:c r="T5" s="45"/>
      <x:c r="U5" s="45"/>
    </x:row>
    <x:row r="6">
      <x:c r="A6" t="str">
        <x:v>MushroomBoss</x:v>
      </x:c>
      <x:c r="B6" t="str">
        <x:v>Boss</x:v>
      </x:c>
      <x:c r="C6" s="409" t="n">
        <x:v>0.72</x:v>
      </x:c>
      <x:c r="D6" s="409" t="n">
        <x:v>2.6</x:v>
      </x:c>
      <x:c r="E6" s="409" t="n">
        <x:v>4</x:v>
      </x:c>
      <x:c r="F6" s="409" t="n">
        <x:v>1.3</x:v>
      </x:c>
      <x:c r="G6" s="409" t="n">
        <x:v>0.5</x:v>
      </x:c>
      <x:c r="H6" s="409" t="n">
        <x:v>2.8</x:v>
      </x:c>
      <x:c r="I6" s="409" t="n">
        <x:v>1.5</x:v>
      </x:c>
      <x:c r="J6" s="409" t="n">
        <x:v>0</x:v>
      </x:c>
      <x:c r="K6" s="409" t="n">
        <x:v>0.5</x:v>
      </x:c>
      <x:c r="L6" s="409" t="n">
        <x:v>0</x:v>
      </x:c>
      <x:c r="M6" s="409" t="n">
        <x:v>10</x:v>
      </x:c>
      <x:c r="N6" s="409" t="n">
        <x:v>70</x:v>
      </x:c>
      <x:c r="O6" s="409" t="n">
        <x:v>18</x:v>
      </x:c>
      <x:c r="P6" s="409" t="n">
        <x:v>3.8</x:v>
      </x:c>
      <x:c r="Q6" s="409" t="n">
        <x:v>0</x:v>
      </x:c>
      <x:c r="R6" t="str">
        <x:v>BossMushroom</x:v>
      </x:c>
      <x:c r="S6" s="529" t="b">
        <x:v>1</x:v>
      </x:c>
    </x:row>
    <x:row r="7">
      <x:c r="A7" t="str">
        <x:v>FlyingEye</x:v>
      </x:c>
      <x:c r="B7" t="str">
        <x:v>Melee</x:v>
      </x:c>
      <x:c r="C7" s="409" t="n">
        <x:v>0.95</x:v>
      </x:c>
      <x:c r="D7" s="409" t="n">
        <x:v>0.95</x:v>
      </x:c>
      <x:c r="E7" s="409" t="n">
        <x:v>1</x:v>
      </x:c>
      <x:c r="F7" s="409" t="n">
        <x:v>0.65</x:v>
      </x:c>
      <x:c r="G7" s="409" t="n">
        <x:v>0</x:v>
      </x:c>
      <x:c r="H7" s="409" t="n">
        <x:v>1.8</x:v>
      </x:c>
      <x:c r="I7" s="409" t="n">
        <x:v>0</x:v>
      </x:c>
      <x:c r="J7" s="409" t="n">
        <x:v>0</x:v>
      </x:c>
      <x:c r="K7" s="409" t="n">
        <x:v>0.5</x:v>
      </x:c>
      <x:c r="L7" s="409" t="n">
        <x:v>0</x:v>
      </x:c>
      <x:c r="M7" s="409" t="n">
        <x:v>2</x:v>
      </x:c>
      <x:c r="N7" s="409" t="n">
        <x:v>8</x:v>
      </x:c>
      <x:c r="O7" s="409" t="n">
        <x:v>3</x:v>
      </x:c>
      <x:c r="P7" s="409" t="n">
        <x:v>0.75</x:v>
      </x:c>
      <x:c r="Q7" s="409" t="n">
        <x:v>0</x:v>
      </x:c>
      <x:c r="R7" t="str">
        <x:v>FlyingMelee</x:v>
      </x:c>
      <x:c r="S7" s="529" t="b">
        <x:v>1</x:v>
      </x:c>
    </x:row>
    <x:row r="8">
      <x:c r="A8" t="str">
        <x:v>FlyingEyeBoss</x:v>
      </x:c>
      <x:c r="B8" t="str">
        <x:v>Boss</x:v>
      </x:c>
      <x:c r="C8" s="409" t="n">
        <x:v>0.88</x:v>
      </x:c>
      <x:c r="D8" s="409" t="n">
        <x:v>3.6</x:v>
      </x:c>
      <x:c r="E8" s="409" t="n">
        <x:v>4</x:v>
      </x:c>
      <x:c r="F8" s="409" t="n">
        <x:v>0.9</x:v>
      </x:c>
      <x:c r="G8" s="409" t="n">
        <x:v>0.5</x:v>
      </x:c>
      <x:c r="H8" s="409" t="n">
        <x:v>2.5</x:v>
      </x:c>
      <x:c r="I8" s="409" t="n">
        <x:v>1.6</x:v>
      </x:c>
      <x:c r="J8" s="409" t="n">
        <x:v>0</x:v>
      </x:c>
      <x:c r="K8" s="409" t="n">
        <x:v>0.5</x:v>
      </x:c>
      <x:c r="L8" s="409" t="n">
        <x:v>0</x:v>
      </x:c>
      <x:c r="M8" s="409" t="n">
        <x:v>12</x:v>
      </x:c>
      <x:c r="N8" s="409" t="n">
        <x:v>90</x:v>
      </x:c>
      <x:c r="O8" s="409" t="n">
        <x:v>20</x:v>
      </x:c>
      <x:c r="P8" s="409" t="n">
        <x:v>4</x:v>
      </x:c>
      <x:c r="Q8" s="409" t="n">
        <x:v>0</x:v>
      </x:c>
      <x:c r="R8" t="str">
        <x:v>BossFlyingEye</x:v>
      </x:c>
      <x:c r="S8" s="529" t="b">
        <x:v>1</x:v>
      </x:c>
    </x:row>
    <x:row r="9">
      <x:c r="A9" t="str">
        <x:v>SkeletonBoss</x:v>
      </x:c>
      <x:c r="B9" t="str">
        <x:v>Boss</x:v>
      </x:c>
      <x:c r="C9" s="409" t="n">
        <x:v>0.8</x:v>
      </x:c>
      <x:c r="D9" s="409" t="n">
        <x:v>3</x:v>
      </x:c>
      <x:c r="E9" s="409" t="n">
        <x:v>4</x:v>
      </x:c>
      <x:c r="F9" s="409" t="n">
        <x:v>1.2</x:v>
      </x:c>
      <x:c r="G9" s="409" t="n">
        <x:v>0.5</x:v>
      </x:c>
      <x:c r="H9" s="409" t="n">
        <x:v>3</x:v>
      </x:c>
      <x:c r="I9" s="409" t="n">
        <x:v>1.5</x:v>
      </x:c>
      <x:c r="J9" s="409" t="n">
        <x:v>0</x:v>
      </x:c>
      <x:c r="K9" s="409" t="n">
        <x:v>0.5</x:v>
      </x:c>
      <x:c r="L9" s="409" t="n">
        <x:v>0</x:v>
      </x:c>
      <x:c r="M9" s="409" t="n">
        <x:v>15</x:v>
      </x:c>
      <x:c r="N9" s="409" t="n">
        <x:v>120</x:v>
      </x:c>
      <x:c r="O9" s="409" t="n">
        <x:v>22</x:v>
      </x:c>
      <x:c r="P9" s="409" t="n">
        <x:v>4.2</x:v>
      </x:c>
      <x:c r="Q9" s="409" t="n">
        <x:v>0</x:v>
      </x:c>
      <x:c r="R9" t="str">
        <x:v>BossSkeleton</x:v>
      </x:c>
      <x:c r="S9" s="529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37cd3f02a947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3" customWidth="1"/>
    <x:col min="3" max="3" width="14" hidden="0" customWidth="1"/>
    <x:col min="4" max="4" width="12" hidden="0" customWidth="1"/>
    <x:col min="5" max="5" width="15" hidden="0" customWidth="1"/>
    <x:col min="6" max="6" width="19" hidden="0" customWidth="1"/>
    <x:col min="7" max="7" width="12" hidden="0" customWidth="1"/>
    <x:col min="1" max="1" width="12" hidden="0" customWidth="1"/>
    <x:col min="2" max="2" width="12" hidden="0" customWidth="1"/>
  </x:cols>
  <x:sheetData>
    <x:row r="1" ht="30" customHeight="1">
      <x:c r="A1" s="286" t="str">
        <x:v>StageId</x:v>
      </x:c>
      <x:c r="B1" s="286" t="str">
        <x:v>WaveId</x:v>
      </x:c>
      <x:c r="C1" s="286" t="str">
        <x:v>SpawnTimeSec</x:v>
      </x:c>
      <x:c r="D1" s="286" t="str">
        <x:v>SpawnIndex</x:v>
      </x:c>
      <x:c r="E1" s="286" t="str">
        <x:v>SpawnPointId</x:v>
      </x:c>
      <x:c r="F1" s="286" t="str">
        <x:v>EnemyId</x:v>
      </x:c>
      <x:c r="G1" s="286" t="str">
        <x:v>EnemyLevel</x:v>
      </x:c>
    </x:row>
    <x:row r="2" ht="20" customHeight="1">
      <x:c r="A2" s="45" t="str">
        <x:v>Stage01</x:v>
      </x:c>
      <x:c r="B2" s="45" t="str">
        <x:v>WAVE_01</x:v>
      </x:c>
      <x:c r="C2" s="51" t="n">
        <x:v>1</x:v>
      </x:c>
      <x:c r="D2" s="54" t="n">
        <x:v>1</x:v>
      </x:c>
      <x:c r="E2" s="45" t="str">
        <x:v>LEFT_02</x:v>
      </x:c>
      <x:c r="F2" s="45" t="str">
        <x:v>GoblinMelee</x:v>
      </x:c>
      <x:c r="G2" s="54" t="n">
        <x:v>1</x:v>
      </x:c>
    </x:row>
    <x:row r="3" ht="20" customHeight="1">
      <x:c r="A3" s="45" t="str">
        <x:v>Stage01</x:v>
      </x:c>
      <x:c r="B3" s="45" t="str">
        <x:v>WAVE_01</x:v>
      </x:c>
      <x:c r="C3" s="51" t="n">
        <x:v>3.87</x:v>
      </x:c>
      <x:c r="D3" s="54" t="n">
        <x:v>2</x:v>
      </x:c>
      <x:c r="E3" s="45" t="str">
        <x:v>TOP_04</x:v>
      </x:c>
      <x:c r="F3" s="45" t="str">
        <x:v>GoblinMelee</x:v>
      </x:c>
      <x:c r="G3" s="54" t="n">
        <x:v>1</x:v>
      </x:c>
    </x:row>
    <x:row r="4" ht="20" customHeight="1">
      <x:c r="A4" s="45" t="str">
        <x:v>Stage01</x:v>
      </x:c>
      <x:c r="B4" s="45" t="str">
        <x:v>WAVE_01</x:v>
      </x:c>
      <x:c r="C4" s="51" t="n">
        <x:v>6.73</x:v>
      </x:c>
      <x:c r="D4" s="54" t="n">
        <x:v>3</x:v>
      </x:c>
      <x:c r="E4" s="45" t="str">
        <x:v>RIGHT_05</x:v>
      </x:c>
      <x:c r="F4" s="45" t="str">
        <x:v>GoblinMelee</x:v>
      </x:c>
      <x:c r="G4" s="54" t="n">
        <x:v>1</x:v>
      </x:c>
    </x:row>
    <x:row r="5" ht="20" customHeight="1">
      <x:c r="A5" s="45" t="str">
        <x:v>Stage01</x:v>
      </x:c>
      <x:c r="B5" s="45" t="str">
        <x:v>WAVE_01</x:v>
      </x:c>
      <x:c r="C5" s="51" t="n">
        <x:v>9.6</x:v>
      </x:c>
      <x:c r="D5" s="54" t="n">
        <x:v>4</x:v>
      </x:c>
      <x:c r="E5" s="45" t="str">
        <x:v>BOTTOM_06</x:v>
      </x:c>
      <x:c r="F5" s="45" t="str">
        <x:v>GoblinMelee</x:v>
      </x:c>
      <x:c r="G5" s="54" t="n">
        <x:v>1</x:v>
      </x:c>
    </x:row>
    <x:row r="6" ht="20" customHeight="1">
      <x:c r="A6" s="45" t="str">
        <x:v>Stage01</x:v>
      </x:c>
      <x:c r="B6" s="45" t="str">
        <x:v>WAVE_02</x:v>
      </x:c>
      <x:c r="C6" s="51" t="n">
        <x:v>11</x:v>
      </x:c>
      <x:c r="D6" s="54" t="n">
        <x:v>1</x:v>
      </x:c>
      <x:c r="E6" s="45" t="str">
        <x:v>BOTTOM_01</x:v>
      </x:c>
      <x:c r="F6" s="45" t="str">
        <x:v>GoblinMelee</x:v>
      </x:c>
      <x:c r="G6" s="54" t="n">
        <x:v>2</x:v>
      </x:c>
    </x:row>
    <x:row r="7" ht="20" customHeight="1">
      <x:c r="A7" s="45" t="str">
        <x:v>Stage01</x:v>
      </x:c>
      <x:c r="B7" s="45" t="str">
        <x:v>WAVE_02</x:v>
      </x:c>
      <x:c r="C7" s="51" t="n">
        <x:v>13.15</x:v>
      </x:c>
      <x:c r="D7" s="54" t="n">
        <x:v>2</x:v>
      </x:c>
      <x:c r="E7" s="45" t="str">
        <x:v>LEFT_02</x:v>
      </x:c>
      <x:c r="F7" s="45" t="str">
        <x:v>GoblinMelee</x:v>
      </x:c>
      <x:c r="G7" s="54" t="n">
        <x:v>2</x:v>
      </x:c>
    </x:row>
    <x:row r="8" ht="20" customHeight="1">
      <x:c r="A8" s="45" t="str">
        <x:v>Stage01</x:v>
      </x:c>
      <x:c r="B8" s="45" t="str">
        <x:v>WAVE_02</x:v>
      </x:c>
      <x:c r="C8" s="51" t="n">
        <x:v>15.3</x:v>
      </x:c>
      <x:c r="D8" s="54" t="n">
        <x:v>3</x:v>
      </x:c>
      <x:c r="E8" s="45" t="str">
        <x:v>TOP_04</x:v>
      </x:c>
      <x:c r="F8" s="45" t="str">
        <x:v>GoblinMelee</x:v>
      </x:c>
      <x:c r="G8" s="54" t="n">
        <x:v>2</x:v>
      </x:c>
    </x:row>
    <x:row r="9" ht="20" customHeight="1">
      <x:c r="A9" s="45" t="str">
        <x:v>Stage01</x:v>
      </x:c>
      <x:c r="B9" s="45" t="str">
        <x:v>WAVE_02</x:v>
      </x:c>
      <x:c r="C9" s="51" t="n">
        <x:v>17.45</x:v>
      </x:c>
      <x:c r="D9" s="54" t="n">
        <x:v>4</x:v>
      </x:c>
      <x:c r="E9" s="45" t="str">
        <x:v>RIGHT_05</x:v>
      </x:c>
      <x:c r="F9" s="45" t="str">
        <x:v>GoblinMelee</x:v>
      </x:c>
      <x:c r="G9" s="54" t="n">
        <x:v>2</x:v>
      </x:c>
    </x:row>
    <x:row r="10" ht="20" customHeight="1">
      <x:c r="A10" s="45" t="str">
        <x:v>Stage01</x:v>
      </x:c>
      <x:c r="B10" s="45" t="str">
        <x:v>WAVE_02</x:v>
      </x:c>
      <x:c r="C10" s="51" t="n">
        <x:v>19.6</x:v>
      </x:c>
      <x:c r="D10" s="54" t="n">
        <x:v>5</x:v>
      </x:c>
      <x:c r="E10" s="45" t="str">
        <x:v>BOTTOM_06</x:v>
      </x:c>
      <x:c r="F10" s="45" t="str">
        <x:v>GoblinMelee</x:v>
      </x:c>
      <x:c r="G10" s="54" t="n">
        <x:v>2</x:v>
      </x:c>
    </x:row>
    <x:row r="11" ht="20" customHeight="1">
      <x:c r="A11" s="45" t="str">
        <x:v>Stage01</x:v>
      </x:c>
      <x:c r="B11" s="45" t="str">
        <x:v>WAVE_03</x:v>
      </x:c>
      <x:c r="C11" s="51" t="n">
        <x:v>21</x:v>
      </x:c>
      <x:c r="D11" s="54" t="n">
        <x:v>1</x:v>
      </x:c>
      <x:c r="E11" s="45" t="str">
        <x:v>BOTTOM_01</x:v>
      </x:c>
      <x:c r="F11" s="45" t="str">
        <x:v>GoblinMelee</x:v>
      </x:c>
      <x:c r="G11" s="54" t="n">
        <x:v>2</x:v>
      </x:c>
    </x:row>
    <x:row r="12" ht="20" customHeight="1">
      <x:c r="A12" s="45" t="str">
        <x:v>Stage01</x:v>
      </x:c>
      <x:c r="B12" s="45" t="str">
        <x:v>WAVE_03</x:v>
      </x:c>
      <x:c r="C12" s="51" t="n">
        <x:v>22.72</x:v>
      </x:c>
      <x:c r="D12" s="54" t="n">
        <x:v>2</x:v>
      </x:c>
      <x:c r="E12" s="45" t="str">
        <x:v>LEFT_02</x:v>
      </x:c>
      <x:c r="F12" s="45" t="str">
        <x:v>GoblinMelee</x:v>
      </x:c>
      <x:c r="G12" s="54" t="n">
        <x:v>2</x:v>
      </x:c>
    </x:row>
    <x:row r="13" ht="20" customHeight="1">
      <x:c r="A13" s="45" t="str">
        <x:v>Stage01</x:v>
      </x:c>
      <x:c r="B13" s="45" t="str">
        <x:v>WAVE_03</x:v>
      </x:c>
      <x:c r="C13" s="51" t="n">
        <x:v>24.44</x:v>
      </x:c>
      <x:c r="D13" s="54" t="n">
        <x:v>3</x:v>
      </x:c>
      <x:c r="E13" s="45" t="str">
        <x:v>TOP_04</x:v>
      </x:c>
      <x:c r="F13" s="45" t="str">
        <x:v>GoblinMelee</x:v>
      </x:c>
      <x:c r="G13" s="54" t="n">
        <x:v>2</x:v>
      </x:c>
    </x:row>
    <x:row r="14" ht="20" customHeight="1">
      <x:c r="A14" s="45" t="str">
        <x:v>Stage01</x:v>
      </x:c>
      <x:c r="B14" s="45" t="str">
        <x:v>WAVE_03</x:v>
      </x:c>
      <x:c r="C14" s="51" t="n">
        <x:v>26.16</x:v>
      </x:c>
      <x:c r="D14" s="54" t="n">
        <x:v>4</x:v>
      </x:c>
      <x:c r="E14" s="45" t="str">
        <x:v>RIGHT_05</x:v>
      </x:c>
      <x:c r="F14" s="45" t="str">
        <x:v>GoblinRanged</x:v>
      </x:c>
      <x:c r="G14" s="54" t="n">
        <x:v>2</x:v>
      </x:c>
    </x:row>
    <x:row r="15" ht="20" customHeight="1">
      <x:c r="A15" s="45" t="str">
        <x:v>Stage01</x:v>
      </x:c>
      <x:c r="B15" s="45" t="str">
        <x:v>WAVE_03</x:v>
      </x:c>
      <x:c r="C15" s="51" t="n">
        <x:v>27.88</x:v>
      </x:c>
      <x:c r="D15" s="54" t="n">
        <x:v>5</x:v>
      </x:c>
      <x:c r="E15" s="45" t="str">
        <x:v>BOTTOM_06</x:v>
      </x:c>
      <x:c r="F15" s="45" t="str">
        <x:v>GoblinMelee</x:v>
      </x:c>
      <x:c r="G15" s="54" t="n">
        <x:v>2</x:v>
      </x:c>
    </x:row>
    <x:row r="16" ht="20" customHeight="1">
      <x:c r="A16" s="45" t="str">
        <x:v>Stage01</x:v>
      </x:c>
      <x:c r="B16" s="45" t="str">
        <x:v>WAVE_03</x:v>
      </x:c>
      <x:c r="C16" s="51" t="n">
        <x:v>29.6</x:v>
      </x:c>
      <x:c r="D16" s="54" t="n">
        <x:v>6</x:v>
      </x:c>
      <x:c r="E16" s="45" t="str">
        <x:v>LEFT_07</x:v>
      </x:c>
      <x:c r="F16" s="45" t="str">
        <x:v>GoblinMelee</x:v>
      </x:c>
      <x:c r="G16" s="54" t="n">
        <x:v>2</x:v>
      </x:c>
    </x:row>
    <x:row r="17">
      <x:c r="A17" s="45" t="str">
        <x:v>Stage01</x:v>
      </x:c>
      <x:c r="B17" s="45" t="str">
        <x:v>WAVE_04</x:v>
      </x:c>
      <x:c r="C17" s="51" t="n">
        <x:v>31</x:v>
      </x:c>
      <x:c r="D17" s="54" t="n">
        <x:v>1</x:v>
      </x:c>
      <x:c r="E17" s="45" t="str">
        <x:v>LEFT_02</x:v>
      </x:c>
      <x:c r="F17" s="45" t="str">
        <x:v>GoblinMelee</x:v>
      </x:c>
      <x:c r="G17" s="54" t="n">
        <x:v>3</x:v>
      </x:c>
    </x:row>
    <x:row r="18">
      <x:c r="A18" s="45" t="str">
        <x:v>Stage01</x:v>
      </x:c>
      <x:c r="B18" s="45" t="str">
        <x:v>WAVE_04</x:v>
      </x:c>
      <x:c r="C18" s="51" t="n">
        <x:v>32.43</x:v>
      </x:c>
      <x:c r="D18" s="54" t="n">
        <x:v>2</x:v>
      </x:c>
      <x:c r="E18" s="45" t="str">
        <x:v>TOP_04</x:v>
      </x:c>
      <x:c r="F18" s="45" t="str">
        <x:v>GoblinMelee</x:v>
      </x:c>
      <x:c r="G18" s="54" t="n">
        <x:v>3</x:v>
      </x:c>
    </x:row>
    <x:row r="19">
      <x:c r="A19" s="45" t="str">
        <x:v>Stage01</x:v>
      </x:c>
      <x:c r="B19" s="45" t="str">
        <x:v>WAVE_04</x:v>
      </x:c>
      <x:c r="C19" s="51" t="n">
        <x:v>33.87</x:v>
      </x:c>
      <x:c r="D19" s="54" t="n">
        <x:v>3</x:v>
      </x:c>
      <x:c r="E19" s="45" t="str">
        <x:v>RIGHT_05</x:v>
      </x:c>
      <x:c r="F19" s="45" t="str">
        <x:v>GoblinMelee</x:v>
      </x:c>
      <x:c r="G19" s="54" t="n">
        <x:v>3</x:v>
      </x:c>
    </x:row>
    <x:row r="20">
      <x:c r="A20" s="45" t="str">
        <x:v>Stage01</x:v>
      </x:c>
      <x:c r="B20" s="45" t="str">
        <x:v>WAVE_04</x:v>
      </x:c>
      <x:c r="C20" s="51" t="n">
        <x:v>35.3</x:v>
      </x:c>
      <x:c r="D20" s="54" t="n">
        <x:v>4</x:v>
      </x:c>
      <x:c r="E20" s="45" t="str">
        <x:v>BOTTOM_06</x:v>
      </x:c>
      <x:c r="F20" s="45" t="str">
        <x:v>GoblinRanged</x:v>
      </x:c>
      <x:c r="G20" s="54" t="n">
        <x:v>4</x:v>
      </x:c>
    </x:row>
    <x:row r="21">
      <x:c r="A21" s="45" t="str">
        <x:v>Stage01</x:v>
      </x:c>
      <x:c r="B21" s="45" t="str">
        <x:v>WAVE_04</x:v>
      </x:c>
      <x:c r="C21" s="51" t="n">
        <x:v>36.73</x:v>
      </x:c>
      <x:c r="D21" s="54" t="n">
        <x:v>5</x:v>
      </x:c>
      <x:c r="E21" s="45" t="str">
        <x:v>LEFT_07</x:v>
      </x:c>
      <x:c r="F21" s="45" t="str">
        <x:v>GoblinMelee</x:v>
      </x:c>
      <x:c r="G21" s="54" t="n">
        <x:v>3</x:v>
      </x:c>
    </x:row>
    <x:row r="22">
      <x:c r="A22" s="45" t="str">
        <x:v>Stage01</x:v>
      </x:c>
      <x:c r="B22" s="45" t="str">
        <x:v>WAVE_04</x:v>
      </x:c>
      <x:c r="C22" s="51" t="n">
        <x:v>38.17</x:v>
      </x:c>
      <x:c r="D22" s="54" t="n">
        <x:v>6</x:v>
      </x:c>
      <x:c r="E22" s="45" t="str">
        <x:v>TOP_01</x:v>
      </x:c>
      <x:c r="F22" s="45" t="str">
        <x:v>GoblinMelee</x:v>
      </x:c>
      <x:c r="G22" s="54" t="n">
        <x:v>3</x:v>
      </x:c>
    </x:row>
    <x:row r="23">
      <x:c r="A23" s="45" t="str">
        <x:v>Stage01</x:v>
      </x:c>
      <x:c r="B23" s="45" t="str">
        <x:v>WAVE_04</x:v>
      </x:c>
      <x:c r="C23" s="51" t="n">
        <x:v>39.6</x:v>
      </x:c>
      <x:c r="D23" s="54" t="n">
        <x:v>7</x:v>
      </x:c>
      <x:c r="E23" s="45" t="str">
        <x:v>RIGHT_02</x:v>
      </x:c>
      <x:c r="F23" s="45" t="str">
        <x:v>GoblinMelee</x:v>
      </x:c>
      <x:c r="G23" s="54" t="n">
        <x:v>3</x:v>
      </x:c>
    </x:row>
    <x:row r="24">
      <x:c r="A24" s="45" t="str">
        <x:v>Stage01</x:v>
      </x:c>
      <x:c r="B24" s="45" t="str">
        <x:v>WAVE_05</x:v>
      </x:c>
      <x:c r="C24" s="51" t="n">
        <x:v>41</x:v>
      </x:c>
      <x:c r="D24" s="54" t="n">
        <x:v>1</x:v>
      </x:c>
      <x:c r="E24" s="45" t="str">
        <x:v>RIGHT_05</x:v>
      </x:c>
      <x:c r="F24" s="45" t="str">
        <x:v>GoblinMelee</x:v>
      </x:c>
      <x:c r="G24" s="54" t="n">
        <x:v>4</x:v>
      </x:c>
    </x:row>
    <x:row r="25">
      <x:c r="A25" s="45" t="str">
        <x:v>Stage01</x:v>
      </x:c>
      <x:c r="B25" s="45" t="str">
        <x:v>WAVE_05</x:v>
      </x:c>
      <x:c r="C25" s="51" t="n">
        <x:v>41.96</x:v>
      </x:c>
      <x:c r="D25" s="54" t="n">
        <x:v>2</x:v>
      </x:c>
      <x:c r="E25" s="45" t="str">
        <x:v>BOTTOM_06</x:v>
      </x:c>
      <x:c r="F25" s="45" t="str">
        <x:v>GoblinRanged</x:v>
      </x:c>
      <x:c r="G25" s="54" t="n">
        <x:v>4</x:v>
      </x:c>
    </x:row>
    <x:row r="26">
      <x:c r="A26" s="45" t="str">
        <x:v>Stage01</x:v>
      </x:c>
      <x:c r="B26" s="45" t="str">
        <x:v>WAVE_05</x:v>
      </x:c>
      <x:c r="C26" s="51" t="n">
        <x:v>42.91</x:v>
      </x:c>
      <x:c r="D26" s="54" t="n">
        <x:v>3</x:v>
      </x:c>
      <x:c r="E26" s="45" t="str">
        <x:v>LEFT_07</x:v>
      </x:c>
      <x:c r="F26" s="45" t="str">
        <x:v>GoblinMelee</x:v>
      </x:c>
      <x:c r="G26" s="54" t="n">
        <x:v>4</x:v>
      </x:c>
    </x:row>
    <x:row r="27">
      <x:c r="A27" s="45" t="str">
        <x:v>Stage01</x:v>
      </x:c>
      <x:c r="B27" s="45" t="str">
        <x:v>WAVE_05</x:v>
      </x:c>
      <x:c r="C27" s="51" t="n">
        <x:v>43.87</x:v>
      </x:c>
      <x:c r="D27" s="54" t="n">
        <x:v>4</x:v>
      </x:c>
      <x:c r="E27" s="45" t="str">
        <x:v>TOP_01</x:v>
      </x:c>
      <x:c r="F27" s="45" t="str">
        <x:v>GoblinMelee</x:v>
      </x:c>
      <x:c r="G27" s="54" t="n">
        <x:v>4</x:v>
      </x:c>
    </x:row>
    <x:row r="28">
      <x:c r="A28" s="45" t="str">
        <x:v>Stage01</x:v>
      </x:c>
      <x:c r="B28" s="45" t="str">
        <x:v>WAVE_05</x:v>
      </x:c>
      <x:c r="C28" s="51" t="n">
        <x:v>44.82</x:v>
      </x:c>
      <x:c r="D28" s="54" t="n">
        <x:v>5</x:v>
      </x:c>
      <x:c r="E28" s="45" t="str">
        <x:v>RIGHT_02</x:v>
      </x:c>
      <x:c r="F28" s="45" t="str">
        <x:v>GoblinMelee</x:v>
      </x:c>
      <x:c r="G28" s="54" t="n">
        <x:v>4</x:v>
      </x:c>
    </x:row>
    <x:row r="29">
      <x:c r="A29" s="45" t="str">
        <x:v>Stage01</x:v>
      </x:c>
      <x:c r="B29" s="45" t="str">
        <x:v>WAVE_05</x:v>
      </x:c>
      <x:c r="C29" s="51" t="n">
        <x:v>45.78</x:v>
      </x:c>
      <x:c r="D29" s="54" t="n">
        <x:v>6</x:v>
      </x:c>
      <x:c r="E29" s="45" t="str">
        <x:v>BOTTOM_03</x:v>
      </x:c>
      <x:c r="F29" s="45" t="str">
        <x:v>ShieldSkeleton</x:v>
      </x:c>
      <x:c r="G29" s="54" t="n">
        <x:v>5</x:v>
      </x:c>
    </x:row>
    <x:row r="30">
      <x:c r="A30" s="45" t="str">
        <x:v>Stage01</x:v>
      </x:c>
      <x:c r="B30" s="45" t="str">
        <x:v>WAVE_05</x:v>
      </x:c>
      <x:c r="C30" s="51" t="n">
        <x:v>46.73</x:v>
      </x:c>
      <x:c r="D30" s="54" t="n">
        <x:v>7</x:v>
      </x:c>
      <x:c r="E30" s="45" t="str">
        <x:v>LEFT_04</x:v>
      </x:c>
      <x:c r="F30" s="45" t="str">
        <x:v>GoblinMelee</x:v>
      </x:c>
      <x:c r="G30" s="54" t="n">
        <x:v>4</x:v>
      </x:c>
    </x:row>
    <x:row r="31">
      <x:c r="A31" s="45" t="str">
        <x:v>Stage01</x:v>
      </x:c>
      <x:c r="B31" s="45" t="str">
        <x:v>WAVE_05</x:v>
      </x:c>
      <x:c r="C31" s="51" t="n">
        <x:v>47.69</x:v>
      </x:c>
      <x:c r="D31" s="54" t="n">
        <x:v>8</x:v>
      </x:c>
      <x:c r="E31" s="45" t="str">
        <x:v>TOP_06</x:v>
      </x:c>
      <x:c r="F31" s="45" t="str">
        <x:v>GoblinRanged</x:v>
      </x:c>
      <x:c r="G31" s="54" t="n">
        <x:v>4</x:v>
      </x:c>
    </x:row>
    <x:row r="32">
      <x:c r="A32" s="45" t="str">
        <x:v>Stage01</x:v>
      </x:c>
      <x:c r="B32" s="45" t="str">
        <x:v>WAVE_05</x:v>
      </x:c>
      <x:c r="C32" s="51" t="n">
        <x:v>48.64</x:v>
      </x:c>
      <x:c r="D32" s="54" t="n">
        <x:v>9</x:v>
      </x:c>
      <x:c r="E32" s="45" t="str">
        <x:v>RIGHT_07</x:v>
      </x:c>
      <x:c r="F32" s="45" t="str">
        <x:v>GoblinMelee</x:v>
      </x:c>
      <x:c r="G32" s="54" t="n">
        <x:v>4</x:v>
      </x:c>
    </x:row>
    <x:row r="33">
      <x:c r="A33" s="45" t="str">
        <x:v>Stage01</x:v>
      </x:c>
      <x:c r="B33" s="45" t="str">
        <x:v>WAVE_05</x:v>
      </x:c>
      <x:c r="C33" s="51" t="n">
        <x:v>49.6</x:v>
      </x:c>
      <x:c r="D33" s="54" t="n">
        <x:v>10</x:v>
      </x:c>
      <x:c r="E33" s="45" t="str">
        <x:v>BOTTOM_08</x:v>
      </x:c>
      <x:c r="F33" s="45" t="str">
        <x:v>GoblinMelee</x:v>
      </x:c>
      <x:c r="G33" s="54" t="n">
        <x:v>4</x:v>
      </x:c>
    </x:row>
    <x:row r="34">
      <x:c r="A34" s="45" t="str">
        <x:v>Stage01</x:v>
      </x:c>
      <x:c r="B34" s="45" t="str">
        <x:v>WAVE_06</x:v>
      </x:c>
      <x:c r="C34" s="51" t="n">
        <x:v>51</x:v>
      </x:c>
      <x:c r="D34" s="54" t="n">
        <x:v>1</x:v>
      </x:c>
      <x:c r="E34" s="45" t="str">
        <x:v>BOTTOM_03</x:v>
      </x:c>
      <x:c r="F34" s="45" t="str">
        <x:v>GoblinMelee</x:v>
      </x:c>
      <x:c r="G34" s="54" t="n">
        <x:v>5</x:v>
      </x:c>
    </x:row>
    <x:row r="35">
      <x:c r="A35" s="45" t="str">
        <x:v>Stage01</x:v>
      </x:c>
      <x:c r="B35" s="45" t="str">
        <x:v>WAVE_06</x:v>
      </x:c>
      <x:c r="C35" s="51" t="n">
        <x:v>51.86</x:v>
      </x:c>
      <x:c r="D35" s="54" t="n">
        <x:v>2</x:v>
      </x:c>
      <x:c r="E35" s="45" t="str">
        <x:v>LEFT_04</x:v>
      </x:c>
      <x:c r="F35" s="45" t="str">
        <x:v>GoblinMelee</x:v>
      </x:c>
      <x:c r="G35" s="54" t="n">
        <x:v>5</x:v>
      </x:c>
    </x:row>
    <x:row r="36">
      <x:c r="A36" s="45" t="str">
        <x:v>Stage01</x:v>
      </x:c>
      <x:c r="B36" s="45" t="str">
        <x:v>WAVE_06</x:v>
      </x:c>
      <x:c r="C36" s="51" t="n">
        <x:v>52.72</x:v>
      </x:c>
      <x:c r="D36" s="54" t="n">
        <x:v>3</x:v>
      </x:c>
      <x:c r="E36" s="45" t="str">
        <x:v>TOP_06</x:v>
      </x:c>
      <x:c r="F36" s="45" t="str">
        <x:v>GoblinRanged</x:v>
      </x:c>
      <x:c r="G36" s="54" t="n">
        <x:v>6</x:v>
      </x:c>
    </x:row>
    <x:row r="37">
      <x:c r="A37" s="45" t="str">
        <x:v>Stage01</x:v>
      </x:c>
      <x:c r="B37" s="45" t="str">
        <x:v>WAVE_06</x:v>
      </x:c>
      <x:c r="C37" s="51" t="n">
        <x:v>53.58</x:v>
      </x:c>
      <x:c r="D37" s="54" t="n">
        <x:v>4</x:v>
      </x:c>
      <x:c r="E37" s="45" t="str">
        <x:v>RIGHT_07</x:v>
      </x:c>
      <x:c r="F37" s="45" t="str">
        <x:v>GoblinMelee</x:v>
      </x:c>
      <x:c r="G37" s="54" t="n">
        <x:v>5</x:v>
      </x:c>
    </x:row>
    <x:row r="38">
      <x:c r="A38" s="45" t="str">
        <x:v>Stage01</x:v>
      </x:c>
      <x:c r="B38" s="45" t="str">
        <x:v>WAVE_06</x:v>
      </x:c>
      <x:c r="C38" s="51" t="n">
        <x:v>54.44</x:v>
      </x:c>
      <x:c r="D38" s="54" t="n">
        <x:v>5</x:v>
      </x:c>
      <x:c r="E38" s="45" t="str">
        <x:v>BOTTOM_08</x:v>
      </x:c>
      <x:c r="F38" s="45" t="str">
        <x:v>GoblinMelee</x:v>
      </x:c>
      <x:c r="G38" s="54" t="n">
        <x:v>5</x:v>
      </x:c>
    </x:row>
    <x:row r="39">
      <x:c r="A39" s="45" t="str">
        <x:v>Stage01</x:v>
      </x:c>
      <x:c r="B39" s="45" t="str">
        <x:v>WAVE_06</x:v>
      </x:c>
      <x:c r="C39" s="51" t="n">
        <x:v>55.3</x:v>
      </x:c>
      <x:c r="D39" s="54" t="n">
        <x:v>6</x:v>
      </x:c>
      <x:c r="E39" s="45" t="str">
        <x:v>LEFT_01</x:v>
      </x:c>
      <x:c r="F39" s="45" t="str">
        <x:v>ShieldSkeleton</x:v>
      </x:c>
      <x:c r="G39" s="54" t="n">
        <x:v>5</x:v>
      </x:c>
    </x:row>
    <x:row r="40">
      <x:c r="A40" s="45" t="str">
        <x:v>Stage01</x:v>
      </x:c>
      <x:c r="B40" s="45" t="str">
        <x:v>WAVE_06</x:v>
      </x:c>
      <x:c r="C40" s="51" t="n">
        <x:v>56.16</x:v>
      </x:c>
      <x:c r="D40" s="54" t="n">
        <x:v>7</x:v>
      </x:c>
      <x:c r="E40" s="45" t="str">
        <x:v>TOP_03</x:v>
      </x:c>
      <x:c r="F40" s="45" t="str">
        <x:v>GoblinMelee</x:v>
      </x:c>
      <x:c r="G40" s="54" t="n">
        <x:v>5</x:v>
      </x:c>
    </x:row>
    <x:row r="41">
      <x:c r="A41" s="45" t="str">
        <x:v>Stage01</x:v>
      </x:c>
      <x:c r="B41" s="45" t="str">
        <x:v>WAVE_06</x:v>
      </x:c>
      <x:c r="C41" s="51" t="n">
        <x:v>57.02</x:v>
      </x:c>
      <x:c r="D41" s="54" t="n">
        <x:v>8</x:v>
      </x:c>
      <x:c r="E41" s="45" t="str">
        <x:v>RIGHT_04</x:v>
      </x:c>
      <x:c r="F41" s="45" t="str">
        <x:v>GoblinMelee</x:v>
      </x:c>
      <x:c r="G41" s="54" t="n">
        <x:v>5</x:v>
      </x:c>
    </x:row>
    <x:row r="42">
      <x:c r="A42" s="45" t="str">
        <x:v>Stage01</x:v>
      </x:c>
      <x:c r="B42" s="45" t="str">
        <x:v>WAVE_06</x:v>
      </x:c>
      <x:c r="C42" s="51" t="n">
        <x:v>57.88</x:v>
      </x:c>
      <x:c r="D42" s="54" t="n">
        <x:v>9</x:v>
      </x:c>
      <x:c r="E42" s="45" t="str">
        <x:v>BOTTOM_05</x:v>
      </x:c>
      <x:c r="F42" s="45" t="str">
        <x:v>GoblinRanged</x:v>
      </x:c>
      <x:c r="G42" s="54" t="n">
        <x:v>6</x:v>
      </x:c>
    </x:row>
    <x:row r="43">
      <x:c r="A43" s="45" t="str">
        <x:v>Stage01</x:v>
      </x:c>
      <x:c r="B43" s="45" t="str">
        <x:v>WAVE_06</x:v>
      </x:c>
      <x:c r="C43" s="51" t="n">
        <x:v>58.74</x:v>
      </x:c>
      <x:c r="D43" s="54" t="n">
        <x:v>10</x:v>
      </x:c>
      <x:c r="E43" s="45" t="str">
        <x:v>LEFT_06</x:v>
      </x:c>
      <x:c r="F43" s="45" t="str">
        <x:v>GoblinMelee</x:v>
      </x:c>
      <x:c r="G43" s="54" t="n">
        <x:v>5</x:v>
      </x:c>
    </x:row>
    <x:row r="44">
      <x:c r="A44" s="45" t="str">
        <x:v>Stage01</x:v>
      </x:c>
      <x:c r="B44" s="45" t="str">
        <x:v>WAVE_06</x:v>
      </x:c>
      <x:c r="C44" s="51" t="n">
        <x:v>59.6</x:v>
      </x:c>
      <x:c r="D44" s="54" t="n">
        <x:v>11</x:v>
      </x:c>
      <x:c r="E44" s="45" t="str">
        <x:v>TOP_08</x:v>
      </x:c>
      <x:c r="F44" s="45" t="str">
        <x:v>GoblinMelee</x:v>
      </x:c>
      <x:c r="G44" s="54" t="n">
        <x:v>5</x:v>
      </x:c>
    </x:row>
    <x:row r="45">
      <x:c r="A45" s="45" t="str">
        <x:v>Stage01</x:v>
      </x:c>
      <x:c r="B45" s="45" t="str">
        <x:v>WAVE_07</x:v>
      </x:c>
      <x:c r="C45" s="51" t="n">
        <x:v>61</x:v>
      </x:c>
      <x:c r="D45" s="54" t="n">
        <x:v>1</x:v>
      </x:c>
      <x:c r="E45" s="45" t="str">
        <x:v>TOP_03</x:v>
      </x:c>
      <x:c r="F45" s="45" t="str">
        <x:v>GoblinMelee</x:v>
      </x:c>
      <x:c r="G45" s="54" t="n">
        <x:v>5</x:v>
      </x:c>
    </x:row>
    <x:row r="46">
      <x:c r="A46" s="45" t="str">
        <x:v>Stage01</x:v>
      </x:c>
      <x:c r="B46" s="45" t="str">
        <x:v>WAVE_07</x:v>
      </x:c>
      <x:c r="C46" s="51" t="n">
        <x:v>61.78</x:v>
      </x:c>
      <x:c r="D46" s="54" t="n">
        <x:v>2</x:v>
      </x:c>
      <x:c r="E46" s="45" t="str">
        <x:v>RIGHT_04</x:v>
      </x:c>
      <x:c r="F46" s="45" t="str">
        <x:v>GoblinMelee</x:v>
      </x:c>
      <x:c r="G46" s="54" t="n">
        <x:v>5</x:v>
      </x:c>
    </x:row>
    <x:row r="47">
      <x:c r="A47" s="45" t="str">
        <x:v>Stage01</x:v>
      </x:c>
      <x:c r="B47" s="45" t="str">
        <x:v>WAVE_07</x:v>
      </x:c>
      <x:c r="C47" s="51" t="n">
        <x:v>62.56</x:v>
      </x:c>
      <x:c r="D47" s="54" t="n">
        <x:v>3</x:v>
      </x:c>
      <x:c r="E47" s="45" t="str">
        <x:v>BOTTOM_05</x:v>
      </x:c>
      <x:c r="F47" s="45" t="str">
        <x:v>GoblinRanged</x:v>
      </x:c>
      <x:c r="G47" s="54" t="n">
        <x:v>5</x:v>
      </x:c>
    </x:row>
    <x:row r="48">
      <x:c r="A48" s="45" t="str">
        <x:v>Stage01</x:v>
      </x:c>
      <x:c r="B48" s="45" t="str">
        <x:v>WAVE_07</x:v>
      </x:c>
      <x:c r="C48" s="51" t="n">
        <x:v>63.35</x:v>
      </x:c>
      <x:c r="D48" s="54" t="n">
        <x:v>4</x:v>
      </x:c>
      <x:c r="E48" s="45" t="str">
        <x:v>LEFT_06</x:v>
      </x:c>
      <x:c r="F48" s="45" t="str">
        <x:v>GoblinMelee</x:v>
      </x:c>
      <x:c r="G48" s="54" t="n">
        <x:v>6</x:v>
      </x:c>
    </x:row>
    <x:row r="49">
      <x:c r="A49" s="45" t="str">
        <x:v>Stage01</x:v>
      </x:c>
      <x:c r="B49" s="45" t="str">
        <x:v>WAVE_07</x:v>
      </x:c>
      <x:c r="C49" s="51" t="n">
        <x:v>64.13</x:v>
      </x:c>
      <x:c r="D49" s="54" t="n">
        <x:v>5</x:v>
      </x:c>
      <x:c r="E49" s="45" t="str">
        <x:v>TOP_08</x:v>
      </x:c>
      <x:c r="F49" s="45" t="str">
        <x:v>GoblinMelee</x:v>
      </x:c>
      <x:c r="G49" s="54" t="n">
        <x:v>5</x:v>
      </x:c>
    </x:row>
    <x:row r="50">
      <x:c r="A50" s="45" t="str">
        <x:v>Stage01</x:v>
      </x:c>
      <x:c r="B50" s="45" t="str">
        <x:v>WAVE_07</x:v>
      </x:c>
      <x:c r="C50" s="51" t="n">
        <x:v>64.91</x:v>
      </x:c>
      <x:c r="D50" s="54" t="n">
        <x:v>6</x:v>
      </x:c>
      <x:c r="E50" s="45" t="str">
        <x:v>RIGHT_01</x:v>
      </x:c>
      <x:c r="F50" s="45" t="str">
        <x:v>GoblinMelee</x:v>
      </x:c>
      <x:c r="G50" s="54" t="n">
        <x:v>5</x:v>
      </x:c>
    </x:row>
    <x:row r="51">
      <x:c r="A51" s="45" t="str">
        <x:v>Stage01</x:v>
      </x:c>
      <x:c r="B51" s="45" t="str">
        <x:v>WAVE_07</x:v>
      </x:c>
      <x:c r="C51" s="51" t="n">
        <x:v>65.69</x:v>
      </x:c>
      <x:c r="D51" s="54" t="n">
        <x:v>7</x:v>
      </x:c>
      <x:c r="E51" s="45" t="str">
        <x:v>BOTTOM_02</x:v>
      </x:c>
      <x:c r="F51" s="45" t="str">
        <x:v>ShieldSkeleton</x:v>
      </x:c>
      <x:c r="G51" s="54" t="n">
        <x:v>5</x:v>
      </x:c>
    </x:row>
    <x:row r="52">
      <x:c r="A52" s="45" t="str">
        <x:v>Stage01</x:v>
      </x:c>
      <x:c r="B52" s="45" t="str">
        <x:v>WAVE_07</x:v>
      </x:c>
      <x:c r="C52" s="51" t="n">
        <x:v>66.47</x:v>
      </x:c>
      <x:c r="D52" s="54" t="n">
        <x:v>8</x:v>
      </x:c>
      <x:c r="E52" s="45" t="str">
        <x:v>LEFT_03</x:v>
      </x:c>
      <x:c r="F52" s="45" t="str">
        <x:v>GoblinMelee</x:v>
      </x:c>
      <x:c r="G52" s="54" t="n">
        <x:v>5</x:v>
      </x:c>
    </x:row>
    <x:row r="53">
      <x:c r="A53" s="45" t="str">
        <x:v>Stage01</x:v>
      </x:c>
      <x:c r="B53" s="45" t="str">
        <x:v>WAVE_07</x:v>
      </x:c>
      <x:c r="C53" s="51" t="n">
        <x:v>67.25</x:v>
      </x:c>
      <x:c r="D53" s="54" t="n">
        <x:v>9</x:v>
      </x:c>
      <x:c r="E53" s="45" t="str">
        <x:v>TOP_05</x:v>
      </x:c>
      <x:c r="F53" s="45" t="str">
        <x:v>GoblinMelee</x:v>
      </x:c>
      <x:c r="G53" s="54" t="n">
        <x:v>5</x:v>
      </x:c>
    </x:row>
    <x:row r="54">
      <x:c r="A54" s="45" t="str">
        <x:v>Stage01</x:v>
      </x:c>
      <x:c r="B54" s="45" t="str">
        <x:v>WAVE_07</x:v>
      </x:c>
      <x:c r="C54" s="51" t="n">
        <x:v>68.04</x:v>
      </x:c>
      <x:c r="D54" s="54" t="n">
        <x:v>10</x:v>
      </x:c>
      <x:c r="E54" s="45" t="str">
        <x:v>RIGHT_06</x:v>
      </x:c>
      <x:c r="F54" s="45" t="str">
        <x:v>GoblinRanged</x:v>
      </x:c>
      <x:c r="G54" s="54" t="n">
        <x:v>6</x:v>
      </x:c>
    </x:row>
    <x:row r="55">
      <x:c r="A55" s="45" t="str">
        <x:v>Stage01</x:v>
      </x:c>
      <x:c r="B55" s="45" t="str">
        <x:v>WAVE_07</x:v>
      </x:c>
      <x:c r="C55" s="51" t="n">
        <x:v>68.82</x:v>
      </x:c>
      <x:c r="D55" s="54" t="n">
        <x:v>11</x:v>
      </x:c>
      <x:c r="E55" s="45" t="str">
        <x:v>BOTTOM_07</x:v>
      </x:c>
      <x:c r="F55" s="45" t="str">
        <x:v>GoblinMelee</x:v>
      </x:c>
      <x:c r="G55" s="54" t="n">
        <x:v>5</x:v>
      </x:c>
    </x:row>
    <x:row r="56">
      <x:c r="A56" s="45" t="str">
        <x:v>Stage01</x:v>
      </x:c>
      <x:c r="B56" s="45" t="str">
        <x:v>WAVE_07</x:v>
      </x:c>
      <x:c r="C56" s="51" t="n">
        <x:v>69.6</x:v>
      </x:c>
      <x:c r="D56" s="54" t="n">
        <x:v>12</x:v>
      </x:c>
      <x:c r="E56" s="45" t="str">
        <x:v>LEFT_08</x:v>
      </x:c>
      <x:c r="F56" s="45" t="str">
        <x:v>GoblinMelee</x:v>
      </x:c>
      <x:c r="G56" s="54" t="n">
        <x:v>5</x:v>
      </x:c>
    </x:row>
    <x:row r="57">
      <x:c r="A57" s="45" t="str">
        <x:v>Stage01</x:v>
      </x:c>
      <x:c r="B57" s="45" t="str">
        <x:v>WAVE_08</x:v>
      </x:c>
      <x:c r="C57" s="51" t="n">
        <x:v>71</x:v>
      </x:c>
      <x:c r="D57" s="54" t="n">
        <x:v>1</x:v>
      </x:c>
      <x:c r="E57" s="45" t="str">
        <x:v>LEFT_03</x:v>
      </x:c>
      <x:c r="F57" s="45" t="str">
        <x:v>GoblinMelee</x:v>
      </x:c>
      <x:c r="G57" s="54" t="n">
        <x:v>6</x:v>
      </x:c>
    </x:row>
    <x:row r="58">
      <x:c r="A58" s="45" t="str">
        <x:v>Stage01</x:v>
      </x:c>
      <x:c r="B58" s="45" t="str">
        <x:v>WAVE_08</x:v>
      </x:c>
      <x:c r="C58" s="51" t="n">
        <x:v>71.72</x:v>
      </x:c>
      <x:c r="D58" s="54" t="n">
        <x:v>2</x:v>
      </x:c>
      <x:c r="E58" s="45" t="str">
        <x:v>TOP_05</x:v>
      </x:c>
      <x:c r="F58" s="45" t="str">
        <x:v>GoblinRanged</x:v>
      </x:c>
      <x:c r="G58" s="54" t="n">
        <x:v>6</x:v>
      </x:c>
    </x:row>
    <x:row r="59">
      <x:c r="A59" s="45" t="str">
        <x:v>Stage01</x:v>
      </x:c>
      <x:c r="B59" s="45" t="str">
        <x:v>WAVE_08</x:v>
      </x:c>
      <x:c r="C59" s="51" t="n">
        <x:v>72.43</x:v>
      </x:c>
      <x:c r="D59" s="54" t="n">
        <x:v>3</x:v>
      </x:c>
      <x:c r="E59" s="45" t="str">
        <x:v>RIGHT_06</x:v>
      </x:c>
      <x:c r="F59" s="45" t="str">
        <x:v>GoblinMelee</x:v>
      </x:c>
      <x:c r="G59" s="54" t="n">
        <x:v>7</x:v>
      </x:c>
    </x:row>
    <x:row r="60">
      <x:c r="A60" s="45" t="str">
        <x:v>Stage01</x:v>
      </x:c>
      <x:c r="B60" s="45" t="str">
        <x:v>WAVE_08</x:v>
      </x:c>
      <x:c r="C60" s="51" t="n">
        <x:v>73.15</x:v>
      </x:c>
      <x:c r="D60" s="54" t="n">
        <x:v>4</x:v>
      </x:c>
      <x:c r="E60" s="45" t="str">
        <x:v>BOTTOM_07</x:v>
      </x:c>
      <x:c r="F60" s="45" t="str">
        <x:v>GoblinMelee</x:v>
      </x:c>
      <x:c r="G60" s="54" t="n">
        <x:v>6</x:v>
      </x:c>
    </x:row>
    <x:row r="61">
      <x:c r="A61" s="45" t="str">
        <x:v>Stage01</x:v>
      </x:c>
      <x:c r="B61" s="45" t="str">
        <x:v>WAVE_08</x:v>
      </x:c>
      <x:c r="C61" s="51" t="n">
        <x:v>73.87</x:v>
      </x:c>
      <x:c r="D61" s="54" t="n">
        <x:v>5</x:v>
      </x:c>
      <x:c r="E61" s="45" t="str">
        <x:v>LEFT_08</x:v>
      </x:c>
      <x:c r="F61" s="45" t="str">
        <x:v>GoblinMelee</x:v>
      </x:c>
      <x:c r="G61" s="54" t="n">
        <x:v>6</x:v>
      </x:c>
    </x:row>
    <x:row r="62">
      <x:c r="A62" s="45" t="str">
        <x:v>Stage01</x:v>
      </x:c>
      <x:c r="B62" s="45" t="str">
        <x:v>WAVE_08</x:v>
      </x:c>
      <x:c r="C62" s="51" t="n">
        <x:v>74.58</x:v>
      </x:c>
      <x:c r="D62" s="54" t="n">
        <x:v>6</x:v>
      </x:c>
      <x:c r="E62" s="45" t="str">
        <x:v>TOP_02</x:v>
      </x:c>
      <x:c r="F62" s="45" t="str">
        <x:v>ShieldSkeleton</x:v>
      </x:c>
      <x:c r="G62" s="54" t="n">
        <x:v>6</x:v>
      </x:c>
    </x:row>
    <x:row r="63">
      <x:c r="A63" s="45" t="str">
        <x:v>Stage01</x:v>
      </x:c>
      <x:c r="B63" s="45" t="str">
        <x:v>WAVE_08</x:v>
      </x:c>
      <x:c r="C63" s="51" t="n">
        <x:v>75.3</x:v>
      </x:c>
      <x:c r="D63" s="54" t="n">
        <x:v>7</x:v>
      </x:c>
      <x:c r="E63" s="45" t="str">
        <x:v>RIGHT_03</x:v>
      </x:c>
      <x:c r="F63" s="45" t="str">
        <x:v>GoblinMelee</x:v>
      </x:c>
      <x:c r="G63" s="54" t="n">
        <x:v>7</x:v>
      </x:c>
    </x:row>
    <x:row r="64">
      <x:c r="A64" s="45" t="str">
        <x:v>Stage01</x:v>
      </x:c>
      <x:c r="B64" s="45" t="str">
        <x:v>WAVE_08</x:v>
      </x:c>
      <x:c r="C64" s="51" t="n">
        <x:v>76.02</x:v>
      </x:c>
      <x:c r="D64" s="54" t="n">
        <x:v>8</x:v>
      </x:c>
      <x:c r="E64" s="45" t="str">
        <x:v>BOTTOM_04</x:v>
      </x:c>
      <x:c r="F64" s="45" t="str">
        <x:v>GoblinRanged</x:v>
      </x:c>
      <x:c r="G64" s="54" t="n">
        <x:v>6</x:v>
      </x:c>
    </x:row>
    <x:row r="65">
      <x:c r="A65" s="45" t="str">
        <x:v>Stage01</x:v>
      </x:c>
      <x:c r="B65" s="45" t="str">
        <x:v>WAVE_08</x:v>
      </x:c>
      <x:c r="C65" s="51" t="n">
        <x:v>76.73</x:v>
      </x:c>
      <x:c r="D65" s="54" t="n">
        <x:v>9</x:v>
      </x:c>
      <x:c r="E65" s="45" t="str">
        <x:v>LEFT_05</x:v>
      </x:c>
      <x:c r="F65" s="45" t="str">
        <x:v>GoblinMelee</x:v>
      </x:c>
      <x:c r="G65" s="54" t="n">
        <x:v>6</x:v>
      </x:c>
    </x:row>
    <x:row r="66">
      <x:c r="A66" s="45" t="str">
        <x:v>Stage01</x:v>
      </x:c>
      <x:c r="B66" s="45" t="str">
        <x:v>WAVE_08</x:v>
      </x:c>
      <x:c r="C66" s="51" t="n">
        <x:v>77.45</x:v>
      </x:c>
      <x:c r="D66" s="54" t="n">
        <x:v>10</x:v>
      </x:c>
      <x:c r="E66" s="45" t="str">
        <x:v>TOP_07</x:v>
      </x:c>
      <x:c r="F66" s="45" t="str">
        <x:v>GoblinMelee</x:v>
      </x:c>
      <x:c r="G66" s="54" t="n">
        <x:v>6</x:v>
      </x:c>
    </x:row>
    <x:row r="67">
      <x:c r="A67" s="45" t="str">
        <x:v>Stage01</x:v>
      </x:c>
      <x:c r="B67" s="45" t="str">
        <x:v>WAVE_08</x:v>
      </x:c>
      <x:c r="C67" s="51" t="n">
        <x:v>78.17</x:v>
      </x:c>
      <x:c r="D67" s="54" t="n">
        <x:v>11</x:v>
      </x:c>
      <x:c r="E67" s="45" t="str">
        <x:v>RIGHT_08</x:v>
      </x:c>
      <x:c r="F67" s="45" t="str">
        <x:v>GoblinMelee</x:v>
      </x:c>
      <x:c r="G67" s="54" t="n">
        <x:v>7</x:v>
      </x:c>
    </x:row>
    <x:row r="68">
      <x:c r="A68" s="45" t="str">
        <x:v>Stage01</x:v>
      </x:c>
      <x:c r="B68" s="45" t="str">
        <x:v>WAVE_08</x:v>
      </x:c>
      <x:c r="C68" s="51" t="n">
        <x:v>78.88</x:v>
      </x:c>
      <x:c r="D68" s="54" t="n">
        <x:v>12</x:v>
      </x:c>
      <x:c r="E68" s="45" t="str">
        <x:v>BOTTOM_01</x:v>
      </x:c>
      <x:c r="F68" s="45" t="str">
        <x:v>GoblinRanged</x:v>
      </x:c>
      <x:c r="G68" s="54" t="n">
        <x:v>6</x:v>
      </x:c>
    </x:row>
    <x:row r="69">
      <x:c r="A69" s="45" t="str">
        <x:v>Stage01</x:v>
      </x:c>
      <x:c r="B69" s="45" t="str">
        <x:v>WAVE_08</x:v>
      </x:c>
      <x:c r="C69" s="51" t="n">
        <x:v>79.6</x:v>
      </x:c>
      <x:c r="D69" s="54" t="n">
        <x:v>13</x:v>
      </x:c>
      <x:c r="E69" s="45" t="str">
        <x:v>LEFT_02</x:v>
      </x:c>
      <x:c r="F69" s="45" t="str">
        <x:v>GoblinMelee</x:v>
      </x:c>
      <x:c r="G69" s="54" t="n">
        <x:v>6</x:v>
      </x:c>
    </x:row>
    <x:row r="70">
      <x:c r="A70" s="45" t="str">
        <x:v>Stage01</x:v>
      </x:c>
      <x:c r="B70" s="45" t="str">
        <x:v>WAVE_09</x:v>
      </x:c>
      <x:c r="C70" s="51" t="n">
        <x:v>81</x:v>
      </x:c>
      <x:c r="D70" s="54" t="n">
        <x:v>1</x:v>
      </x:c>
      <x:c r="E70" s="45" t="str">
        <x:v>LEFT_05</x:v>
      </x:c>
      <x:c r="F70" s="45" t="str">
        <x:v>GoblinMelee</x:v>
      </x:c>
      <x:c r="G70" s="54" t="n">
        <x:v>7</x:v>
      </x:c>
    </x:row>
    <x:row r="71">
      <x:c r="A71" s="45" t="str">
        <x:v>Stage01</x:v>
      </x:c>
      <x:c r="B71" s="45" t="str">
        <x:v>WAVE_09</x:v>
      </x:c>
      <x:c r="C71" s="51" t="n">
        <x:v>81.61</x:v>
      </x:c>
      <x:c r="D71" s="54" t="n">
        <x:v>2</x:v>
      </x:c>
      <x:c r="E71" s="45" t="str">
        <x:v>TOP_07</x:v>
      </x:c>
      <x:c r="F71" s="45" t="str">
        <x:v>GoblinMelee</x:v>
      </x:c>
      <x:c r="G71" s="54" t="n">
        <x:v>8</x:v>
      </x:c>
    </x:row>
    <x:row r="72">
      <x:c r="A72" s="45" t="str">
        <x:v>Stage01</x:v>
      </x:c>
      <x:c r="B72" s="45" t="str">
        <x:v>WAVE_09</x:v>
      </x:c>
      <x:c r="C72" s="51" t="n">
        <x:v>82.23</x:v>
      </x:c>
      <x:c r="D72" s="54" t="n">
        <x:v>3</x:v>
      </x:c>
      <x:c r="E72" s="45" t="str">
        <x:v>RIGHT_08</x:v>
      </x:c>
      <x:c r="F72" s="45" t="str">
        <x:v>GoblinRanged</x:v>
      </x:c>
      <x:c r="G72" s="54" t="n">
        <x:v>7</x:v>
      </x:c>
    </x:row>
    <x:row r="73">
      <x:c r="A73" s="45" t="str">
        <x:v>Stage01</x:v>
      </x:c>
      <x:c r="B73" s="45" t="str">
        <x:v>WAVE_09</x:v>
      </x:c>
      <x:c r="C73" s="51" t="n">
        <x:v>82.84</x:v>
      </x:c>
      <x:c r="D73" s="54" t="n">
        <x:v>4</x:v>
      </x:c>
      <x:c r="E73" s="45" t="str">
        <x:v>BOTTOM_01</x:v>
      </x:c>
      <x:c r="F73" s="45" t="str">
        <x:v>GoblinMelee</x:v>
      </x:c>
      <x:c r="G73" s="54" t="n">
        <x:v>7</x:v>
      </x:c>
    </x:row>
    <x:row r="74">
      <x:c r="A74" s="45" t="str">
        <x:v>Stage01</x:v>
      </x:c>
      <x:c r="B74" s="45" t="str">
        <x:v>WAVE_09</x:v>
      </x:c>
      <x:c r="C74" s="51" t="n">
        <x:v>83.46</x:v>
      </x:c>
      <x:c r="D74" s="54" t="n">
        <x:v>5</x:v>
      </x:c>
      <x:c r="E74" s="45" t="str">
        <x:v>LEFT_02</x:v>
      </x:c>
      <x:c r="F74" s="45" t="str">
        <x:v>GoblinMelee</x:v>
      </x:c>
      <x:c r="G74" s="54" t="n">
        <x:v>7</x:v>
      </x:c>
    </x:row>
    <x:row r="75">
      <x:c r="A75" s="45" t="str">
        <x:v>Stage01</x:v>
      </x:c>
      <x:c r="B75" s="45" t="str">
        <x:v>WAVE_09</x:v>
      </x:c>
      <x:c r="C75" s="51" t="n">
        <x:v>84.07</x:v>
      </x:c>
      <x:c r="D75" s="54" t="n">
        <x:v>6</x:v>
      </x:c>
      <x:c r="E75" s="45" t="str">
        <x:v>TOP_04</x:v>
      </x:c>
      <x:c r="F75" s="45" t="str">
        <x:v>GoblinMelee</x:v>
      </x:c>
      <x:c r="G75" s="54" t="n">
        <x:v>8</x:v>
      </x:c>
    </x:row>
    <x:row r="76">
      <x:c r="A76" s="45" t="str">
        <x:v>Stage01</x:v>
      </x:c>
      <x:c r="B76" s="45" t="str">
        <x:v>WAVE_09</x:v>
      </x:c>
      <x:c r="C76" s="51" t="n">
        <x:v>84.69</x:v>
      </x:c>
      <x:c r="D76" s="54" t="n">
        <x:v>7</x:v>
      </x:c>
      <x:c r="E76" s="45" t="str">
        <x:v>RIGHT_05</x:v>
      </x:c>
      <x:c r="F76" s="45" t="str">
        <x:v>ShieldSkeleton</x:v>
      </x:c>
      <x:c r="G76" s="54" t="n">
        <x:v>7</x:v>
      </x:c>
    </x:row>
    <x:row r="77">
      <x:c r="A77" s="45" t="str">
        <x:v>Stage01</x:v>
      </x:c>
      <x:c r="B77" s="45" t="str">
        <x:v>WAVE_09</x:v>
      </x:c>
      <x:c r="C77" s="51" t="n">
        <x:v>85.3</x:v>
      </x:c>
      <x:c r="D77" s="54" t="n">
        <x:v>8</x:v>
      </x:c>
      <x:c r="E77" s="45" t="str">
        <x:v>BOTTOM_06</x:v>
      </x:c>
      <x:c r="F77" s="45" t="str">
        <x:v>GoblinMelee</x:v>
      </x:c>
      <x:c r="G77" s="54" t="n">
        <x:v>7</x:v>
      </x:c>
    </x:row>
    <x:row r="78">
      <x:c r="A78" s="45" t="str">
        <x:v>Stage01</x:v>
      </x:c>
      <x:c r="B78" s="45" t="str">
        <x:v>WAVE_09</x:v>
      </x:c>
      <x:c r="C78" s="51" t="n">
        <x:v>85.91</x:v>
      </x:c>
      <x:c r="D78" s="54" t="n">
        <x:v>9</x:v>
      </x:c>
      <x:c r="E78" s="45" t="str">
        <x:v>LEFT_07</x:v>
      </x:c>
      <x:c r="F78" s="45" t="str">
        <x:v>GoblinRanged</x:v>
      </x:c>
      <x:c r="G78" s="54" t="n">
        <x:v>7</x:v>
      </x:c>
    </x:row>
    <x:row r="79">
      <x:c r="A79" s="45" t="str">
        <x:v>Stage01</x:v>
      </x:c>
      <x:c r="B79" s="45" t="str">
        <x:v>WAVE_09</x:v>
      </x:c>
      <x:c r="C79" s="51" t="n">
        <x:v>86.53</x:v>
      </x:c>
      <x:c r="D79" s="54" t="n">
        <x:v>10</x:v>
      </x:c>
      <x:c r="E79" s="45" t="str">
        <x:v>TOP_01</x:v>
      </x:c>
      <x:c r="F79" s="45" t="str">
        <x:v>GoblinMelee</x:v>
      </x:c>
      <x:c r="G79" s="54" t="n">
        <x:v>8</x:v>
      </x:c>
    </x:row>
    <x:row r="80">
      <x:c r="A80" s="45" t="str">
        <x:v>Stage01</x:v>
      </x:c>
      <x:c r="B80" s="45" t="str">
        <x:v>WAVE_09</x:v>
      </x:c>
      <x:c r="C80" s="51" t="n">
        <x:v>87.14</x:v>
      </x:c>
      <x:c r="D80" s="54" t="n">
        <x:v>11</x:v>
      </x:c>
      <x:c r="E80" s="45" t="str">
        <x:v>RIGHT_02</x:v>
      </x:c>
      <x:c r="F80" s="45" t="str">
        <x:v>GoblinMelee</x:v>
      </x:c>
      <x:c r="G80" s="54" t="n">
        <x:v>7</x:v>
      </x:c>
    </x:row>
    <x:row r="81">
      <x:c r="A81" s="45" t="str">
        <x:v>Stage01</x:v>
      </x:c>
      <x:c r="B81" s="45" t="str">
        <x:v>WAVE_09</x:v>
      </x:c>
      <x:c r="C81" s="51" t="n">
        <x:v>87.76</x:v>
      </x:c>
      <x:c r="D81" s="54" t="n">
        <x:v>12</x:v>
      </x:c>
      <x:c r="E81" s="45" t="str">
        <x:v>BOTTOM_03</x:v>
      </x:c>
      <x:c r="F81" s="45" t="str">
        <x:v>GoblinMelee</x:v>
      </x:c>
      <x:c r="G81" s="54" t="n">
        <x:v>7</x:v>
      </x:c>
    </x:row>
    <x:row r="82">
      <x:c r="A82" s="45" t="str">
        <x:v>Stage01</x:v>
      </x:c>
      <x:c r="B82" s="45" t="str">
        <x:v>WAVE_09</x:v>
      </x:c>
      <x:c r="C82" s="51" t="n">
        <x:v>88.37</x:v>
      </x:c>
      <x:c r="D82" s="54" t="n">
        <x:v>13</x:v>
      </x:c>
      <x:c r="E82" s="45" t="str">
        <x:v>LEFT_04</x:v>
      </x:c>
      <x:c r="F82" s="45" t="str">
        <x:v>GoblinRanged</x:v>
      </x:c>
      <x:c r="G82" s="54" t="n">
        <x:v>7</x:v>
      </x:c>
    </x:row>
    <x:row r="83">
      <x:c r="A83" s="45" t="str">
        <x:v>Stage01</x:v>
      </x:c>
      <x:c r="B83" s="45" t="str">
        <x:v>WAVE_09</x:v>
      </x:c>
      <x:c r="C83" s="51" t="n">
        <x:v>88.99</x:v>
      </x:c>
      <x:c r="D83" s="54" t="n">
        <x:v>14</x:v>
      </x:c>
      <x:c r="E83" s="45" t="str">
        <x:v>TOP_06</x:v>
      </x:c>
      <x:c r="F83" s="45" t="str">
        <x:v>GoblinMelee</x:v>
      </x:c>
      <x:c r="G83" s="54" t="n">
        <x:v>8</x:v>
      </x:c>
    </x:row>
    <x:row r="84">
      <x:c r="A84" s="45" t="str">
        <x:v>Stage01</x:v>
      </x:c>
      <x:c r="B84" s="45" t="str">
        <x:v>WAVE_09</x:v>
      </x:c>
      <x:c r="C84" s="51" t="n">
        <x:v>89.6</x:v>
      </x:c>
      <x:c r="D84" s="54" t="n">
        <x:v>15</x:v>
      </x:c>
      <x:c r="E84" s="45" t="str">
        <x:v>RIGHT_07</x:v>
      </x:c>
      <x:c r="F84" s="45" t="str">
        <x:v>GoblinMelee</x:v>
      </x:c>
      <x:c r="G84" s="54" t="n">
        <x:v>7</x:v>
      </x:c>
    </x:row>
    <x:row r="85">
      <x:c r="A85" s="45" t="str">
        <x:v>Stage01</x:v>
      </x:c>
      <x:c r="B85" s="45" t="str">
        <x:v>WAVE_10</x:v>
      </x:c>
      <x:c r="C85" s="51" t="n">
        <x:v>91</x:v>
      </x:c>
      <x:c r="D85" s="54" t="n">
        <x:v>1</x:v>
      </x:c>
      <x:c r="E85" s="45" t="str">
        <x:v>RIGHT_02</x:v>
      </x:c>
      <x:c r="F85" s="45" t="str">
        <x:v>GoblinMelee</x:v>
      </x:c>
      <x:c r="G85" s="54" t="n">
        <x:v>8</x:v>
      </x:c>
    </x:row>
    <x:row r="86">
      <x:c r="A86" s="45" t="str">
        <x:v>Stage01</x:v>
      </x:c>
      <x:c r="B86" s="45" t="str">
        <x:v>WAVE_10</x:v>
      </x:c>
      <x:c r="C86" s="51" t="n">
        <x:v>91.57</x:v>
      </x:c>
      <x:c r="D86" s="54" t="n">
        <x:v>2</x:v>
      </x:c>
      <x:c r="E86" s="45" t="str">
        <x:v>BOTTOM_03</x:v>
      </x:c>
      <x:c r="F86" s="45" t="str">
        <x:v>GoblinMelee</x:v>
      </x:c>
      <x:c r="G86" s="54" t="n">
        <x:v>9</x:v>
      </x:c>
    </x:row>
    <x:row r="87">
      <x:c r="A87" s="45" t="str">
        <x:v>Stage01</x:v>
      </x:c>
      <x:c r="B87" s="45" t="str">
        <x:v>WAVE_10</x:v>
      </x:c>
      <x:c r="C87" s="51" t="n">
        <x:v>92.15</x:v>
      </x:c>
      <x:c r="D87" s="54" t="n">
        <x:v>3</x:v>
      </x:c>
      <x:c r="E87" s="45" t="str">
        <x:v>LEFT_04</x:v>
      </x:c>
      <x:c r="F87" s="45" t="str">
        <x:v>GoblinRanged</x:v>
      </x:c>
      <x:c r="G87" s="54" t="n">
        <x:v>8</x:v>
      </x:c>
    </x:row>
    <x:row r="88">
      <x:c r="A88" s="45" t="str">
        <x:v>Stage01</x:v>
      </x:c>
      <x:c r="B88" s="45" t="str">
        <x:v>WAVE_10</x:v>
      </x:c>
      <x:c r="C88" s="51" t="n">
        <x:v>92.72</x:v>
      </x:c>
      <x:c r="D88" s="54" t="n">
        <x:v>4</x:v>
      </x:c>
      <x:c r="E88" s="45" t="str">
        <x:v>TOP_06</x:v>
      </x:c>
      <x:c r="F88" s="45" t="str">
        <x:v>GoblinMelee</x:v>
      </x:c>
      <x:c r="G88" s="54" t="n">
        <x:v>8</x:v>
      </x:c>
    </x:row>
    <x:row r="89">
      <x:c r="A89" s="45" t="str">
        <x:v>Stage01</x:v>
      </x:c>
      <x:c r="B89" s="45" t="str">
        <x:v>WAVE_10</x:v>
      </x:c>
      <x:c r="C89" s="51" t="n">
        <x:v>93.29</x:v>
      </x:c>
      <x:c r="D89" s="54" t="n">
        <x:v>5</x:v>
      </x:c>
      <x:c r="E89" s="45" t="str">
        <x:v>RIGHT_07</x:v>
      </x:c>
      <x:c r="F89" s="45" t="str">
        <x:v>GoblinMelee</x:v>
      </x:c>
      <x:c r="G89" s="54" t="n">
        <x:v>9</x:v>
      </x:c>
    </x:row>
    <x:row r="90">
      <x:c r="A90" s="45" t="str">
        <x:v>Stage01</x:v>
      </x:c>
      <x:c r="B90" s="45" t="str">
        <x:v>WAVE_10</x:v>
      </x:c>
      <x:c r="C90" s="51" t="n">
        <x:v>93.87</x:v>
      </x:c>
      <x:c r="D90" s="54" t="n">
        <x:v>6</x:v>
      </x:c>
      <x:c r="E90" s="45" t="str">
        <x:v>BOTTOM_08</x:v>
      </x:c>
      <x:c r="F90" s="45" t="str">
        <x:v>GoblinMelee</x:v>
      </x:c>
      <x:c r="G90" s="54" t="n">
        <x:v>8</x:v>
      </x:c>
    </x:row>
    <x:row r="91">
      <x:c r="A91" s="45" t="str">
        <x:v>Stage01</x:v>
      </x:c>
      <x:c r="B91" s="45" t="str">
        <x:v>WAVE_10</x:v>
      </x:c>
      <x:c r="C91" s="51" t="n">
        <x:v>94.44</x:v>
      </x:c>
      <x:c r="D91" s="54" t="n">
        <x:v>7</x:v>
      </x:c>
      <x:c r="E91" s="45" t="str">
        <x:v>LEFT_01</x:v>
      </x:c>
      <x:c r="F91" s="45" t="str">
        <x:v>ShieldSkeleton</x:v>
      </x:c>
      <x:c r="G91" s="54" t="n">
        <x:v>8</x:v>
      </x:c>
    </x:row>
    <x:row r="92">
      <x:c r="A92" s="45" t="str">
        <x:v>Stage01</x:v>
      </x:c>
      <x:c r="B92" s="45" t="str">
        <x:v>WAVE_10</x:v>
      </x:c>
      <x:c r="C92" s="51" t="n">
        <x:v>95.01</x:v>
      </x:c>
      <x:c r="D92" s="54" t="n">
        <x:v>8</x:v>
      </x:c>
      <x:c r="E92" s="45" t="str">
        <x:v>TOP_03</x:v>
      </x:c>
      <x:c r="F92" s="45" t="str">
        <x:v>GoblinMelee</x:v>
      </x:c>
      <x:c r="G92" s="54" t="n">
        <x:v>8</x:v>
      </x:c>
    </x:row>
    <x:row r="93">
      <x:c r="A93" s="45" t="str">
        <x:v>Stage01</x:v>
      </x:c>
      <x:c r="B93" s="45" t="str">
        <x:v>WAVE_10</x:v>
      </x:c>
      <x:c r="C93" s="51" t="n">
        <x:v>95.59</x:v>
      </x:c>
      <x:c r="D93" s="54" t="n">
        <x:v>9</x:v>
      </x:c>
      <x:c r="E93" s="45" t="str">
        <x:v>RIGHT_04</x:v>
      </x:c>
      <x:c r="F93" s="45" t="str">
        <x:v>GoblinMelee</x:v>
      </x:c>
      <x:c r="G93" s="54" t="n">
        <x:v>9</x:v>
      </x:c>
    </x:row>
    <x:row r="94">
      <x:c r="A94" s="45" t="str">
        <x:v>Stage01</x:v>
      </x:c>
      <x:c r="B94" s="45" t="str">
        <x:v>WAVE_10</x:v>
      </x:c>
      <x:c r="C94" s="51" t="n">
        <x:v>96.16</x:v>
      </x:c>
      <x:c r="D94" s="54" t="n">
        <x:v>10</x:v>
      </x:c>
      <x:c r="E94" s="45" t="str">
        <x:v>BOTTOM_05</x:v>
      </x:c>
      <x:c r="F94" s="45" t="str">
        <x:v>GoblinRanged</x:v>
      </x:c>
      <x:c r="G94" s="54" t="n">
        <x:v>8</x:v>
      </x:c>
    </x:row>
    <x:row r="95">
      <x:c r="A95" s="45" t="str">
        <x:v>Stage01</x:v>
      </x:c>
      <x:c r="B95" s="45" t="str">
        <x:v>WAVE_10</x:v>
      </x:c>
      <x:c r="C95" s="51" t="n">
        <x:v>96.73</x:v>
      </x:c>
      <x:c r="D95" s="54" t="n">
        <x:v>11</x:v>
      </x:c>
      <x:c r="E95" s="45" t="str">
        <x:v>LEFT_06</x:v>
      </x:c>
      <x:c r="F95" s="45" t="str">
        <x:v>GoblinMelee</x:v>
      </x:c>
      <x:c r="G95" s="54" t="n">
        <x:v>8</x:v>
      </x:c>
    </x:row>
    <x:row r="96">
      <x:c r="A96" s="45" t="str">
        <x:v>Stage01</x:v>
      </x:c>
      <x:c r="B96" s="45" t="str">
        <x:v>WAVE_10</x:v>
      </x:c>
      <x:c r="C96" s="51" t="n">
        <x:v>97.31</x:v>
      </x:c>
      <x:c r="D96" s="54" t="n">
        <x:v>12</x:v>
      </x:c>
      <x:c r="E96" s="45" t="str">
        <x:v>TOP_08</x:v>
      </x:c>
      <x:c r="F96" s="45" t="str">
        <x:v>GoblinMelee</x:v>
      </x:c>
      <x:c r="G96" s="54" t="n">
        <x:v>9</x:v>
      </x:c>
    </x:row>
    <x:row r="97">
      <x:c r="A97" s="45" t="str">
        <x:v>Stage01</x:v>
      </x:c>
      <x:c r="B97" s="45" t="str">
        <x:v>WAVE_10</x:v>
      </x:c>
      <x:c r="C97" s="51" t="n">
        <x:v>97.88</x:v>
      </x:c>
      <x:c r="D97" s="54" t="n">
        <x:v>13</x:v>
      </x:c>
      <x:c r="E97" s="45" t="str">
        <x:v>RIGHT_01</x:v>
      </x:c>
      <x:c r="F97" s="45" t="str">
        <x:v>GoblinMelee</x:v>
      </x:c>
      <x:c r="G97" s="54" t="n">
        <x:v>8</x:v>
      </x:c>
    </x:row>
    <x:row r="98">
      <x:c r="A98" s="45" t="str">
        <x:v>Stage01</x:v>
      </x:c>
      <x:c r="B98" s="45" t="str">
        <x:v>WAVE_10</x:v>
      </x:c>
      <x:c r="C98" s="51" t="n">
        <x:v>98.45</x:v>
      </x:c>
      <x:c r="D98" s="54" t="n">
        <x:v>14</x:v>
      </x:c>
      <x:c r="E98" s="45" t="str">
        <x:v>BOTTOM_02</x:v>
      </x:c>
      <x:c r="F98" s="45" t="str">
        <x:v>GoblinRanged</x:v>
      </x:c>
      <x:c r="G98" s="54" t="n">
        <x:v>8</x:v>
      </x:c>
    </x:row>
    <x:row r="99">
      <x:c r="A99" s="45" t="str">
        <x:v>Stage01</x:v>
      </x:c>
      <x:c r="B99" s="45" t="str">
        <x:v>WAVE_10</x:v>
      </x:c>
      <x:c r="C99" s="51" t="n">
        <x:v>99.03</x:v>
      </x:c>
      <x:c r="D99" s="54" t="n">
        <x:v>15</x:v>
      </x:c>
      <x:c r="E99" s="45" t="str">
        <x:v>LEFT_03</x:v>
      </x:c>
      <x:c r="F99" s="45" t="str">
        <x:v>GoblinMelee</x:v>
      </x:c>
      <x:c r="G99" s="54" t="n">
        <x:v>9</x:v>
      </x:c>
    </x:row>
    <x:row r="100">
      <x:c r="A100" s="45" t="str">
        <x:v>Stage01</x:v>
      </x:c>
      <x:c r="B100" s="45" t="str">
        <x:v>WAVE_10</x:v>
      </x:c>
      <x:c r="C100" s="51" t="n">
        <x:v>99.6</x:v>
      </x:c>
      <x:c r="D100" s="54" t="n">
        <x:v>16</x:v>
      </x:c>
      <x:c r="E100" s="45" t="str">
        <x:v>TOP_05</x:v>
      </x:c>
      <x:c r="F100" s="45" t="str">
        <x:v>GoblinMelee</x:v>
      </x:c>
      <x:c r="G100" s="54" t="n">
        <x:v>8</x:v>
      </x:c>
    </x:row>
    <x:row r="101">
      <x:c r="A101" s="45" t="str">
        <x:v>Stage01</x:v>
      </x:c>
      <x:c r="B101" s="45" t="str">
        <x:v>WAVE_11</x:v>
      </x:c>
      <x:c r="C101" s="51" t="n">
        <x:v>101</x:v>
      </x:c>
      <x:c r="D101" s="54" t="n">
        <x:v>1</x:v>
      </x:c>
      <x:c r="E101" s="45" t="str">
        <x:v>TOP_08</x:v>
      </x:c>
      <x:c r="F101" s="45" t="str">
        <x:v>GoblinMelee</x:v>
      </x:c>
      <x:c r="G101" s="54" t="n">
        <x:v>9</x:v>
      </x:c>
    </x:row>
    <x:row r="102">
      <x:c r="A102" s="45" t="str">
        <x:v>Stage01</x:v>
      </x:c>
      <x:c r="B102" s="45" t="str">
        <x:v>WAVE_11</x:v>
      </x:c>
      <x:c r="C102" s="51" t="n">
        <x:v>101.54</x:v>
      </x:c>
      <x:c r="D102" s="54" t="n">
        <x:v>2</x:v>
      </x:c>
      <x:c r="E102" s="45" t="str">
        <x:v>RIGHT_01</x:v>
      </x:c>
      <x:c r="F102" s="45" t="str">
        <x:v>GoblinMelee</x:v>
      </x:c>
      <x:c r="G102" s="54" t="n">
        <x:v>10</x:v>
      </x:c>
    </x:row>
    <x:row r="103">
      <x:c r="A103" s="45" t="str">
        <x:v>Stage01</x:v>
      </x:c>
      <x:c r="B103" s="45" t="str">
        <x:v>WAVE_11</x:v>
      </x:c>
      <x:c r="C103" s="51" t="n">
        <x:v>102.08</x:v>
      </x:c>
      <x:c r="D103" s="54" t="n">
        <x:v>3</x:v>
      </x:c>
      <x:c r="E103" s="45" t="str">
        <x:v>BOTTOM_02</x:v>
      </x:c>
      <x:c r="F103" s="45" t="str">
        <x:v>GoblinRanged</x:v>
      </x:c>
      <x:c r="G103" s="54" t="n">
        <x:v>9</x:v>
      </x:c>
    </x:row>
    <x:row r="104">
      <x:c r="A104" s="45" t="str">
        <x:v>Stage01</x:v>
      </x:c>
      <x:c r="B104" s="45" t="str">
        <x:v>WAVE_11</x:v>
      </x:c>
      <x:c r="C104" s="51" t="n">
        <x:v>102.61</x:v>
      </x:c>
      <x:c r="D104" s="54" t="n">
        <x:v>4</x:v>
      </x:c>
      <x:c r="E104" s="45" t="str">
        <x:v>LEFT_03</x:v>
      </x:c>
      <x:c r="F104" s="45" t="str">
        <x:v>GoblinMelee</x:v>
      </x:c>
      <x:c r="G104" s="54" t="n">
        <x:v>9</x:v>
      </x:c>
    </x:row>
    <x:row r="105">
      <x:c r="A105" s="45" t="str">
        <x:v>Stage01</x:v>
      </x:c>
      <x:c r="B105" s="45" t="str">
        <x:v>WAVE_11</x:v>
      </x:c>
      <x:c r="C105" s="51" t="n">
        <x:v>103.15</x:v>
      </x:c>
      <x:c r="D105" s="54" t="n">
        <x:v>5</x:v>
      </x:c>
      <x:c r="E105" s="45" t="str">
        <x:v>TOP_05</x:v>
      </x:c>
      <x:c r="F105" s="45" t="str">
        <x:v>GoblinMelee</x:v>
      </x:c>
      <x:c r="G105" s="54" t="n">
        <x:v>10</x:v>
      </x:c>
    </x:row>
    <x:row r="106">
      <x:c r="A106" s="45" t="str">
        <x:v>Stage01</x:v>
      </x:c>
      <x:c r="B106" s="45" t="str">
        <x:v>WAVE_11</x:v>
      </x:c>
      <x:c r="C106" s="51" t="n">
        <x:v>103.69</x:v>
      </x:c>
      <x:c r="D106" s="54" t="n">
        <x:v>6</x:v>
      </x:c>
      <x:c r="E106" s="45" t="str">
        <x:v>RIGHT_06</x:v>
      </x:c>
      <x:c r="F106" s="45" t="str">
        <x:v>GoblinMelee</x:v>
      </x:c>
      <x:c r="G106" s="54" t="n">
        <x:v>9</x:v>
      </x:c>
    </x:row>
    <x:row r="107">
      <x:c r="A107" s="45" t="str">
        <x:v>Stage01</x:v>
      </x:c>
      <x:c r="B107" s="45" t="str">
        <x:v>WAVE_11</x:v>
      </x:c>
      <x:c r="C107" s="51" t="n">
        <x:v>104.23</x:v>
      </x:c>
      <x:c r="D107" s="54" t="n">
        <x:v>7</x:v>
      </x:c>
      <x:c r="E107" s="45" t="str">
        <x:v>BOTTOM_07</x:v>
      </x:c>
      <x:c r="F107" s="45" t="str">
        <x:v>ShieldSkeleton</x:v>
      </x:c>
      <x:c r="G107" s="54" t="n">
        <x:v>9</x:v>
      </x:c>
    </x:row>
    <x:row r="108">
      <x:c r="A108" s="45" t="str">
        <x:v>Stage01</x:v>
      </x:c>
      <x:c r="B108" s="45" t="str">
        <x:v>WAVE_11</x:v>
      </x:c>
      <x:c r="C108" s="51" t="n">
        <x:v>104.76</x:v>
      </x:c>
      <x:c r="D108" s="54" t="n">
        <x:v>8</x:v>
      </x:c>
      <x:c r="E108" s="45" t="str">
        <x:v>LEFT_08</x:v>
      </x:c>
      <x:c r="F108" s="45" t="str">
        <x:v>GoblinMelee</x:v>
      </x:c>
      <x:c r="G108" s="54" t="n">
        <x:v>10</x:v>
      </x:c>
    </x:row>
    <x:row r="109">
      <x:c r="A109" s="45" t="str">
        <x:v>Stage01</x:v>
      </x:c>
      <x:c r="B109" s="45" t="str">
        <x:v>WAVE_11</x:v>
      </x:c>
      <x:c r="C109" s="51" t="n">
        <x:v>105.3</x:v>
      </x:c>
      <x:c r="D109" s="54" t="n">
        <x:v>9</x:v>
      </x:c>
      <x:c r="E109" s="45" t="str">
        <x:v>TOP_02</x:v>
      </x:c>
      <x:c r="F109" s="45" t="str">
        <x:v>GoblinMelee</x:v>
      </x:c>
      <x:c r="G109" s="54" t="n">
        <x:v>9</x:v>
      </x:c>
    </x:row>
    <x:row r="110">
      <x:c r="A110" s="45" t="str">
        <x:v>Stage01</x:v>
      </x:c>
      <x:c r="B110" s="45" t="str">
        <x:v>WAVE_11</x:v>
      </x:c>
      <x:c r="C110" s="51" t="n">
        <x:v>105.84</x:v>
      </x:c>
      <x:c r="D110" s="54" t="n">
        <x:v>10</x:v>
      </x:c>
      <x:c r="E110" s="45" t="str">
        <x:v>RIGHT_03</x:v>
      </x:c>
      <x:c r="F110" s="45" t="str">
        <x:v>GoblinRanged</x:v>
      </x:c>
      <x:c r="G110" s="54" t="n">
        <x:v>10</x:v>
      </x:c>
    </x:row>
    <x:row r="111">
      <x:c r="A111" s="45" t="str">
        <x:v>Stage01</x:v>
      </x:c>
      <x:c r="B111" s="45" t="str">
        <x:v>WAVE_11</x:v>
      </x:c>
      <x:c r="C111" s="51" t="n">
        <x:v>106.38</x:v>
      </x:c>
      <x:c r="D111" s="54" t="n">
        <x:v>11</x:v>
      </x:c>
      <x:c r="E111" s="45" t="str">
        <x:v>BOTTOM_04</x:v>
      </x:c>
      <x:c r="F111" s="45" t="str">
        <x:v>GoblinMelee</x:v>
      </x:c>
      <x:c r="G111" s="54" t="n">
        <x:v>9</x:v>
      </x:c>
    </x:row>
    <x:row r="112">
      <x:c r="A112" s="45" t="str">
        <x:v>Stage01</x:v>
      </x:c>
      <x:c r="B112" s="45" t="str">
        <x:v>WAVE_11</x:v>
      </x:c>
      <x:c r="C112" s="51" t="n">
        <x:v>106.91</x:v>
      </x:c>
      <x:c r="D112" s="54" t="n">
        <x:v>12</x:v>
      </x:c>
      <x:c r="E112" s="45" t="str">
        <x:v>LEFT_05</x:v>
      </x:c>
      <x:c r="F112" s="45" t="str">
        <x:v>GoblinMelee</x:v>
      </x:c>
      <x:c r="G112" s="54" t="n">
        <x:v>9</x:v>
      </x:c>
    </x:row>
    <x:row r="113">
      <x:c r="A113" s="45" t="str">
        <x:v>Stage01</x:v>
      </x:c>
      <x:c r="B113" s="45" t="str">
        <x:v>WAVE_11</x:v>
      </x:c>
      <x:c r="C113" s="51" t="n">
        <x:v>107.45</x:v>
      </x:c>
      <x:c r="D113" s="54" t="n">
        <x:v>13</x:v>
      </x:c>
      <x:c r="E113" s="45" t="str">
        <x:v>TOP_07</x:v>
      </x:c>
      <x:c r="F113" s="45" t="str">
        <x:v>GoblinMelee</x:v>
      </x:c>
      <x:c r="G113" s="54" t="n">
        <x:v>10</x:v>
      </x:c>
    </x:row>
    <x:row r="114">
      <x:c r="A114" s="45" t="str">
        <x:v>Stage01</x:v>
      </x:c>
      <x:c r="B114" s="45" t="str">
        <x:v>WAVE_11</x:v>
      </x:c>
      <x:c r="C114" s="51" t="n">
        <x:v>107.99</x:v>
      </x:c>
      <x:c r="D114" s="54" t="n">
        <x:v>14</x:v>
      </x:c>
      <x:c r="E114" s="45" t="str">
        <x:v>RIGHT_08</x:v>
      </x:c>
      <x:c r="F114" s="45" t="str">
        <x:v>GoblinMelee</x:v>
      </x:c>
      <x:c r="G114" s="54" t="n">
        <x:v>9</x:v>
      </x:c>
    </x:row>
    <x:row r="115">
      <x:c r="A115" s="45" t="str">
        <x:v>Stage01</x:v>
      </x:c>
      <x:c r="B115" s="45" t="str">
        <x:v>WAVE_11</x:v>
      </x:c>
      <x:c r="C115" s="51" t="n">
        <x:v>108.53</x:v>
      </x:c>
      <x:c r="D115" s="54" t="n">
        <x:v>15</x:v>
      </x:c>
      <x:c r="E115" s="45" t="str">
        <x:v>BOTTOM_01</x:v>
      </x:c>
      <x:c r="F115" s="45" t="str">
        <x:v>GoblinRanged</x:v>
      </x:c>
      <x:c r="G115" s="54" t="n">
        <x:v>9</x:v>
      </x:c>
    </x:row>
    <x:row r="116">
      <x:c r="A116" s="45" t="str">
        <x:v>Stage01</x:v>
      </x:c>
      <x:c r="B116" s="45" t="str">
        <x:v>WAVE_11</x:v>
      </x:c>
      <x:c r="C116" s="51" t="n">
        <x:v>109.06</x:v>
      </x:c>
      <x:c r="D116" s="54" t="n">
        <x:v>16</x:v>
      </x:c>
      <x:c r="E116" s="45" t="str">
        <x:v>LEFT_02</x:v>
      </x:c>
      <x:c r="F116" s="45" t="str">
        <x:v>GoblinMelee</x:v>
      </x:c>
      <x:c r="G116" s="54" t="n">
        <x:v>10</x:v>
      </x:c>
    </x:row>
    <x:row r="117">
      <x:c r="A117" s="45" t="str">
        <x:v>Stage01</x:v>
      </x:c>
      <x:c r="B117" s="45" t="str">
        <x:v>WAVE_11</x:v>
      </x:c>
      <x:c r="C117" s="51" t="n">
        <x:v>109.6</x:v>
      </x:c>
      <x:c r="D117" s="54" t="n">
        <x:v>17</x:v>
      </x:c>
      <x:c r="E117" s="45" t="str">
        <x:v>TOP_04</x:v>
      </x:c>
      <x:c r="F117" s="45" t="str">
        <x:v>GoblinMelee</x:v>
      </x:c>
      <x:c r="G117" s="54" t="n">
        <x:v>9</x:v>
      </x:c>
    </x:row>
    <x:row r="118">
      <x:c r="A118" s="45" t="str">
        <x:v>Stage01</x:v>
      </x:c>
      <x:c r="B118" s="45" t="str">
        <x:v>WAVE_12</x:v>
      </x:c>
      <x:c r="C118" s="51" t="n">
        <x:v>111</x:v>
      </x:c>
      <x:c r="D118" s="54" t="n">
        <x:v>1</x:v>
      </x:c>
      <x:c r="E118" s="45" t="str">
        <x:v>TOP_07</x:v>
      </x:c>
      <x:c r="F118" s="45" t="str">
        <x:v>GoblinMelee</x:v>
      </x:c>
      <x:c r="G118" s="54" t="n">
        <x:v>10</x:v>
      </x:c>
    </x:row>
    <x:row r="119">
      <x:c r="A119" s="45" t="str">
        <x:v>Stage01</x:v>
      </x:c>
      <x:c r="B119" s="45" t="str">
        <x:v>WAVE_12</x:v>
      </x:c>
      <x:c r="C119" s="51" t="n">
        <x:v>111.48</x:v>
      </x:c>
      <x:c r="D119" s="54" t="n">
        <x:v>2</x:v>
      </x:c>
      <x:c r="E119" s="45" t="str">
        <x:v>RIGHT_08</x:v>
      </x:c>
      <x:c r="F119" s="45" t="str">
        <x:v>GoblinRanged</x:v>
      </x:c>
      <x:c r="G119" s="54" t="n">
        <x:v>11</x:v>
      </x:c>
    </x:row>
    <x:row r="120">
      <x:c r="A120" s="45" t="str">
        <x:v>Stage01</x:v>
      </x:c>
      <x:c r="B120" s="45" t="str">
        <x:v>WAVE_12</x:v>
      </x:c>
      <x:c r="C120" s="51" t="n">
        <x:v>111.96</x:v>
      </x:c>
      <x:c r="D120" s="54" t="n">
        <x:v>3</x:v>
      </x:c>
      <x:c r="E120" s="45" t="str">
        <x:v>BOTTOM_01</x:v>
      </x:c>
      <x:c r="F120" s="45" t="str">
        <x:v>GoblinMelee</x:v>
      </x:c>
      <x:c r="G120" s="54" t="n">
        <x:v>10</x:v>
      </x:c>
    </x:row>
    <x:row r="121">
      <x:c r="A121" s="45" t="str">
        <x:v>Stage01</x:v>
      </x:c>
      <x:c r="B121" s="45" t="str">
        <x:v>WAVE_12</x:v>
      </x:c>
      <x:c r="C121" s="51" t="n">
        <x:v>112.43</x:v>
      </x:c>
      <x:c r="D121" s="54" t="n">
        <x:v>4</x:v>
      </x:c>
      <x:c r="E121" s="45" t="str">
        <x:v>LEFT_02</x:v>
      </x:c>
      <x:c r="F121" s="45" t="str">
        <x:v>GoblinMelee</x:v>
      </x:c>
      <x:c r="G121" s="54" t="n">
        <x:v>10</x:v>
      </x:c>
    </x:row>
    <x:row r="122">
      <x:c r="A122" s="45" t="str">
        <x:v>Stage01</x:v>
      </x:c>
      <x:c r="B122" s="45" t="str">
        <x:v>WAVE_12</x:v>
      </x:c>
      <x:c r="C122" s="51" t="n">
        <x:v>112.91</x:v>
      </x:c>
      <x:c r="D122" s="54" t="n">
        <x:v>5</x:v>
      </x:c>
      <x:c r="E122" s="45" t="str">
        <x:v>TOP_04</x:v>
      </x:c>
      <x:c r="F122" s="45" t="str">
        <x:v>GoblinMelee</x:v>
      </x:c>
      <x:c r="G122" s="54" t="n">
        <x:v>11</x:v>
      </x:c>
    </x:row>
    <x:row r="123">
      <x:c r="A123" s="45" t="str">
        <x:v>Stage01</x:v>
      </x:c>
      <x:c r="B123" s="45" t="str">
        <x:v>WAVE_12</x:v>
      </x:c>
      <x:c r="C123" s="51" t="n">
        <x:v>113.39</x:v>
      </x:c>
      <x:c r="D123" s="54" t="n">
        <x:v>6</x:v>
      </x:c>
      <x:c r="E123" s="45" t="str">
        <x:v>RIGHT_05</x:v>
      </x:c>
      <x:c r="F123" s="45" t="str">
        <x:v>ShieldSkeleton</x:v>
      </x:c>
      <x:c r="G123" s="54" t="n">
        <x:v>10</x:v>
      </x:c>
    </x:row>
    <x:row r="124">
      <x:c r="A124" s="45" t="str">
        <x:v>Stage01</x:v>
      </x:c>
      <x:c r="B124" s="45" t="str">
        <x:v>WAVE_12</x:v>
      </x:c>
      <x:c r="C124" s="51" t="n">
        <x:v>113.87</x:v>
      </x:c>
      <x:c r="D124" s="54" t="n">
        <x:v>7</x:v>
      </x:c>
      <x:c r="E124" s="45" t="str">
        <x:v>BOTTOM_06</x:v>
      </x:c>
      <x:c r="F124" s="45" t="str">
        <x:v>GoblinMelee</x:v>
      </x:c>
      <x:c r="G124" s="54" t="n">
        <x:v>11</x:v>
      </x:c>
    </x:row>
    <x:row r="125">
      <x:c r="A125" s="45" t="str">
        <x:v>Stage01</x:v>
      </x:c>
      <x:c r="B125" s="45" t="str">
        <x:v>WAVE_12</x:v>
      </x:c>
      <x:c r="C125" s="51" t="n">
        <x:v>114.34</x:v>
      </x:c>
      <x:c r="D125" s="54" t="n">
        <x:v>8</x:v>
      </x:c>
      <x:c r="E125" s="45" t="str">
        <x:v>LEFT_07</x:v>
      </x:c>
      <x:c r="F125" s="45" t="str">
        <x:v>GoblinRanged</x:v>
      </x:c>
      <x:c r="G125" s="54" t="n">
        <x:v>10</x:v>
      </x:c>
    </x:row>
    <x:row r="126">
      <x:c r="A126" s="45" t="str">
        <x:v>Stage01</x:v>
      </x:c>
      <x:c r="B126" s="45" t="str">
        <x:v>WAVE_12</x:v>
      </x:c>
      <x:c r="C126" s="51" t="n">
        <x:v>114.82</x:v>
      </x:c>
      <x:c r="D126" s="54" t="n">
        <x:v>9</x:v>
      </x:c>
      <x:c r="E126" s="45" t="str">
        <x:v>TOP_01</x:v>
      </x:c>
      <x:c r="F126" s="45" t="str">
        <x:v>GoblinMelee</x:v>
      </x:c>
      <x:c r="G126" s="54" t="n">
        <x:v>10</x:v>
      </x:c>
    </x:row>
    <x:row r="127">
      <x:c r="A127" s="45" t="str">
        <x:v>Stage01</x:v>
      </x:c>
      <x:c r="B127" s="45" t="str">
        <x:v>WAVE_12</x:v>
      </x:c>
      <x:c r="C127" s="51" t="n">
        <x:v>115.3</x:v>
      </x:c>
      <x:c r="D127" s="54" t="n">
        <x:v>10</x:v>
      </x:c>
      <x:c r="E127" s="45" t="str">
        <x:v>RIGHT_02</x:v>
      </x:c>
      <x:c r="F127" s="45" t="str">
        <x:v>GoblinMelee</x:v>
      </x:c>
      <x:c r="G127" s="54" t="n">
        <x:v>11</x:v>
      </x:c>
    </x:row>
    <x:row r="128">
      <x:c r="A128" s="45" t="str">
        <x:v>Stage01</x:v>
      </x:c>
      <x:c r="B128" s="45" t="str">
        <x:v>WAVE_12</x:v>
      </x:c>
      <x:c r="C128" s="51" t="n">
        <x:v>115.78</x:v>
      </x:c>
      <x:c r="D128" s="54" t="n">
        <x:v>11</x:v>
      </x:c>
      <x:c r="E128" s="45" t="str">
        <x:v>BOTTOM_03</x:v>
      </x:c>
      <x:c r="F128" s="45" t="str">
        <x:v>GoblinBoss</x:v>
      </x:c>
      <x:c r="G128" s="54" t="n">
        <x:v>11</x:v>
      </x:c>
    </x:row>
    <x:row r="129">
      <x:c r="A129" s="45" t="str">
        <x:v>Stage01</x:v>
      </x:c>
      <x:c r="B129" s="45" t="str">
        <x:v>WAVE_12</x:v>
      </x:c>
      <x:c r="C129" s="51" t="n">
        <x:v>116.26</x:v>
      </x:c>
      <x:c r="D129" s="54" t="n">
        <x:v>12</x:v>
      </x:c>
      <x:c r="E129" s="45" t="str">
        <x:v>LEFT_04</x:v>
      </x:c>
      <x:c r="F129" s="45" t="str">
        <x:v>GoblinMelee</x:v>
      </x:c>
      <x:c r="G129" s="54" t="n">
        <x:v>10</x:v>
      </x:c>
    </x:row>
    <x:row r="130">
      <x:c r="A130" s="45" t="str">
        <x:v>Stage01</x:v>
      </x:c>
      <x:c r="B130" s="45" t="str">
        <x:v>WAVE_12</x:v>
      </x:c>
      <x:c r="C130" s="51" t="n">
        <x:v>116.73</x:v>
      </x:c>
      <x:c r="D130" s="54" t="n">
        <x:v>13</x:v>
      </x:c>
      <x:c r="E130" s="45" t="str">
        <x:v>TOP_06</x:v>
      </x:c>
      <x:c r="F130" s="45" t="str">
        <x:v>GoblinMelee</x:v>
      </x:c>
      <x:c r="G130" s="54" t="n">
        <x:v>11</x:v>
      </x:c>
    </x:row>
    <x:row r="131">
      <x:c r="A131" s="45" t="str">
        <x:v>Stage01</x:v>
      </x:c>
      <x:c r="B131" s="45" t="str">
        <x:v>WAVE_12</x:v>
      </x:c>
      <x:c r="C131" s="51" t="n">
        <x:v>117.21</x:v>
      </x:c>
      <x:c r="D131" s="54" t="n">
        <x:v>14</x:v>
      </x:c>
      <x:c r="E131" s="45" t="str">
        <x:v>RIGHT_07</x:v>
      </x:c>
      <x:c r="F131" s="45" t="str">
        <x:v>GoblinRanged</x:v>
      </x:c>
      <x:c r="G131" s="54" t="n">
        <x:v>10</x:v>
      </x:c>
    </x:row>
    <x:row r="132">
      <x:c r="A132" s="45" t="str">
        <x:v>Stage01</x:v>
      </x:c>
      <x:c r="B132" s="45" t="str">
        <x:v>WAVE_12</x:v>
      </x:c>
      <x:c r="C132" s="51" t="n">
        <x:v>117.69</x:v>
      </x:c>
      <x:c r="D132" s="54" t="n">
        <x:v>15</x:v>
      </x:c>
      <x:c r="E132" s="45" t="str">
        <x:v>BOTTOM_08</x:v>
      </x:c>
      <x:c r="F132" s="45" t="str">
        <x:v>GoblinMelee</x:v>
      </x:c>
      <x:c r="G132" s="54" t="n">
        <x:v>11</x:v>
      </x:c>
    </x:row>
    <x:row r="133">
      <x:c r="A133" s="45" t="str">
        <x:v>Stage01</x:v>
      </x:c>
      <x:c r="B133" s="45" t="str">
        <x:v>WAVE_12</x:v>
      </x:c>
      <x:c r="C133" s="51" t="n">
        <x:v>118.17</x:v>
      </x:c>
      <x:c r="D133" s="54" t="n">
        <x:v>16</x:v>
      </x:c>
      <x:c r="E133" s="45" t="str">
        <x:v>LEFT_01</x:v>
      </x:c>
      <x:c r="F133" s="45" t="str">
        <x:v>GoblinMelee</x:v>
      </x:c>
      <x:c r="G133" s="54" t="n">
        <x:v>10</x:v>
      </x:c>
    </x:row>
    <x:row r="134">
      <x:c r="A134" s="45" t="str">
        <x:v>Stage01</x:v>
      </x:c>
      <x:c r="B134" s="45" t="str">
        <x:v>WAVE_12</x:v>
      </x:c>
      <x:c r="C134" s="51" t="n">
        <x:v>118.64</x:v>
      </x:c>
      <x:c r="D134" s="54" t="n">
        <x:v>17</x:v>
      </x:c>
      <x:c r="E134" s="45" t="str">
        <x:v>TOP_03</x:v>
      </x:c>
      <x:c r="F134" s="45" t="str">
        <x:v>GoblinMelee</x:v>
      </x:c>
      <x:c r="G134" s="54" t="n">
        <x:v>10</x:v>
      </x:c>
    </x:row>
    <x:row r="135">
      <x:c r="A135" s="45" t="str">
        <x:v>Stage01</x:v>
      </x:c>
      <x:c r="B135" s="45" t="str">
        <x:v>WAVE_12</x:v>
      </x:c>
      <x:c r="C135" s="51" t="n">
        <x:v>119.12</x:v>
      </x:c>
      <x:c r="D135" s="54" t="n">
        <x:v>18</x:v>
      </x:c>
      <x:c r="E135" s="45" t="str">
        <x:v>RIGHT_04</x:v>
      </x:c>
      <x:c r="F135" s="45" t="str">
        <x:v>GoblinRanged</x:v>
      </x:c>
      <x:c r="G135" s="54" t="n">
        <x:v>10</x:v>
      </x:c>
    </x:row>
    <x:row r="136">
      <x:c r="A136" s="45" t="str">
        <x:v>Stage01</x:v>
      </x:c>
      <x:c r="B136" s="45" t="str">
        <x:v>WAVE_12</x:v>
      </x:c>
      <x:c r="C136" s="51" t="n">
        <x:v>119.6</x:v>
      </x:c>
      <x:c r="D136" s="54" t="n">
        <x:v>19</x:v>
      </x:c>
      <x:c r="E136" s="45" t="str">
        <x:v>BOTTOM_05</x:v>
      </x:c>
      <x:c r="F136" s="45" t="str">
        <x:v>GoblinMelee</x:v>
      </x:c>
      <x:c r="G136" s="54" t="n">
        <x:v>10</x:v>
      </x:c>
    </x:row>
    <x:row r="137">
      <x:c r="A137" s="45" t="str">
        <x:v>Stage01</x:v>
      </x:c>
      <x:c r="B137" s="45" t="str">
        <x:v>WAVE_13</x:v>
      </x:c>
      <x:c r="C137" s="51" t="n">
        <x:v>121</x:v>
      </x:c>
      <x:c r="D137" s="54" t="n">
        <x:v>1</x:v>
      </x:c>
      <x:c r="E137" s="45" t="str">
        <x:v>BOTTOM_08</x:v>
      </x:c>
      <x:c r="F137" s="45" t="str">
        <x:v>GoblinMelee</x:v>
      </x:c>
      <x:c r="G137" s="54" t="n">
        <x:v>10</x:v>
      </x:c>
    </x:row>
    <x:row r="138">
      <x:c r="A138" s="45" t="str">
        <x:v>Stage01</x:v>
      </x:c>
      <x:c r="B138" s="45" t="str">
        <x:v>WAVE_13</x:v>
      </x:c>
      <x:c r="C138" s="51" t="n">
        <x:v>121.45</x:v>
      </x:c>
      <x:c r="D138" s="54" t="n">
        <x:v>2</x:v>
      </x:c>
      <x:c r="E138" s="45" t="str">
        <x:v>LEFT_01</x:v>
      </x:c>
      <x:c r="F138" s="45" t="str">
        <x:v>GoblinMelee</x:v>
      </x:c>
      <x:c r="G138" s="54" t="n">
        <x:v>11</x:v>
      </x:c>
    </x:row>
    <x:row r="139">
      <x:c r="A139" s="45" t="str">
        <x:v>Stage01</x:v>
      </x:c>
      <x:c r="B139" s="45" t="str">
        <x:v>WAVE_13</x:v>
      </x:c>
      <x:c r="C139" s="51" t="n">
        <x:v>121.91</x:v>
      </x:c>
      <x:c r="D139" s="54" t="n">
        <x:v>3</x:v>
      </x:c>
      <x:c r="E139" s="45" t="str">
        <x:v>TOP_03</x:v>
      </x:c>
      <x:c r="F139" s="45" t="str">
        <x:v>GoblinRanged</x:v>
      </x:c>
      <x:c r="G139" s="54" t="n">
        <x:v>10</x:v>
      </x:c>
    </x:row>
    <x:row r="140">
      <x:c r="A140" s="45" t="str">
        <x:v>Stage01</x:v>
      </x:c>
      <x:c r="B140" s="45" t="str">
        <x:v>WAVE_13</x:v>
      </x:c>
      <x:c r="C140" s="51" t="n">
        <x:v>122.36</x:v>
      </x:c>
      <x:c r="D140" s="54" t="n">
        <x:v>4</x:v>
      </x:c>
      <x:c r="E140" s="45" t="str">
        <x:v>RIGHT_04</x:v>
      </x:c>
      <x:c r="F140" s="45" t="str">
        <x:v>GoblinMelee</x:v>
      </x:c>
      <x:c r="G140" s="54" t="n">
        <x:v>11</x:v>
      </x:c>
    </x:row>
    <x:row r="141">
      <x:c r="A141" s="45" t="str">
        <x:v>Stage01</x:v>
      </x:c>
      <x:c r="B141" s="45" t="str">
        <x:v>WAVE_13</x:v>
      </x:c>
      <x:c r="C141" s="51" t="n">
        <x:v>122.81</x:v>
      </x:c>
      <x:c r="D141" s="54" t="n">
        <x:v>5</x:v>
      </x:c>
      <x:c r="E141" s="45" t="str">
        <x:v>BOTTOM_05</x:v>
      </x:c>
      <x:c r="F141" s="45" t="str">
        <x:v>GoblinMelee</x:v>
      </x:c>
      <x:c r="G141" s="54" t="n">
        <x:v>10</x:v>
      </x:c>
    </x:row>
    <x:row r="142">
      <x:c r="A142" s="45" t="str">
        <x:v>Stage01</x:v>
      </x:c>
      <x:c r="B142" s="45" t="str">
        <x:v>WAVE_13</x:v>
      </x:c>
      <x:c r="C142" s="51" t="n">
        <x:v>123.26</x:v>
      </x:c>
      <x:c r="D142" s="54" t="n">
        <x:v>6</x:v>
      </x:c>
      <x:c r="E142" s="45" t="str">
        <x:v>LEFT_06</x:v>
      </x:c>
      <x:c r="F142" s="45" t="str">
        <x:v>GoblinMelee</x:v>
      </x:c>
      <x:c r="G142" s="54" t="n">
        <x:v>10</x:v>
      </x:c>
    </x:row>
    <x:row r="143">
      <x:c r="A143" s="45" t="str">
        <x:v>Stage01</x:v>
      </x:c>
      <x:c r="B143" s="45" t="str">
        <x:v>WAVE_13</x:v>
      </x:c>
      <x:c r="C143" s="51" t="n">
        <x:v>123.72</x:v>
      </x:c>
      <x:c r="D143" s="54" t="n">
        <x:v>7</x:v>
      </x:c>
      <x:c r="E143" s="45" t="str">
        <x:v>TOP_08</x:v>
      </x:c>
      <x:c r="F143" s="45" t="str">
        <x:v>GoblinRanged</x:v>
      </x:c>
      <x:c r="G143" s="54" t="n">
        <x:v>11</x:v>
      </x:c>
    </x:row>
    <x:row r="144">
      <x:c r="A144" s="45" t="str">
        <x:v>Stage01</x:v>
      </x:c>
      <x:c r="B144" s="45" t="str">
        <x:v>WAVE_13</x:v>
      </x:c>
      <x:c r="C144" s="51" t="n">
        <x:v>124.17</x:v>
      </x:c>
      <x:c r="D144" s="54" t="n">
        <x:v>8</x:v>
      </x:c>
      <x:c r="E144" s="45" t="str">
        <x:v>RIGHT_01</x:v>
      </x:c>
      <x:c r="F144" s="45" t="str">
        <x:v>GoblinMelee</x:v>
      </x:c>
      <x:c r="G144" s="54" t="n">
        <x:v>10</x:v>
      </x:c>
    </x:row>
    <x:row r="145">
      <x:c r="A145" s="45" t="str">
        <x:v>Stage01</x:v>
      </x:c>
      <x:c r="B145" s="45" t="str">
        <x:v>WAVE_13</x:v>
      </x:c>
      <x:c r="C145" s="51" t="n">
        <x:v>124.62</x:v>
      </x:c>
      <x:c r="D145" s="54" t="n">
        <x:v>9</x:v>
      </x:c>
      <x:c r="E145" s="45" t="str">
        <x:v>BOTTOM_02</x:v>
      </x:c>
      <x:c r="F145" s="45" t="str">
        <x:v>GoblinMelee</x:v>
      </x:c>
      <x:c r="G145" s="54" t="n">
        <x:v>11</x:v>
      </x:c>
    </x:row>
    <x:row r="146">
      <x:c r="A146" s="45" t="str">
        <x:v>Stage01</x:v>
      </x:c>
      <x:c r="B146" s="45" t="str">
        <x:v>WAVE_13</x:v>
      </x:c>
      <x:c r="C146" s="51" t="n">
        <x:v>125.07</x:v>
      </x:c>
      <x:c r="D146" s="54" t="n">
        <x:v>10</x:v>
      </x:c>
      <x:c r="E146" s="45" t="str">
        <x:v>LEFT_03</x:v>
      </x:c>
      <x:c r="F146" s="45" t="str">
        <x:v>GoblinMelee</x:v>
      </x:c>
      <x:c r="G146" s="54" t="n">
        <x:v>10</x:v>
      </x:c>
    </x:row>
    <x:row r="147">
      <x:c r="A147" s="45" t="str">
        <x:v>Stage01</x:v>
      </x:c>
      <x:c r="B147" s="45" t="str">
        <x:v>WAVE_13</x:v>
      </x:c>
      <x:c r="C147" s="51" t="n">
        <x:v>125.53</x:v>
      </x:c>
      <x:c r="D147" s="54" t="n">
        <x:v>11</x:v>
      </x:c>
      <x:c r="E147" s="45" t="str">
        <x:v>TOP_05</x:v>
      </x:c>
      <x:c r="F147" s="45" t="str">
        <x:v>ShieldSkeleton</x:v>
      </x:c>
      <x:c r="G147" s="54" t="n">
        <x:v>10</x:v>
      </x:c>
    </x:row>
    <x:row r="148">
      <x:c r="A148" s="45" t="str">
        <x:v>Stage01</x:v>
      </x:c>
      <x:c r="B148" s="45" t="str">
        <x:v>WAVE_13</x:v>
      </x:c>
      <x:c r="C148" s="51" t="n">
        <x:v>125.98</x:v>
      </x:c>
      <x:c r="D148" s="54" t="n">
        <x:v>12</x:v>
      </x:c>
      <x:c r="E148" s="45" t="str">
        <x:v>RIGHT_06</x:v>
      </x:c>
      <x:c r="F148" s="45" t="str">
        <x:v>GoblinMelee</x:v>
      </x:c>
      <x:c r="G148" s="54" t="n">
        <x:v>11</x:v>
      </x:c>
    </x:row>
    <x:row r="149">
      <x:c r="A149" s="45" t="str">
        <x:v>Stage01</x:v>
      </x:c>
      <x:c r="B149" s="45" t="str">
        <x:v>WAVE_13</x:v>
      </x:c>
      <x:c r="C149" s="51" t="n">
        <x:v>126.43</x:v>
      </x:c>
      <x:c r="D149" s="54" t="n">
        <x:v>13</x:v>
      </x:c>
      <x:c r="E149" s="45" t="str">
        <x:v>BOTTOM_07</x:v>
      </x:c>
      <x:c r="F149" s="45" t="str">
        <x:v>GoblinMelee</x:v>
      </x:c>
      <x:c r="G149" s="54" t="n">
        <x:v>10</x:v>
      </x:c>
    </x:row>
    <x:row r="150">
      <x:c r="A150" s="45" t="str">
        <x:v>Stage01</x:v>
      </x:c>
      <x:c r="B150" s="45" t="str">
        <x:v>WAVE_13</x:v>
      </x:c>
      <x:c r="C150" s="51" t="n">
        <x:v>126.88</x:v>
      </x:c>
      <x:c r="D150" s="54" t="n">
        <x:v>14</x:v>
      </x:c>
      <x:c r="E150" s="45" t="str">
        <x:v>LEFT_08</x:v>
      </x:c>
      <x:c r="F150" s="45" t="str">
        <x:v>GoblinRanged</x:v>
      </x:c>
      <x:c r="G150" s="54" t="n">
        <x:v>11</x:v>
      </x:c>
    </x:row>
    <x:row r="151">
      <x:c r="A151" s="45" t="str">
        <x:v>Stage01</x:v>
      </x:c>
      <x:c r="B151" s="45" t="str">
        <x:v>WAVE_13</x:v>
      </x:c>
      <x:c r="C151" s="51" t="n">
        <x:v>127.34</x:v>
      </x:c>
      <x:c r="D151" s="54" t="n">
        <x:v>15</x:v>
      </x:c>
      <x:c r="E151" s="45" t="str">
        <x:v>TOP_02</x:v>
      </x:c>
      <x:c r="F151" s="45" t="str">
        <x:v>GoblinMelee</x:v>
      </x:c>
      <x:c r="G151" s="54" t="n">
        <x:v>10</x:v>
      </x:c>
    </x:row>
    <x:row r="152">
      <x:c r="A152" s="45" t="str">
        <x:v>Stage01</x:v>
      </x:c>
      <x:c r="B152" s="45" t="str">
        <x:v>WAVE_13</x:v>
      </x:c>
      <x:c r="C152" s="51" t="n">
        <x:v>127.79</x:v>
      </x:c>
      <x:c r="D152" s="54" t="n">
        <x:v>16</x:v>
      </x:c>
      <x:c r="E152" s="45" t="str">
        <x:v>RIGHT_03</x:v>
      </x:c>
      <x:c r="F152" s="45" t="str">
        <x:v>GoblinMelee</x:v>
      </x:c>
      <x:c r="G152" s="54" t="n">
        <x:v>10</x:v>
      </x:c>
    </x:row>
    <x:row r="153">
      <x:c r="A153" s="45" t="str">
        <x:v>Stage01</x:v>
      </x:c>
      <x:c r="B153" s="45" t="str">
        <x:v>WAVE_13</x:v>
      </x:c>
      <x:c r="C153" s="51" t="n">
        <x:v>128.24</x:v>
      </x:c>
      <x:c r="D153" s="54" t="n">
        <x:v>17</x:v>
      </x:c>
      <x:c r="E153" s="45" t="str">
        <x:v>BOTTOM_04</x:v>
      </x:c>
      <x:c r="F153" s="45" t="str">
        <x:v>GoblinMelee</x:v>
      </x:c>
      <x:c r="G153" s="54" t="n">
        <x:v>11</x:v>
      </x:c>
    </x:row>
    <x:row r="154">
      <x:c r="A154" s="45" t="str">
        <x:v>Stage01</x:v>
      </x:c>
      <x:c r="B154" s="45" t="str">
        <x:v>WAVE_13</x:v>
      </x:c>
      <x:c r="C154" s="51" t="n">
        <x:v>128.69</x:v>
      </x:c>
      <x:c r="D154" s="54" t="n">
        <x:v>18</x:v>
      </x:c>
      <x:c r="E154" s="45" t="str">
        <x:v>LEFT_05</x:v>
      </x:c>
      <x:c r="F154" s="45" t="str">
        <x:v>GoblinRanged</x:v>
      </x:c>
      <x:c r="G154" s="54" t="n">
        <x:v>10</x:v>
      </x:c>
    </x:row>
    <x:row r="155">
      <x:c r="A155" s="45" t="str">
        <x:v>Stage01</x:v>
      </x:c>
      <x:c r="B155" s="45" t="str">
        <x:v>WAVE_13</x:v>
      </x:c>
      <x:c r="C155" s="51" t="n">
        <x:v>129.15</x:v>
      </x:c>
      <x:c r="D155" s="54" t="n">
        <x:v>19</x:v>
      </x:c>
      <x:c r="E155" s="45" t="str">
        <x:v>TOP_07</x:v>
      </x:c>
      <x:c r="F155" s="45" t="str">
        <x:v>GoblinMelee</x:v>
      </x:c>
      <x:c r="G155" s="54" t="n">
        <x:v>11</x:v>
      </x:c>
    </x:row>
    <x:row r="156">
      <x:c r="A156" s="45" t="str">
        <x:v>Stage01</x:v>
      </x:c>
      <x:c r="B156" s="45" t="str">
        <x:v>WAVE_13</x:v>
      </x:c>
      <x:c r="C156" s="51" t="n">
        <x:v>129.6</x:v>
      </x:c>
      <x:c r="D156" s="54" t="n">
        <x:v>20</x:v>
      </x:c>
      <x:c r="E156" s="45" t="str">
        <x:v>RIGHT_08</x:v>
      </x:c>
      <x:c r="F156" s="45" t="str">
        <x:v>GoblinMelee</x:v>
      </x:c>
      <x:c r="G156" s="54" t="n">
        <x:v>10</x:v>
      </x:c>
    </x:row>
    <x:row r="157">
      <x:c r="A157" s="45" t="str">
        <x:v>Stage01</x:v>
      </x:c>
      <x:c r="B157" s="45" t="str">
        <x:v>WAVE_14</x:v>
      </x:c>
      <x:c r="C157" s="51" t="n">
        <x:v>131</x:v>
      </x:c>
      <x:c r="D157" s="54" t="n">
        <x:v>1</x:v>
      </x:c>
      <x:c r="E157" s="45" t="str">
        <x:v>RIGHT_03</x:v>
      </x:c>
      <x:c r="F157" s="45" t="str">
        <x:v>GoblinMelee</x:v>
      </x:c>
      <x:c r="G157" s="54" t="n">
        <x:v>11</x:v>
      </x:c>
    </x:row>
    <x:row r="158">
      <x:c r="A158" s="45" t="str">
        <x:v>Stage01</x:v>
      </x:c>
      <x:c r="B158" s="45" t="str">
        <x:v>WAVE_14</x:v>
      </x:c>
      <x:c r="C158" s="51" t="n">
        <x:v>131.43</x:v>
      </x:c>
      <x:c r="D158" s="54" t="n">
        <x:v>2</x:v>
      </x:c>
      <x:c r="E158" s="45" t="str">
        <x:v>BOTTOM_04</x:v>
      </x:c>
      <x:c r="F158" s="45" t="str">
        <x:v>GoblinMelee</x:v>
      </x:c>
      <x:c r="G158" s="54" t="n">
        <x:v>12</x:v>
      </x:c>
    </x:row>
    <x:row r="159">
      <x:c r="A159" s="45" t="str">
        <x:v>Stage01</x:v>
      </x:c>
      <x:c r="B159" s="45" t="str">
        <x:v>WAVE_14</x:v>
      </x:c>
      <x:c r="C159" s="51" t="n">
        <x:v>131.86</x:v>
      </x:c>
      <x:c r="D159" s="54" t="n">
        <x:v>3</x:v>
      </x:c>
      <x:c r="E159" s="45" t="str">
        <x:v>LEFT_05</x:v>
      </x:c>
      <x:c r="F159" s="45" t="str">
        <x:v>GoblinRanged</x:v>
      </x:c>
      <x:c r="G159" s="54" t="n">
        <x:v>11</x:v>
      </x:c>
    </x:row>
    <x:row r="160">
      <x:c r="A160" s="45" t="str">
        <x:v>Stage01</x:v>
      </x:c>
      <x:c r="B160" s="45" t="str">
        <x:v>WAVE_14</x:v>
      </x:c>
      <x:c r="C160" s="51" t="n">
        <x:v>132.29</x:v>
      </x:c>
      <x:c r="D160" s="54" t="n">
        <x:v>4</x:v>
      </x:c>
      <x:c r="E160" s="45" t="str">
        <x:v>TOP_07</x:v>
      </x:c>
      <x:c r="F160" s="45" t="str">
        <x:v>GoblinMelee</x:v>
      </x:c>
      <x:c r="G160" s="54" t="n">
        <x:v>12</x:v>
      </x:c>
    </x:row>
    <x:row r="161">
      <x:c r="A161" s="45" t="str">
        <x:v>Stage01</x:v>
      </x:c>
      <x:c r="B161" s="45" t="str">
        <x:v>WAVE_14</x:v>
      </x:c>
      <x:c r="C161" s="51" t="n">
        <x:v>132.72</x:v>
      </x:c>
      <x:c r="D161" s="54" t="n">
        <x:v>5</x:v>
      </x:c>
      <x:c r="E161" s="45" t="str">
        <x:v>RIGHT_08</x:v>
      </x:c>
      <x:c r="F161" s="45" t="str">
        <x:v>GoblinMelee</x:v>
      </x:c>
      <x:c r="G161" s="54" t="n">
        <x:v>11</x:v>
      </x:c>
    </x:row>
    <x:row r="162">
      <x:c r="A162" s="45" t="str">
        <x:v>Stage01</x:v>
      </x:c>
      <x:c r="B162" s="45" t="str">
        <x:v>WAVE_14</x:v>
      </x:c>
      <x:c r="C162" s="51" t="n">
        <x:v>133.15</x:v>
      </x:c>
      <x:c r="D162" s="54" t="n">
        <x:v>6</x:v>
      </x:c>
      <x:c r="E162" s="45" t="str">
        <x:v>BOTTOM_01</x:v>
      </x:c>
      <x:c r="F162" s="45" t="str">
        <x:v>ShieldSkeleton</x:v>
      </x:c>
      <x:c r="G162" s="54" t="n">
        <x:v>12</x:v>
      </x:c>
    </x:row>
    <x:row r="163">
      <x:c r="A163" s="45" t="str">
        <x:v>Stage01</x:v>
      </x:c>
      <x:c r="B163" s="45" t="str">
        <x:v>WAVE_14</x:v>
      </x:c>
      <x:c r="C163" s="51" t="n">
        <x:v>133.58</x:v>
      </x:c>
      <x:c r="D163" s="54" t="n">
        <x:v>7</x:v>
      </x:c>
      <x:c r="E163" s="45" t="str">
        <x:v>LEFT_02</x:v>
      </x:c>
      <x:c r="F163" s="45" t="str">
        <x:v>GoblinMelee</x:v>
      </x:c>
      <x:c r="G163" s="54" t="n">
        <x:v>11</x:v>
      </x:c>
    </x:row>
    <x:row r="164">
      <x:c r="A164" s="45" t="str">
        <x:v>Stage01</x:v>
      </x:c>
      <x:c r="B164" s="45" t="str">
        <x:v>WAVE_14</x:v>
      </x:c>
      <x:c r="C164" s="51" t="n">
        <x:v>134.01</x:v>
      </x:c>
      <x:c r="D164" s="54" t="n">
        <x:v>8</x:v>
      </x:c>
      <x:c r="E164" s="45" t="str">
        <x:v>TOP_04</x:v>
      </x:c>
      <x:c r="F164" s="45" t="str">
        <x:v>GoblinMelee</x:v>
      </x:c>
      <x:c r="G164" s="54" t="n">
        <x:v>11</x:v>
      </x:c>
    </x:row>
    <x:row r="165">
      <x:c r="A165" s="45" t="str">
        <x:v>Stage01</x:v>
      </x:c>
      <x:c r="B165" s="45" t="str">
        <x:v>WAVE_14</x:v>
      </x:c>
      <x:c r="C165" s="51" t="n">
        <x:v>134.44</x:v>
      </x:c>
      <x:c r="D165" s="54" t="n">
        <x:v>9</x:v>
      </x:c>
      <x:c r="E165" s="45" t="str">
        <x:v>RIGHT_05</x:v>
      </x:c>
      <x:c r="F165" s="45" t="str">
        <x:v>GoblinRanged</x:v>
      </x:c>
      <x:c r="G165" s="54" t="n">
        <x:v>12</x:v>
      </x:c>
    </x:row>
    <x:row r="166">
      <x:c r="A166" s="45" t="str">
        <x:v>Stage01</x:v>
      </x:c>
      <x:c r="B166" s="45" t="str">
        <x:v>WAVE_14</x:v>
      </x:c>
      <x:c r="C166" s="51" t="n">
        <x:v>134.87</x:v>
      </x:c>
      <x:c r="D166" s="54" t="n">
        <x:v>10</x:v>
      </x:c>
      <x:c r="E166" s="45" t="str">
        <x:v>BOTTOM_06</x:v>
      </x:c>
      <x:c r="F166" s="45" t="str">
        <x:v>GoblinMelee</x:v>
      </x:c>
      <x:c r="G166" s="54" t="n">
        <x:v>11</x:v>
      </x:c>
    </x:row>
    <x:row r="167">
      <x:c r="A167" s="45" t="str">
        <x:v>Stage01</x:v>
      </x:c>
      <x:c r="B167" s="45" t="str">
        <x:v>WAVE_14</x:v>
      </x:c>
      <x:c r="C167" s="51" t="n">
        <x:v>135.3</x:v>
      </x:c>
      <x:c r="D167" s="54" t="n">
        <x:v>11</x:v>
      </x:c>
      <x:c r="E167" s="45" t="str">
        <x:v>LEFT_07</x:v>
      </x:c>
      <x:c r="F167" s="45" t="str">
        <x:v>GoblinMelee</x:v>
      </x:c>
      <x:c r="G167" s="54" t="n">
        <x:v>12</x:v>
      </x:c>
    </x:row>
    <x:row r="168">
      <x:c r="A168" s="45" t="str">
        <x:v>Stage01</x:v>
      </x:c>
      <x:c r="B168" s="45" t="str">
        <x:v>WAVE_14</x:v>
      </x:c>
      <x:c r="C168" s="51" t="n">
        <x:v>135.73</x:v>
      </x:c>
      <x:c r="D168" s="54" t="n">
        <x:v>12</x:v>
      </x:c>
      <x:c r="E168" s="45" t="str">
        <x:v>TOP_01</x:v>
      </x:c>
      <x:c r="F168" s="45" t="str">
        <x:v>GoblinMelee</x:v>
      </x:c>
      <x:c r="G168" s="54" t="n">
        <x:v>11</x:v>
      </x:c>
    </x:row>
    <x:row r="169">
      <x:c r="A169" s="45" t="str">
        <x:v>Stage01</x:v>
      </x:c>
      <x:c r="B169" s="45" t="str">
        <x:v>WAVE_14</x:v>
      </x:c>
      <x:c r="C169" s="51" t="n">
        <x:v>136.16</x:v>
      </x:c>
      <x:c r="D169" s="54" t="n">
        <x:v>13</x:v>
      </x:c>
      <x:c r="E169" s="45" t="str">
        <x:v>RIGHT_02</x:v>
      </x:c>
      <x:c r="F169" s="45" t="str">
        <x:v>GoblinRanged</x:v>
      </x:c>
      <x:c r="G169" s="54" t="n">
        <x:v>12</x:v>
      </x:c>
    </x:row>
    <x:row r="170">
      <x:c r="A170" s="45" t="str">
        <x:v>Stage01</x:v>
      </x:c>
      <x:c r="B170" s="45" t="str">
        <x:v>WAVE_14</x:v>
      </x:c>
      <x:c r="C170" s="51" t="n">
        <x:v>136.59</x:v>
      </x:c>
      <x:c r="D170" s="54" t="n">
        <x:v>14</x:v>
      </x:c>
      <x:c r="E170" s="45" t="str">
        <x:v>BOTTOM_03</x:v>
      </x:c>
      <x:c r="F170" s="45" t="str">
        <x:v>GoblinMelee</x:v>
      </x:c>
      <x:c r="G170" s="54" t="n">
        <x:v>11</x:v>
      </x:c>
    </x:row>
    <x:row r="171">
      <x:c r="A171" s="45" t="str">
        <x:v>Stage01</x:v>
      </x:c>
      <x:c r="B171" s="45" t="str">
        <x:v>WAVE_14</x:v>
      </x:c>
      <x:c r="C171" s="51" t="n">
        <x:v>137.02</x:v>
      </x:c>
      <x:c r="D171" s="54" t="n">
        <x:v>15</x:v>
      </x:c>
      <x:c r="E171" s="45" t="str">
        <x:v>LEFT_04</x:v>
      </x:c>
      <x:c r="F171" s="45" t="str">
        <x:v>GoblinMelee</x:v>
      </x:c>
      <x:c r="G171" s="54" t="n">
        <x:v>11</x:v>
      </x:c>
    </x:row>
    <x:row r="172">
      <x:c r="A172" s="45" t="str">
        <x:v>Stage01</x:v>
      </x:c>
      <x:c r="B172" s="45" t="str">
        <x:v>WAVE_14</x:v>
      </x:c>
      <x:c r="C172" s="51" t="n">
        <x:v>137.45</x:v>
      </x:c>
      <x:c r="D172" s="54" t="n">
        <x:v>16</x:v>
      </x:c>
      <x:c r="E172" s="45" t="str">
        <x:v>TOP_06</x:v>
      </x:c>
      <x:c r="F172" s="45" t="str">
        <x:v>ShieldSkeleton</x:v>
      </x:c>
      <x:c r="G172" s="54" t="n">
        <x:v>12</x:v>
      </x:c>
    </x:row>
    <x:row r="173">
      <x:c r="A173" s="45" t="str">
        <x:v>Stage01</x:v>
      </x:c>
      <x:c r="B173" s="45" t="str">
        <x:v>WAVE_14</x:v>
      </x:c>
      <x:c r="C173" s="51" t="n">
        <x:v>137.88</x:v>
      </x:c>
      <x:c r="D173" s="54" t="n">
        <x:v>17</x:v>
      </x:c>
      <x:c r="E173" s="45" t="str">
        <x:v>RIGHT_07</x:v>
      </x:c>
      <x:c r="F173" s="45" t="str">
        <x:v>GoblinMelee</x:v>
      </x:c>
      <x:c r="G173" s="54" t="n">
        <x:v>11</x:v>
      </x:c>
    </x:row>
    <x:row r="174">
      <x:c r="A174" s="45" t="str">
        <x:v>Stage01</x:v>
      </x:c>
      <x:c r="B174" s="45" t="str">
        <x:v>WAVE_14</x:v>
      </x:c>
      <x:c r="C174" s="51" t="n">
        <x:v>138.31</x:v>
      </x:c>
      <x:c r="D174" s="54" t="n">
        <x:v>18</x:v>
      </x:c>
      <x:c r="E174" s="45" t="str">
        <x:v>BOTTOM_08</x:v>
      </x:c>
      <x:c r="F174" s="45" t="str">
        <x:v>GoblinMelee</x:v>
      </x:c>
      <x:c r="G174" s="54" t="n">
        <x:v>12</x:v>
      </x:c>
    </x:row>
    <x:row r="175">
      <x:c r="A175" s="45" t="str">
        <x:v>Stage01</x:v>
      </x:c>
      <x:c r="B175" s="45" t="str">
        <x:v>WAVE_14</x:v>
      </x:c>
      <x:c r="C175" s="51" t="n">
        <x:v>138.74</x:v>
      </x:c>
      <x:c r="D175" s="54" t="n">
        <x:v>19</x:v>
      </x:c>
      <x:c r="E175" s="45" t="str">
        <x:v>LEFT_01</x:v>
      </x:c>
      <x:c r="F175" s="45" t="str">
        <x:v>GoblinRanged</x:v>
      </x:c>
      <x:c r="G175" s="54" t="n">
        <x:v>11</x:v>
      </x:c>
    </x:row>
    <x:row r="176">
      <x:c r="A176" s="45" t="str">
        <x:v>Stage01</x:v>
      </x:c>
      <x:c r="B176" s="45" t="str">
        <x:v>WAVE_14</x:v>
      </x:c>
      <x:c r="C176" s="51" t="n">
        <x:v>139.17</x:v>
      </x:c>
      <x:c r="D176" s="54" t="n">
        <x:v>20</x:v>
      </x:c>
      <x:c r="E176" s="45" t="str">
        <x:v>TOP_03</x:v>
      </x:c>
      <x:c r="F176" s="45" t="str">
        <x:v>GoblinMelee</x:v>
      </x:c>
      <x:c r="G176" s="54" t="n">
        <x:v>12</x:v>
      </x:c>
    </x:row>
    <x:row r="177">
      <x:c r="A177" s="45" t="str">
        <x:v>Stage01</x:v>
      </x:c>
      <x:c r="B177" s="45" t="str">
        <x:v>WAVE_14</x:v>
      </x:c>
      <x:c r="C177" s="51" t="n">
        <x:v>139.6</x:v>
      </x:c>
      <x:c r="D177" s="54" t="n">
        <x:v>21</x:v>
      </x:c>
      <x:c r="E177" s="45" t="str">
        <x:v>RIGHT_04</x:v>
      </x:c>
      <x:c r="F177" s="45" t="str">
        <x:v>GoblinMelee</x:v>
      </x:c>
      <x:c r="G177" s="54" t="n">
        <x:v>11</x:v>
      </x:c>
    </x:row>
    <x:row r="178">
      <x:c r="A178" s="45" t="str">
        <x:v>Stage01</x:v>
      </x:c>
      <x:c r="B178" s="45" t="str">
        <x:v>WAVE_15</x:v>
      </x:c>
      <x:c r="C178" s="51" t="n">
        <x:v>141</x:v>
      </x:c>
      <x:c r="D178" s="54" t="n">
        <x:v>1</x:v>
      </x:c>
      <x:c r="E178" s="45" t="str">
        <x:v>RIGHT_07</x:v>
      </x:c>
      <x:c r="F178" s="45" t="str">
        <x:v>GoblinMelee</x:v>
      </x:c>
      <x:c r="G178" s="54" t="n">
        <x:v>12</x:v>
      </x:c>
    </x:row>
    <x:row r="179">
      <x:c r="A179" s="45" t="str">
        <x:v>Stage01</x:v>
      </x:c>
      <x:c r="B179" s="45" t="str">
        <x:v>WAVE_15</x:v>
      </x:c>
      <x:c r="C179" s="51" t="n">
        <x:v>141.39</x:v>
      </x:c>
      <x:c r="D179" s="54" t="n">
        <x:v>2</x:v>
      </x:c>
      <x:c r="E179" s="45" t="str">
        <x:v>BOTTOM_08</x:v>
      </x:c>
      <x:c r="F179" s="45" t="str">
        <x:v>GoblinRanged</x:v>
      </x:c>
      <x:c r="G179" s="54" t="n">
        <x:v>13</x:v>
      </x:c>
    </x:row>
    <x:row r="180">
      <x:c r="A180" s="45" t="str">
        <x:v>Stage01</x:v>
      </x:c>
      <x:c r="B180" s="45" t="str">
        <x:v>WAVE_15</x:v>
      </x:c>
      <x:c r="C180" s="51" t="n">
        <x:v>141.78</x:v>
      </x:c>
      <x:c r="D180" s="54" t="n">
        <x:v>3</x:v>
      </x:c>
      <x:c r="E180" s="45" t="str">
        <x:v>LEFT_01</x:v>
      </x:c>
      <x:c r="F180" s="45" t="str">
        <x:v>GoblinMelee</x:v>
      </x:c>
      <x:c r="G180" s="54" t="n">
        <x:v>12</x:v>
      </x:c>
    </x:row>
    <x:row r="181">
      <x:c r="A181" s="45" t="str">
        <x:v>Stage01</x:v>
      </x:c>
      <x:c r="B181" s="45" t="str">
        <x:v>WAVE_15</x:v>
      </x:c>
      <x:c r="C181" s="51" t="n">
        <x:v>142.17</x:v>
      </x:c>
      <x:c r="D181" s="54" t="n">
        <x:v>4</x:v>
      </x:c>
      <x:c r="E181" s="45" t="str">
        <x:v>TOP_03</x:v>
      </x:c>
      <x:c r="F181" s="45" t="str">
        <x:v>GoblinMelee</x:v>
      </x:c>
      <x:c r="G181" s="54" t="n">
        <x:v>13</x:v>
      </x:c>
    </x:row>
    <x:row r="182">
      <x:c r="A182" s="45" t="str">
        <x:v>Stage01</x:v>
      </x:c>
      <x:c r="B182" s="45" t="str">
        <x:v>WAVE_15</x:v>
      </x:c>
      <x:c r="C182" s="51" t="n">
        <x:v>142.56</x:v>
      </x:c>
      <x:c r="D182" s="54" t="n">
        <x:v>5</x:v>
      </x:c>
      <x:c r="E182" s="45" t="str">
        <x:v>RIGHT_04</x:v>
      </x:c>
      <x:c r="F182" s="45" t="str">
        <x:v>GoblinMelee</x:v>
      </x:c>
      <x:c r="G182" s="54" t="n">
        <x:v>12</x:v>
      </x:c>
    </x:row>
    <x:row r="183">
      <x:c r="A183" s="45" t="str">
        <x:v>Stage01</x:v>
      </x:c>
      <x:c r="B183" s="45" t="str">
        <x:v>WAVE_15</x:v>
      </x:c>
      <x:c r="C183" s="51" t="n">
        <x:v>142.95</x:v>
      </x:c>
      <x:c r="D183" s="54" t="n">
        <x:v>6</x:v>
      </x:c>
      <x:c r="E183" s="45" t="str">
        <x:v>BOTTOM_05</x:v>
      </x:c>
      <x:c r="F183" s="45" t="str">
        <x:v>ShieldSkeleton</x:v>
      </x:c>
      <x:c r="G183" s="54" t="n">
        <x:v>13</x:v>
      </x:c>
    </x:row>
    <x:row r="184">
      <x:c r="A184" s="45" t="str">
        <x:v>Stage01</x:v>
      </x:c>
      <x:c r="B184" s="45" t="str">
        <x:v>WAVE_15</x:v>
      </x:c>
      <x:c r="C184" s="51" t="n">
        <x:v>143.35</x:v>
      </x:c>
      <x:c r="D184" s="54" t="n">
        <x:v>7</x:v>
      </x:c>
      <x:c r="E184" s="45" t="str">
        <x:v>LEFT_06</x:v>
      </x:c>
      <x:c r="F184" s="45" t="str">
        <x:v>GoblinMelee</x:v>
      </x:c>
      <x:c r="G184" s="54" t="n">
        <x:v>12</x:v>
      </x:c>
    </x:row>
    <x:row r="185">
      <x:c r="A185" s="45" t="str">
        <x:v>Stage01</x:v>
      </x:c>
      <x:c r="B185" s="45" t="str">
        <x:v>WAVE_15</x:v>
      </x:c>
      <x:c r="C185" s="51" t="n">
        <x:v>143.74</x:v>
      </x:c>
      <x:c r="D185" s="54" t="n">
        <x:v>8</x:v>
      </x:c>
      <x:c r="E185" s="45" t="str">
        <x:v>TOP_08</x:v>
      </x:c>
      <x:c r="F185" s="45" t="str">
        <x:v>GoblinRanged</x:v>
      </x:c>
      <x:c r="G185" s="54" t="n">
        <x:v>13</x:v>
      </x:c>
    </x:row>
    <x:row r="186">
      <x:c r="A186" s="45" t="str">
        <x:v>Stage01</x:v>
      </x:c>
      <x:c r="B186" s="45" t="str">
        <x:v>WAVE_15</x:v>
      </x:c>
      <x:c r="C186" s="51" t="n">
        <x:v>144.13</x:v>
      </x:c>
      <x:c r="D186" s="54" t="n">
        <x:v>9</x:v>
      </x:c>
      <x:c r="E186" s="45" t="str">
        <x:v>RIGHT_01</x:v>
      </x:c>
      <x:c r="F186" s="45" t="str">
        <x:v>GoblinMelee</x:v>
      </x:c>
      <x:c r="G186" s="54" t="n">
        <x:v>12</x:v>
      </x:c>
    </x:row>
    <x:row r="187">
      <x:c r="A187" s="45" t="str">
        <x:v>Stage01</x:v>
      </x:c>
      <x:c r="B187" s="45" t="str">
        <x:v>WAVE_15</x:v>
      </x:c>
      <x:c r="C187" s="51" t="n">
        <x:v>144.52</x:v>
      </x:c>
      <x:c r="D187" s="54" t="n">
        <x:v>10</x:v>
      </x:c>
      <x:c r="E187" s="45" t="str">
        <x:v>BOTTOM_02</x:v>
      </x:c>
      <x:c r="F187" s="45" t="str">
        <x:v>GoblinMelee</x:v>
      </x:c>
      <x:c r="G187" s="54" t="n">
        <x:v>13</x:v>
      </x:c>
    </x:row>
    <x:row r="188">
      <x:c r="A188" s="45" t="str">
        <x:v>Stage01</x:v>
      </x:c>
      <x:c r="B188" s="45" t="str">
        <x:v>WAVE_15</x:v>
      </x:c>
      <x:c r="C188" s="51" t="n">
        <x:v>144.91</x:v>
      </x:c>
      <x:c r="D188" s="54" t="n">
        <x:v>11</x:v>
      </x:c>
      <x:c r="E188" s="45" t="str">
        <x:v>LEFT_03</x:v>
      </x:c>
      <x:c r="F188" s="45" t="str">
        <x:v>GoblinMelee</x:v>
      </x:c>
      <x:c r="G188" s="54" t="n">
        <x:v>12</x:v>
      </x:c>
    </x:row>
    <x:row r="189">
      <x:c r="A189" s="45" t="str">
        <x:v>Stage01</x:v>
      </x:c>
      <x:c r="B189" s="45" t="str">
        <x:v>WAVE_15</x:v>
      </x:c>
      <x:c r="C189" s="51" t="n">
        <x:v>145.3</x:v>
      </x:c>
      <x:c r="D189" s="54" t="n">
        <x:v>12</x:v>
      </x:c>
      <x:c r="E189" s="45" t="str">
        <x:v>TOP_05</x:v>
      </x:c>
      <x:c r="F189" s="45" t="str">
        <x:v>GoblinRanged</x:v>
      </x:c>
      <x:c r="G189" s="54" t="n">
        <x:v>13</x:v>
      </x:c>
    </x:row>
    <x:row r="190">
      <x:c r="A190" s="45" t="str">
        <x:v>Stage01</x:v>
      </x:c>
      <x:c r="B190" s="45" t="str">
        <x:v>WAVE_15</x:v>
      </x:c>
      <x:c r="C190" s="51" t="n">
        <x:v>145.69</x:v>
      </x:c>
      <x:c r="D190" s="54" t="n">
        <x:v>13</x:v>
      </x:c>
      <x:c r="E190" s="45" t="str">
        <x:v>RIGHT_06</x:v>
      </x:c>
      <x:c r="F190" s="45" t="str">
        <x:v>GoblinMelee</x:v>
      </x:c>
      <x:c r="G190" s="54" t="n">
        <x:v>12</x:v>
      </x:c>
    </x:row>
    <x:row r="191">
      <x:c r="A191" s="45" t="str">
        <x:v>Stage01</x:v>
      </x:c>
      <x:c r="B191" s="45" t="str">
        <x:v>WAVE_15</x:v>
      </x:c>
      <x:c r="C191" s="51" t="n">
        <x:v>146.08</x:v>
      </x:c>
      <x:c r="D191" s="54" t="n">
        <x:v>14</x:v>
      </x:c>
      <x:c r="E191" s="45" t="str">
        <x:v>BOTTOM_07</x:v>
      </x:c>
      <x:c r="F191" s="45" t="str">
        <x:v>GoblinMelee</x:v>
      </x:c>
      <x:c r="G191" s="54" t="n">
        <x:v>13</x:v>
      </x:c>
    </x:row>
    <x:row r="192">
      <x:c r="A192" s="45" t="str">
        <x:v>Stage01</x:v>
      </x:c>
      <x:c r="B192" s="45" t="str">
        <x:v>WAVE_15</x:v>
      </x:c>
      <x:c r="C192" s="51" t="n">
        <x:v>146.47</x:v>
      </x:c>
      <x:c r="D192" s="54" t="n">
        <x:v>15</x:v>
      </x:c>
      <x:c r="E192" s="45" t="str">
        <x:v>LEFT_08</x:v>
      </x:c>
      <x:c r="F192" s="45" t="str">
        <x:v>GoblinMelee</x:v>
      </x:c>
      <x:c r="G192" s="54" t="n">
        <x:v>12</x:v>
      </x:c>
    </x:row>
    <x:row r="193">
      <x:c r="A193" s="45" t="str">
        <x:v>Stage01</x:v>
      </x:c>
      <x:c r="B193" s="45" t="str">
        <x:v>WAVE_15</x:v>
      </x:c>
      <x:c r="C193" s="51" t="n">
        <x:v>146.86</x:v>
      </x:c>
      <x:c r="D193" s="54" t="n">
        <x:v>16</x:v>
      </x:c>
      <x:c r="E193" s="45" t="str">
        <x:v>TOP_02</x:v>
      </x:c>
      <x:c r="F193" s="45" t="str">
        <x:v>GoblinRanged</x:v>
      </x:c>
      <x:c r="G193" s="54" t="n">
        <x:v>13</x:v>
      </x:c>
    </x:row>
    <x:row r="194">
      <x:c r="A194" s="45" t="str">
        <x:v>Stage01</x:v>
      </x:c>
      <x:c r="B194" s="45" t="str">
        <x:v>WAVE_15</x:v>
      </x:c>
      <x:c r="C194" s="51" t="n">
        <x:v>147.25</x:v>
      </x:c>
      <x:c r="D194" s="54" t="n">
        <x:v>17</x:v>
      </x:c>
      <x:c r="E194" s="45" t="str">
        <x:v>RIGHT_03</x:v>
      </x:c>
      <x:c r="F194" s="45" t="str">
        <x:v>GoblinMelee</x:v>
      </x:c>
      <x:c r="G194" s="54" t="n">
        <x:v>12</x:v>
      </x:c>
    </x:row>
    <x:row r="195">
      <x:c r="A195" s="45" t="str">
        <x:v>Stage01</x:v>
      </x:c>
      <x:c r="B195" s="45" t="str">
        <x:v>WAVE_15</x:v>
      </x:c>
      <x:c r="C195" s="51" t="n">
        <x:v>147.65</x:v>
      </x:c>
      <x:c r="D195" s="54" t="n">
        <x:v>18</x:v>
      </x:c>
      <x:c r="E195" s="45" t="str">
        <x:v>BOTTOM_04</x:v>
      </x:c>
      <x:c r="F195" s="45" t="str">
        <x:v>ShieldSkeleton</x:v>
      </x:c>
      <x:c r="G195" s="54" t="n">
        <x:v>13</x:v>
      </x:c>
    </x:row>
    <x:row r="196">
      <x:c r="A196" s="45" t="str">
        <x:v>Stage01</x:v>
      </x:c>
      <x:c r="B196" s="45" t="str">
        <x:v>WAVE_15</x:v>
      </x:c>
      <x:c r="C196" s="51" t="n">
        <x:v>148.04</x:v>
      </x:c>
      <x:c r="D196" s="54" t="n">
        <x:v>19</x:v>
      </x:c>
      <x:c r="E196" s="45" t="str">
        <x:v>LEFT_05</x:v>
      </x:c>
      <x:c r="F196" s="45" t="str">
        <x:v>GoblinMelee</x:v>
      </x:c>
      <x:c r="G196" s="54" t="n">
        <x:v>12</x:v>
      </x:c>
    </x:row>
    <x:row r="197">
      <x:c r="A197" s="45" t="str">
        <x:v>Stage01</x:v>
      </x:c>
      <x:c r="B197" s="45" t="str">
        <x:v>WAVE_15</x:v>
      </x:c>
      <x:c r="C197" s="51" t="n">
        <x:v>148.43</x:v>
      </x:c>
      <x:c r="D197" s="54" t="n">
        <x:v>20</x:v>
      </x:c>
      <x:c r="E197" s="45" t="str">
        <x:v>TOP_07</x:v>
      </x:c>
      <x:c r="F197" s="45" t="str">
        <x:v>GoblinMelee</x:v>
      </x:c>
      <x:c r="G197" s="54" t="n">
        <x:v>13</x:v>
      </x:c>
    </x:row>
    <x:row r="198">
      <x:c r="A198" s="45" t="str">
        <x:v>Stage01</x:v>
      </x:c>
      <x:c r="B198" s="45" t="str">
        <x:v>WAVE_15</x:v>
      </x:c>
      <x:c r="C198" s="51" t="n">
        <x:v>148.82</x:v>
      </x:c>
      <x:c r="D198" s="54" t="n">
        <x:v>21</x:v>
      </x:c>
      <x:c r="E198" s="45" t="str">
        <x:v>RIGHT_08</x:v>
      </x:c>
      <x:c r="F198" s="45" t="str">
        <x:v>GoblinMelee</x:v>
      </x:c>
      <x:c r="G198" s="54" t="n">
        <x:v>12</x:v>
      </x:c>
    </x:row>
    <x:row r="199">
      <x:c r="A199" s="45" t="str">
        <x:v>Stage01</x:v>
      </x:c>
      <x:c r="B199" s="45" t="str">
        <x:v>WAVE_15</x:v>
      </x:c>
      <x:c r="C199" s="51" t="n">
        <x:v>149.21</x:v>
      </x:c>
      <x:c r="D199" s="54" t="n">
        <x:v>22</x:v>
      </x:c>
      <x:c r="E199" s="45" t="str">
        <x:v>BOTTOM_01</x:v>
      </x:c>
      <x:c r="F199" s="45" t="str">
        <x:v>GoblinRanged</x:v>
      </x:c>
      <x:c r="G199" s="54" t="n">
        <x:v>13</x:v>
      </x:c>
    </x:row>
    <x:row r="200">
      <x:c r="A200" s="45" t="str">
        <x:v>Stage01</x:v>
      </x:c>
      <x:c r="B200" s="45" t="str">
        <x:v>WAVE_15</x:v>
      </x:c>
      <x:c r="C200" s="51" t="n">
        <x:v>149.6</x:v>
      </x:c>
      <x:c r="D200" s="54" t="n">
        <x:v>23</x:v>
      </x:c>
      <x:c r="E200" s="45" t="str">
        <x:v>LEFT_02</x:v>
      </x:c>
      <x:c r="F200" s="45" t="str">
        <x:v>GoblinMelee</x:v>
      </x:c>
      <x:c r="G200" s="54" t="n">
        <x:v>12</x:v>
      </x:c>
    </x:row>
    <x:row r="201">
      <x:c r="A201" s="45" t="str">
        <x:v>Stage01</x:v>
      </x:c>
      <x:c r="B201" s="45" t="str">
        <x:v>WAVE_16</x:v>
      </x:c>
      <x:c r="C201" s="51" t="n">
        <x:v>151</x:v>
      </x:c>
      <x:c r="D201" s="54" t="n">
        <x:v>1</x:v>
      </x:c>
      <x:c r="E201" s="45" t="str">
        <x:v>LEFT_05</x:v>
      </x:c>
      <x:c r="F201" s="45" t="str">
        <x:v>GoblinMelee</x:v>
      </x:c>
      <x:c r="G201" s="54" t="n">
        <x:v>13</x:v>
      </x:c>
    </x:row>
    <x:row r="202">
      <x:c r="A202" s="45" t="str">
        <x:v>Stage01</x:v>
      </x:c>
      <x:c r="B202" s="45" t="str">
        <x:v>WAVE_16</x:v>
      </x:c>
      <x:c r="C202" s="51" t="n">
        <x:v>151.37</x:v>
      </x:c>
      <x:c r="D202" s="54" t="n">
        <x:v>2</x:v>
      </x:c>
      <x:c r="E202" s="45" t="str">
        <x:v>TOP_07</x:v>
      </x:c>
      <x:c r="F202" s="45" t="str">
        <x:v>GoblinMelee</x:v>
      </x:c>
      <x:c r="G202" s="54" t="n">
        <x:v>14</x:v>
      </x:c>
    </x:row>
    <x:row r="203">
      <x:c r="A203" s="45" t="str">
        <x:v>Stage01</x:v>
      </x:c>
      <x:c r="B203" s="45" t="str">
        <x:v>WAVE_16</x:v>
      </x:c>
      <x:c r="C203" s="51" t="n">
        <x:v>151.75</x:v>
      </x:c>
      <x:c r="D203" s="54" t="n">
        <x:v>3</x:v>
      </x:c>
      <x:c r="E203" s="45" t="str">
        <x:v>RIGHT_08</x:v>
      </x:c>
      <x:c r="F203" s="45" t="str">
        <x:v>GoblinRanged</x:v>
      </x:c>
      <x:c r="G203" s="54" t="n">
        <x:v>13</x:v>
      </x:c>
    </x:row>
    <x:row r="204">
      <x:c r="A204" s="45" t="str">
        <x:v>Stage01</x:v>
      </x:c>
      <x:c r="B204" s="45" t="str">
        <x:v>WAVE_16</x:v>
      </x:c>
      <x:c r="C204" s="51" t="n">
        <x:v>152.12</x:v>
      </x:c>
      <x:c r="D204" s="54" t="n">
        <x:v>4</x:v>
      </x:c>
      <x:c r="E204" s="45" t="str">
        <x:v>BOTTOM_01</x:v>
      </x:c>
      <x:c r="F204" s="45" t="str">
        <x:v>GoblinMelee</x:v>
      </x:c>
      <x:c r="G204" s="54" t="n">
        <x:v>14</x:v>
      </x:c>
    </x:row>
    <x:row r="205">
      <x:c r="A205" s="45" t="str">
        <x:v>Stage01</x:v>
      </x:c>
      <x:c r="B205" s="45" t="str">
        <x:v>WAVE_16</x:v>
      </x:c>
      <x:c r="C205" s="51" t="n">
        <x:v>152.5</x:v>
      </x:c>
      <x:c r="D205" s="54" t="n">
        <x:v>5</x:v>
      </x:c>
      <x:c r="E205" s="45" t="str">
        <x:v>LEFT_02</x:v>
      </x:c>
      <x:c r="F205" s="45" t="str">
        <x:v>GoblinMelee</x:v>
      </x:c>
      <x:c r="G205" s="54" t="n">
        <x:v>13</x:v>
      </x:c>
    </x:row>
    <x:row r="206">
      <x:c r="A206" s="45" t="str">
        <x:v>Stage01</x:v>
      </x:c>
      <x:c r="B206" s="45" t="str">
        <x:v>WAVE_16</x:v>
      </x:c>
      <x:c r="C206" s="51" t="n">
        <x:v>152.87</x:v>
      </x:c>
      <x:c r="D206" s="54" t="n">
        <x:v>6</x:v>
      </x:c>
      <x:c r="E206" s="45" t="str">
        <x:v>TOP_04</x:v>
      </x:c>
      <x:c r="F206" s="45" t="str">
        <x:v>ShieldSkeleton</x:v>
      </x:c>
      <x:c r="G206" s="54" t="n">
        <x:v>14</x:v>
      </x:c>
    </x:row>
    <x:row r="207">
      <x:c r="A207" s="45" t="str">
        <x:v>Stage01</x:v>
      </x:c>
      <x:c r="B207" s="45" t="str">
        <x:v>WAVE_16</x:v>
      </x:c>
      <x:c r="C207" s="51" t="n">
        <x:v>153.24</x:v>
      </x:c>
      <x:c r="D207" s="54" t="n">
        <x:v>7</x:v>
      </x:c>
      <x:c r="E207" s="45" t="str">
        <x:v>RIGHT_05</x:v>
      </x:c>
      <x:c r="F207" s="45" t="str">
        <x:v>GoblinMelee</x:v>
      </x:c>
      <x:c r="G207" s="54" t="n">
        <x:v>13</x:v>
      </x:c>
    </x:row>
    <x:row r="208">
      <x:c r="A208" s="45" t="str">
        <x:v>Stage01</x:v>
      </x:c>
      <x:c r="B208" s="45" t="str">
        <x:v>WAVE_16</x:v>
      </x:c>
      <x:c r="C208" s="51" t="n">
        <x:v>153.62</x:v>
      </x:c>
      <x:c r="D208" s="54" t="n">
        <x:v>8</x:v>
      </x:c>
      <x:c r="E208" s="45" t="str">
        <x:v>BOTTOM_06</x:v>
      </x:c>
      <x:c r="F208" s="45" t="str">
        <x:v>GoblinMelee</x:v>
      </x:c>
      <x:c r="G208" s="54" t="n">
        <x:v>14</x:v>
      </x:c>
    </x:row>
    <x:row r="209">
      <x:c r="A209" s="45" t="str">
        <x:v>Stage01</x:v>
      </x:c>
      <x:c r="B209" s="45" t="str">
        <x:v>WAVE_16</x:v>
      </x:c>
      <x:c r="C209" s="51" t="n">
        <x:v>153.99</x:v>
      </x:c>
      <x:c r="D209" s="54" t="n">
        <x:v>9</x:v>
      </x:c>
      <x:c r="E209" s="45" t="str">
        <x:v>LEFT_07</x:v>
      </x:c>
      <x:c r="F209" s="45" t="str">
        <x:v>GoblinRanged</x:v>
      </x:c>
      <x:c r="G209" s="54" t="n">
        <x:v>13</x:v>
      </x:c>
    </x:row>
    <x:row r="210">
      <x:c r="A210" s="45" t="str">
        <x:v>Stage01</x:v>
      </x:c>
      <x:c r="B210" s="45" t="str">
        <x:v>WAVE_16</x:v>
      </x:c>
      <x:c r="C210" s="51" t="n">
        <x:v>154.37</x:v>
      </x:c>
      <x:c r="D210" s="54" t="n">
        <x:v>10</x:v>
      </x:c>
      <x:c r="E210" s="45" t="str">
        <x:v>TOP_01</x:v>
      </x:c>
      <x:c r="F210" s="45" t="str">
        <x:v>GoblinMelee</x:v>
      </x:c>
      <x:c r="G210" s="54" t="n">
        <x:v>14</x:v>
      </x:c>
    </x:row>
    <x:row r="211">
      <x:c r="A211" s="45" t="str">
        <x:v>Stage01</x:v>
      </x:c>
      <x:c r="B211" s="45" t="str">
        <x:v>WAVE_16</x:v>
      </x:c>
      <x:c r="C211" s="51" t="n">
        <x:v>154.74</x:v>
      </x:c>
      <x:c r="D211" s="54" t="n">
        <x:v>11</x:v>
      </x:c>
      <x:c r="E211" s="45" t="str">
        <x:v>RIGHT_02</x:v>
      </x:c>
      <x:c r="F211" s="45" t="str">
        <x:v>GoblinMelee</x:v>
      </x:c>
      <x:c r="G211" s="54" t="n">
        <x:v>13</x:v>
      </x:c>
    </x:row>
    <x:row r="212">
      <x:c r="A212" s="45" t="str">
        <x:v>Stage01</x:v>
      </x:c>
      <x:c r="B212" s="45" t="str">
        <x:v>WAVE_16</x:v>
      </x:c>
      <x:c r="C212" s="51" t="n">
        <x:v>155.11</x:v>
      </x:c>
      <x:c r="D212" s="54" t="n">
        <x:v>12</x:v>
      </x:c>
      <x:c r="E212" s="45" t="str">
        <x:v>BOTTOM_03</x:v>
      </x:c>
      <x:c r="F212" s="45" t="str">
        <x:v>GoblinMelee</x:v>
      </x:c>
      <x:c r="G212" s="54" t="n">
        <x:v>14</x:v>
      </x:c>
    </x:row>
    <x:row r="213">
      <x:c r="A213" s="45" t="str">
        <x:v>Stage01</x:v>
      </x:c>
      <x:c r="B213" s="45" t="str">
        <x:v>WAVE_16</x:v>
      </x:c>
      <x:c r="C213" s="51" t="n">
        <x:v>155.49</x:v>
      </x:c>
      <x:c r="D213" s="54" t="n">
        <x:v>13</x:v>
      </x:c>
      <x:c r="E213" s="45" t="str">
        <x:v>LEFT_04</x:v>
      </x:c>
      <x:c r="F213" s="45" t="str">
        <x:v>GoblinRanged</x:v>
      </x:c>
      <x:c r="G213" s="54" t="n">
        <x:v>13</x:v>
      </x:c>
    </x:row>
    <x:row r="214">
      <x:c r="A214" s="45" t="str">
        <x:v>Stage01</x:v>
      </x:c>
      <x:c r="B214" s="45" t="str">
        <x:v>WAVE_16</x:v>
      </x:c>
      <x:c r="C214" s="51" t="n">
        <x:v>155.86</x:v>
      </x:c>
      <x:c r="D214" s="54" t="n">
        <x:v>14</x:v>
      </x:c>
      <x:c r="E214" s="45" t="str">
        <x:v>TOP_06</x:v>
      </x:c>
      <x:c r="F214" s="45" t="str">
        <x:v>GoblinMelee</x:v>
      </x:c>
      <x:c r="G214" s="54" t="n">
        <x:v>14</x:v>
      </x:c>
    </x:row>
    <x:row r="215">
      <x:c r="A215" s="45" t="str">
        <x:v>Stage01</x:v>
      </x:c>
      <x:c r="B215" s="45" t="str">
        <x:v>WAVE_16</x:v>
      </x:c>
      <x:c r="C215" s="51" t="n">
        <x:v>156.23</x:v>
      </x:c>
      <x:c r="D215" s="54" t="n">
        <x:v>15</x:v>
      </x:c>
      <x:c r="E215" s="45" t="str">
        <x:v>RIGHT_07</x:v>
      </x:c>
      <x:c r="F215" s="45" t="str">
        <x:v>GoblinMelee</x:v>
      </x:c>
      <x:c r="G215" s="54" t="n">
        <x:v>13</x:v>
      </x:c>
    </x:row>
    <x:row r="216">
      <x:c r="A216" s="45" t="str">
        <x:v>Stage01</x:v>
      </x:c>
      <x:c r="B216" s="45" t="str">
        <x:v>WAVE_16</x:v>
      </x:c>
      <x:c r="C216" s="51" t="n">
        <x:v>156.61</x:v>
      </x:c>
      <x:c r="D216" s="54" t="n">
        <x:v>16</x:v>
      </x:c>
      <x:c r="E216" s="45" t="str">
        <x:v>BOTTOM_08</x:v>
      </x:c>
      <x:c r="F216" s="45" t="str">
        <x:v>GoblinMelee</x:v>
      </x:c>
      <x:c r="G216" s="54" t="n">
        <x:v>14</x:v>
      </x:c>
    </x:row>
    <x:row r="217">
      <x:c r="A217" s="45" t="str">
        <x:v>Stage01</x:v>
      </x:c>
      <x:c r="B217" s="45" t="str">
        <x:v>WAVE_16</x:v>
      </x:c>
      <x:c r="C217" s="51" t="n">
        <x:v>156.98</x:v>
      </x:c>
      <x:c r="D217" s="54" t="n">
        <x:v>17</x:v>
      </x:c>
      <x:c r="E217" s="45" t="str">
        <x:v>LEFT_01</x:v>
      </x:c>
      <x:c r="F217" s="45" t="str">
        <x:v>GoblinRanged</x:v>
      </x:c>
      <x:c r="G217" s="54" t="n">
        <x:v>13</x:v>
      </x:c>
    </x:row>
    <x:row r="218">
      <x:c r="A218" s="45" t="str">
        <x:v>Stage01</x:v>
      </x:c>
      <x:c r="B218" s="45" t="str">
        <x:v>WAVE_16</x:v>
      </x:c>
      <x:c r="C218" s="51" t="n">
        <x:v>157.36</x:v>
      </x:c>
      <x:c r="D218" s="54" t="n">
        <x:v>18</x:v>
      </x:c>
      <x:c r="E218" s="45" t="str">
        <x:v>TOP_03</x:v>
      </x:c>
      <x:c r="F218" s="45" t="str">
        <x:v>GoblinMelee</x:v>
      </x:c>
      <x:c r="G218" s="54" t="n">
        <x:v>14</x:v>
      </x:c>
    </x:row>
    <x:row r="219">
      <x:c r="A219" s="45" t="str">
        <x:v>Stage01</x:v>
      </x:c>
      <x:c r="B219" s="45" t="str">
        <x:v>WAVE_16</x:v>
      </x:c>
      <x:c r="C219" s="51" t="n">
        <x:v>157.73</x:v>
      </x:c>
      <x:c r="D219" s="54" t="n">
        <x:v>19</x:v>
      </x:c>
      <x:c r="E219" s="45" t="str">
        <x:v>RIGHT_04</x:v>
      </x:c>
      <x:c r="F219" s="45" t="str">
        <x:v>ShieldSkeleton</x:v>
      </x:c>
      <x:c r="G219" s="54" t="n">
        <x:v>13</x:v>
      </x:c>
    </x:row>
    <x:row r="220">
      <x:c r="A220" s="45" t="str">
        <x:v>Stage01</x:v>
      </x:c>
      <x:c r="B220" s="45" t="str">
        <x:v>WAVE_16</x:v>
      </x:c>
      <x:c r="C220" s="51" t="n">
        <x:v>158.1</x:v>
      </x:c>
      <x:c r="D220" s="54" t="n">
        <x:v>20</x:v>
      </x:c>
      <x:c r="E220" s="45" t="str">
        <x:v>BOTTOM_05</x:v>
      </x:c>
      <x:c r="F220" s="45" t="str">
        <x:v>GoblinMelee</x:v>
      </x:c>
      <x:c r="G220" s="54" t="n">
        <x:v>14</x:v>
      </x:c>
    </x:row>
    <x:row r="221">
      <x:c r="A221" s="45" t="str">
        <x:v>Stage01</x:v>
      </x:c>
      <x:c r="B221" s="45" t="str">
        <x:v>WAVE_16</x:v>
      </x:c>
      <x:c r="C221" s="51" t="n">
        <x:v>158.48</x:v>
      </x:c>
      <x:c r="D221" s="54" t="n">
        <x:v>21</x:v>
      </x:c>
      <x:c r="E221" s="45" t="str">
        <x:v>LEFT_06</x:v>
      </x:c>
      <x:c r="F221" s="45" t="str">
        <x:v>GoblinMelee</x:v>
      </x:c>
      <x:c r="G221" s="54" t="n">
        <x:v>13</x:v>
      </x:c>
    </x:row>
    <x:row r="222">
      <x:c r="A222" s="45" t="str">
        <x:v>Stage01</x:v>
      </x:c>
      <x:c r="B222" s="45" t="str">
        <x:v>WAVE_16</x:v>
      </x:c>
      <x:c r="C222" s="51" t="n">
        <x:v>158.85</x:v>
      </x:c>
      <x:c r="D222" s="54" t="n">
        <x:v>22</x:v>
      </x:c>
      <x:c r="E222" s="45" t="str">
        <x:v>TOP_08</x:v>
      </x:c>
      <x:c r="F222" s="45" t="str">
        <x:v>GoblinMelee</x:v>
      </x:c>
      <x:c r="G222" s="54" t="n">
        <x:v>14</x:v>
      </x:c>
    </x:row>
    <x:row r="223">
      <x:c r="A223" s="45" t="str">
        <x:v>Stage01</x:v>
      </x:c>
      <x:c r="B223" s="45" t="str">
        <x:v>WAVE_16</x:v>
      </x:c>
      <x:c r="C223" s="51" t="n">
        <x:v>159.23</x:v>
      </x:c>
      <x:c r="D223" s="54" t="n">
        <x:v>23</x:v>
      </x:c>
      <x:c r="E223" s="45" t="str">
        <x:v>RIGHT_01</x:v>
      </x:c>
      <x:c r="F223" s="45" t="str">
        <x:v>GoblinRanged</x:v>
      </x:c>
      <x:c r="G223" s="54" t="n">
        <x:v>13</x:v>
      </x:c>
    </x:row>
    <x:row r="224">
      <x:c r="A224" s="45" t="str">
        <x:v>Stage01</x:v>
      </x:c>
      <x:c r="B224" s="45" t="str">
        <x:v>WAVE_16</x:v>
      </x:c>
      <x:c r="C224" s="51" t="n">
        <x:v>159.6</x:v>
      </x:c>
      <x:c r="D224" s="54" t="n">
        <x:v>24</x:v>
      </x:c>
      <x:c r="E224" s="45" t="str">
        <x:v>BOTTOM_02</x:v>
      </x:c>
      <x:c r="F224" s="45" t="str">
        <x:v>GoblinMelee</x:v>
      </x:c>
      <x:c r="G224" s="54" t="n">
        <x:v>14</x:v>
      </x:c>
    </x:row>
    <x:row r="225">
      <x:c r="A225" s="45" t="str">
        <x:v>Stage01</x:v>
      </x:c>
      <x:c r="B225" s="45" t="str">
        <x:v>WAVE_17</x:v>
      </x:c>
      <x:c r="C225" s="51" t="n">
        <x:v>161</x:v>
      </x:c>
      <x:c r="D225" s="54" t="n">
        <x:v>1</x:v>
      </x:c>
      <x:c r="E225" s="45" t="str">
        <x:v>BOTTOM_05</x:v>
      </x:c>
      <x:c r="F225" s="45" t="str">
        <x:v>GoblinMelee</x:v>
      </x:c>
      <x:c r="G225" s="54" t="n">
        <x:v>15</x:v>
      </x:c>
    </x:row>
    <x:row r="226">
      <x:c r="A226" s="45" t="str">
        <x:v>Stage01</x:v>
      </x:c>
      <x:c r="B226" s="45" t="str">
        <x:v>WAVE_17</x:v>
      </x:c>
      <x:c r="C226" s="51" t="n">
        <x:v>161.34</x:v>
      </x:c>
      <x:c r="D226" s="54" t="n">
        <x:v>2</x:v>
      </x:c>
      <x:c r="E226" s="45" t="str">
        <x:v>LEFT_06</x:v>
      </x:c>
      <x:c r="F226" s="45" t="str">
        <x:v>GoblinRanged</x:v>
      </x:c>
      <x:c r="G226" s="54" t="n">
        <x:v>14</x:v>
      </x:c>
    </x:row>
    <x:row r="227">
      <x:c r="A227" s="45" t="str">
        <x:v>Stage01</x:v>
      </x:c>
      <x:c r="B227" s="45" t="str">
        <x:v>WAVE_17</x:v>
      </x:c>
      <x:c r="C227" s="51" t="n">
        <x:v>161.69</x:v>
      </x:c>
      <x:c r="D227" s="54" t="n">
        <x:v>3</x:v>
      </x:c>
      <x:c r="E227" s="45" t="str">
        <x:v>TOP_08</x:v>
      </x:c>
      <x:c r="F227" s="45" t="str">
        <x:v>GoblinMelee</x:v>
      </x:c>
      <x:c r="G227" s="54" t="n">
        <x:v>15</x:v>
      </x:c>
    </x:row>
    <x:row r="228">
      <x:c r="A228" s="45" t="str">
        <x:v>Stage01</x:v>
      </x:c>
      <x:c r="B228" s="45" t="str">
        <x:v>WAVE_17</x:v>
      </x:c>
      <x:c r="C228" s="51" t="n">
        <x:v>162.03</x:v>
      </x:c>
      <x:c r="D228" s="54" t="n">
        <x:v>4</x:v>
      </x:c>
      <x:c r="E228" s="45" t="str">
        <x:v>RIGHT_01</x:v>
      </x:c>
      <x:c r="F228" s="45" t="str">
        <x:v>GoblinMelee</x:v>
      </x:c>
      <x:c r="G228" s="54" t="n">
        <x:v>14</x:v>
      </x:c>
    </x:row>
    <x:row r="229">
      <x:c r="A229" s="45" t="str">
        <x:v>Stage01</x:v>
      </x:c>
      <x:c r="B229" s="45" t="str">
        <x:v>WAVE_17</x:v>
      </x:c>
      <x:c r="C229" s="51" t="n">
        <x:v>162.38</x:v>
      </x:c>
      <x:c r="D229" s="54" t="n">
        <x:v>5</x:v>
      </x:c>
      <x:c r="E229" s="45" t="str">
        <x:v>BOTTOM_02</x:v>
      </x:c>
      <x:c r="F229" s="45" t="str">
        <x:v>GoblinMelee</x:v>
      </x:c>
      <x:c r="G229" s="54" t="n">
        <x:v>15</x:v>
      </x:c>
    </x:row>
    <x:row r="230">
      <x:c r="A230" s="45" t="str">
        <x:v>Stage01</x:v>
      </x:c>
      <x:c r="B230" s="45" t="str">
        <x:v>WAVE_17</x:v>
      </x:c>
      <x:c r="C230" s="51" t="n">
        <x:v>162.72</x:v>
      </x:c>
      <x:c r="D230" s="54" t="n">
        <x:v>6</x:v>
      </x:c>
      <x:c r="E230" s="45" t="str">
        <x:v>LEFT_03</x:v>
      </x:c>
      <x:c r="F230" s="45" t="str">
        <x:v>ShieldSkeleton</x:v>
      </x:c>
      <x:c r="G230" s="54" t="n">
        <x:v>14</x:v>
      </x:c>
    </x:row>
    <x:row r="231">
      <x:c r="A231" s="45" t="str">
        <x:v>Stage01</x:v>
      </x:c>
      <x:c r="B231" s="45" t="str">
        <x:v>WAVE_17</x:v>
      </x:c>
      <x:c r="C231" s="51" t="n">
        <x:v>163.06</x:v>
      </x:c>
      <x:c r="D231" s="54" t="n">
        <x:v>7</x:v>
      </x:c>
      <x:c r="E231" s="45" t="str">
        <x:v>TOP_05</x:v>
      </x:c>
      <x:c r="F231" s="45" t="str">
        <x:v>GoblinMelee</x:v>
      </x:c>
      <x:c r="G231" s="54" t="n">
        <x:v>15</x:v>
      </x:c>
    </x:row>
    <x:row r="232">
      <x:c r="A232" s="45" t="str">
        <x:v>Stage01</x:v>
      </x:c>
      <x:c r="B232" s="45" t="str">
        <x:v>WAVE_17</x:v>
      </x:c>
      <x:c r="C232" s="51" t="n">
        <x:v>163.41</x:v>
      </x:c>
      <x:c r="D232" s="54" t="n">
        <x:v>8</x:v>
      </x:c>
      <x:c r="E232" s="45" t="str">
        <x:v>RIGHT_06</x:v>
      </x:c>
      <x:c r="F232" s="45" t="str">
        <x:v>GoblinRanged</x:v>
      </x:c>
      <x:c r="G232" s="54" t="n">
        <x:v>14</x:v>
      </x:c>
    </x:row>
    <x:row r="233">
      <x:c r="A233" s="45" t="str">
        <x:v>Stage01</x:v>
      </x:c>
      <x:c r="B233" s="45" t="str">
        <x:v>WAVE_17</x:v>
      </x:c>
      <x:c r="C233" s="51" t="n">
        <x:v>163.75</x:v>
      </x:c>
      <x:c r="D233" s="54" t="n">
        <x:v>9</x:v>
      </x:c>
      <x:c r="E233" s="45" t="str">
        <x:v>BOTTOM_07</x:v>
      </x:c>
      <x:c r="F233" s="45" t="str">
        <x:v>GoblinMelee</x:v>
      </x:c>
      <x:c r="G233" s="54" t="n">
        <x:v>15</x:v>
      </x:c>
    </x:row>
    <x:row r="234">
      <x:c r="A234" s="45" t="str">
        <x:v>Stage01</x:v>
      </x:c>
      <x:c r="B234" s="45" t="str">
        <x:v>WAVE_17</x:v>
      </x:c>
      <x:c r="C234" s="51" t="n">
        <x:v>164.1</x:v>
      </x:c>
      <x:c r="D234" s="54" t="n">
        <x:v>10</x:v>
      </x:c>
      <x:c r="E234" s="45" t="str">
        <x:v>LEFT_08</x:v>
      </x:c>
      <x:c r="F234" s="45" t="str">
        <x:v>GoblinMelee</x:v>
      </x:c>
      <x:c r="G234" s="54" t="n">
        <x:v>14</x:v>
      </x:c>
    </x:row>
    <x:row r="235">
      <x:c r="A235" s="45" t="str">
        <x:v>Stage01</x:v>
      </x:c>
      <x:c r="B235" s="45" t="str">
        <x:v>WAVE_17</x:v>
      </x:c>
      <x:c r="C235" s="51" t="n">
        <x:v>164.44</x:v>
      </x:c>
      <x:c r="D235" s="54" t="n">
        <x:v>11</x:v>
      </x:c>
      <x:c r="E235" s="45" t="str">
        <x:v>TOP_02</x:v>
      </x:c>
      <x:c r="F235" s="45" t="str">
        <x:v>GoblinMelee</x:v>
      </x:c>
      <x:c r="G235" s="54" t="n">
        <x:v>15</x:v>
      </x:c>
    </x:row>
    <x:row r="236">
      <x:c r="A236" s="45" t="str">
        <x:v>Stage01</x:v>
      </x:c>
      <x:c r="B236" s="45" t="str">
        <x:v>WAVE_17</x:v>
      </x:c>
      <x:c r="C236" s="51" t="n">
        <x:v>164.78</x:v>
      </x:c>
      <x:c r="D236" s="54" t="n">
        <x:v>12</x:v>
      </x:c>
      <x:c r="E236" s="45" t="str">
        <x:v>RIGHT_03</x:v>
      </x:c>
      <x:c r="F236" s="45" t="str">
        <x:v>GoblinRanged</x:v>
      </x:c>
      <x:c r="G236" s="54" t="n">
        <x:v>14</x:v>
      </x:c>
    </x:row>
    <x:row r="237">
      <x:c r="A237" s="45" t="str">
        <x:v>Stage01</x:v>
      </x:c>
      <x:c r="B237" s="45" t="str">
        <x:v>WAVE_17</x:v>
      </x:c>
      <x:c r="C237" s="51" t="n">
        <x:v>165.13</x:v>
      </x:c>
      <x:c r="D237" s="54" t="n">
        <x:v>13</x:v>
      </x:c>
      <x:c r="E237" s="45" t="str">
        <x:v>BOTTOM_04</x:v>
      </x:c>
      <x:c r="F237" s="45" t="str">
        <x:v>GoblinMelee</x:v>
      </x:c>
      <x:c r="G237" s="54" t="n">
        <x:v>15</x:v>
      </x:c>
    </x:row>
    <x:row r="238">
      <x:c r="A238" s="45" t="str">
        <x:v>Stage01</x:v>
      </x:c>
      <x:c r="B238" s="45" t="str">
        <x:v>WAVE_17</x:v>
      </x:c>
      <x:c r="C238" s="51" t="n">
        <x:v>165.47</x:v>
      </x:c>
      <x:c r="D238" s="54" t="n">
        <x:v>14</x:v>
      </x:c>
      <x:c r="E238" s="45" t="str">
        <x:v>LEFT_05</x:v>
      </x:c>
      <x:c r="F238" s="45" t="str">
        <x:v>GoblinMelee</x:v>
      </x:c>
      <x:c r="G238" s="54" t="n">
        <x:v>15</x:v>
      </x:c>
    </x:row>
    <x:row r="239">
      <x:c r="A239" s="45" t="str">
        <x:v>Stage01</x:v>
      </x:c>
      <x:c r="B239" s="45" t="str">
        <x:v>WAVE_17</x:v>
      </x:c>
      <x:c r="C239" s="51" t="n">
        <x:v>165.82</x:v>
      </x:c>
      <x:c r="D239" s="54" t="n">
        <x:v>15</x:v>
      </x:c>
      <x:c r="E239" s="45" t="str">
        <x:v>TOP_07</x:v>
      </x:c>
      <x:c r="F239" s="45" t="str">
        <x:v>GoblinRanged</x:v>
      </x:c>
      <x:c r="G239" s="54" t="n">
        <x:v>14</x:v>
      </x:c>
    </x:row>
    <x:row r="240">
      <x:c r="A240" s="45" t="str">
        <x:v>Stage01</x:v>
      </x:c>
      <x:c r="B240" s="45" t="str">
        <x:v>WAVE_17</x:v>
      </x:c>
      <x:c r="C240" s="51" t="n">
        <x:v>166.16</x:v>
      </x:c>
      <x:c r="D240" s="54" t="n">
        <x:v>16</x:v>
      </x:c>
      <x:c r="E240" s="45" t="str">
        <x:v>RIGHT_08</x:v>
      </x:c>
      <x:c r="F240" s="45" t="str">
        <x:v>GoblinMelee</x:v>
      </x:c>
      <x:c r="G240" s="54" t="n">
        <x:v>15</x:v>
      </x:c>
    </x:row>
    <x:row r="241">
      <x:c r="A241" s="45" t="str">
        <x:v>Stage01</x:v>
      </x:c>
      <x:c r="B241" s="45" t="str">
        <x:v>WAVE_17</x:v>
      </x:c>
      <x:c r="C241" s="51" t="n">
        <x:v>166.5</x:v>
      </x:c>
      <x:c r="D241" s="54" t="n">
        <x:v>17</x:v>
      </x:c>
      <x:c r="E241" s="45" t="str">
        <x:v>BOTTOM_01</x:v>
      </x:c>
      <x:c r="F241" s="45" t="str">
        <x:v>GoblinMelee</x:v>
      </x:c>
      <x:c r="G241" s="54" t="n">
        <x:v>14</x:v>
      </x:c>
    </x:row>
    <x:row r="242">
      <x:c r="A242" s="45" t="str">
        <x:v>Stage01</x:v>
      </x:c>
      <x:c r="B242" s="45" t="str">
        <x:v>WAVE_17</x:v>
      </x:c>
      <x:c r="C242" s="51" t="n">
        <x:v>166.85</x:v>
      </x:c>
      <x:c r="D242" s="54" t="n">
        <x:v>18</x:v>
      </x:c>
      <x:c r="E242" s="45" t="str">
        <x:v>LEFT_02</x:v>
      </x:c>
      <x:c r="F242" s="45" t="str">
        <x:v>GoblinMelee</x:v>
      </x:c>
      <x:c r="G242" s="54" t="n">
        <x:v>15</x:v>
      </x:c>
    </x:row>
    <x:row r="243">
      <x:c r="A243" s="45" t="str">
        <x:v>Stage01</x:v>
      </x:c>
      <x:c r="B243" s="45" t="str">
        <x:v>WAVE_17</x:v>
      </x:c>
      <x:c r="C243" s="51" t="n">
        <x:v>167.19</x:v>
      </x:c>
      <x:c r="D243" s="54" t="n">
        <x:v>19</x:v>
      </x:c>
      <x:c r="E243" s="45" t="str">
        <x:v>TOP_04</x:v>
      </x:c>
      <x:c r="F243" s="45" t="str">
        <x:v>ShieldSkeleton</x:v>
      </x:c>
      <x:c r="G243" s="54" t="n">
        <x:v>14</x:v>
      </x:c>
    </x:row>
    <x:row r="244">
      <x:c r="A244" s="45" t="str">
        <x:v>Stage01</x:v>
      </x:c>
      <x:c r="B244" s="45" t="str">
        <x:v>WAVE_17</x:v>
      </x:c>
      <x:c r="C244" s="51" t="n">
        <x:v>167.54</x:v>
      </x:c>
      <x:c r="D244" s="54" t="n">
        <x:v>20</x:v>
      </x:c>
      <x:c r="E244" s="45" t="str">
        <x:v>RIGHT_05</x:v>
      </x:c>
      <x:c r="F244" s="45" t="str">
        <x:v>GoblinMelee</x:v>
      </x:c>
      <x:c r="G244" s="54" t="n">
        <x:v>15</x:v>
      </x:c>
    </x:row>
    <x:row r="245">
      <x:c r="A245" s="45" t="str">
        <x:v>Stage01</x:v>
      </x:c>
      <x:c r="B245" s="45" t="str">
        <x:v>WAVE_17</x:v>
      </x:c>
      <x:c r="C245" s="51" t="n">
        <x:v>167.88</x:v>
      </x:c>
      <x:c r="D245" s="54" t="n">
        <x:v>21</x:v>
      </x:c>
      <x:c r="E245" s="45" t="str">
        <x:v>BOTTOM_06</x:v>
      </x:c>
      <x:c r="F245" s="45" t="str">
        <x:v>GoblinRanged</x:v>
      </x:c>
      <x:c r="G245" s="54" t="n">
        <x:v>14</x:v>
      </x:c>
    </x:row>
    <x:row r="246">
      <x:c r="A246" s="45" t="str">
        <x:v>Stage01</x:v>
      </x:c>
      <x:c r="B246" s="45" t="str">
        <x:v>WAVE_17</x:v>
      </x:c>
      <x:c r="C246" s="51" t="n">
        <x:v>168.22</x:v>
      </x:c>
      <x:c r="D246" s="54" t="n">
        <x:v>22</x:v>
      </x:c>
      <x:c r="E246" s="45" t="str">
        <x:v>LEFT_07</x:v>
      </x:c>
      <x:c r="F246" s="45" t="str">
        <x:v>GoblinMelee</x:v>
      </x:c>
      <x:c r="G246" s="54" t="n">
        <x:v>15</x:v>
      </x:c>
    </x:row>
    <x:row r="247">
      <x:c r="A247" s="45" t="str">
        <x:v>Stage01</x:v>
      </x:c>
      <x:c r="B247" s="45" t="str">
        <x:v>WAVE_17</x:v>
      </x:c>
      <x:c r="C247" s="51" t="n">
        <x:v>168.57</x:v>
      </x:c>
      <x:c r="D247" s="54" t="n">
        <x:v>23</x:v>
      </x:c>
      <x:c r="E247" s="45" t="str">
        <x:v>TOP_01</x:v>
      </x:c>
      <x:c r="F247" s="45" t="str">
        <x:v>GoblinMelee</x:v>
      </x:c>
      <x:c r="G247" s="54" t="n">
        <x:v>14</x:v>
      </x:c>
    </x:row>
    <x:row r="248">
      <x:c r="A248" s="45" t="str">
        <x:v>Stage01</x:v>
      </x:c>
      <x:c r="B248" s="45" t="str">
        <x:v>WAVE_17</x:v>
      </x:c>
      <x:c r="C248" s="51" t="n">
        <x:v>168.91</x:v>
      </x:c>
      <x:c r="D248" s="54" t="n">
        <x:v>24</x:v>
      </x:c>
      <x:c r="E248" s="45" t="str">
        <x:v>RIGHT_02</x:v>
      </x:c>
      <x:c r="F248" s="45" t="str">
        <x:v>GoblinMelee</x:v>
      </x:c>
      <x:c r="G248" s="54" t="n">
        <x:v>15</x:v>
      </x:c>
    </x:row>
    <x:row r="249">
      <x:c r="A249" s="45" t="str">
        <x:v>Stage01</x:v>
      </x:c>
      <x:c r="B249" s="45" t="str">
        <x:v>WAVE_17</x:v>
      </x:c>
      <x:c r="C249" s="51" t="n">
        <x:v>169.26</x:v>
      </x:c>
      <x:c r="D249" s="54" t="n">
        <x:v>25</x:v>
      </x:c>
      <x:c r="E249" s="45" t="str">
        <x:v>BOTTOM_03</x:v>
      </x:c>
      <x:c r="F249" s="45" t="str">
        <x:v>GoblinRanged</x:v>
      </x:c>
      <x:c r="G249" s="54" t="n">
        <x:v>14</x:v>
      </x:c>
    </x:row>
    <x:row r="250">
      <x:c r="A250" s="45" t="str">
        <x:v>Stage01</x:v>
      </x:c>
      <x:c r="B250" s="45" t="str">
        <x:v>WAVE_17</x:v>
      </x:c>
      <x:c r="C250" s="51" t="n">
        <x:v>169.6</x:v>
      </x:c>
      <x:c r="D250" s="54" t="n">
        <x:v>26</x:v>
      </x:c>
      <x:c r="E250" s="45" t="str">
        <x:v>LEFT_04</x:v>
      </x:c>
      <x:c r="F250" s="45" t="str">
        <x:v>GoblinMelee</x:v>
      </x:c>
      <x:c r="G250" s="54" t="n">
        <x:v>15</x:v>
      </x:c>
    </x:row>
    <x:row r="251">
      <x:c r="A251" s="45" t="str">
        <x:v>Stage01</x:v>
      </x:c>
      <x:c r="B251" s="45" t="str">
        <x:v>WAVE_18</x:v>
      </x:c>
      <x:c r="C251" s="51" t="n">
        <x:v>171</x:v>
      </x:c>
      <x:c r="D251" s="54" t="n">
        <x:v>1</x:v>
      </x:c>
      <x:c r="E251" s="45" t="str">
        <x:v>LEFT_07</x:v>
      </x:c>
      <x:c r="F251" s="45" t="str">
        <x:v>GoblinMelee</x:v>
      </x:c>
      <x:c r="G251" s="54" t="n">
        <x:v>15</x:v>
      </x:c>
    </x:row>
    <x:row r="252">
      <x:c r="A252" t="str">
        <x:v>Stage01</x:v>
      </x:c>
      <x:c r="B252" t="str">
        <x:v>WAVE_18</x:v>
      </x:c>
      <x:c r="C252" s="409" t="n">
        <x:v>171.33</x:v>
      </x:c>
      <x:c r="D252" s="410" t="n">
        <x:v>2</x:v>
      </x:c>
      <x:c r="E252" t="str">
        <x:v>TOP_01</x:v>
      </x:c>
      <x:c r="F252" t="str">
        <x:v>GoblinRanged</x:v>
      </x:c>
      <x:c r="G252" s="410" t="n">
        <x:v>14</x:v>
      </x:c>
    </x:row>
    <x:row r="253">
      <x:c r="A253" t="str">
        <x:v>Stage01</x:v>
      </x:c>
      <x:c r="B253" t="str">
        <x:v>WAVE_18</x:v>
      </x:c>
      <x:c r="C253" s="409" t="n">
        <x:v>171.66</x:v>
      </x:c>
      <x:c r="D253" s="410" t="n">
        <x:v>3</x:v>
      </x:c>
      <x:c r="E253" t="str">
        <x:v>RIGHT_02</x:v>
      </x:c>
      <x:c r="F253" t="str">
        <x:v>GoblinMelee</x:v>
      </x:c>
      <x:c r="G253" s="410" t="n">
        <x:v>15</x:v>
      </x:c>
    </x:row>
    <x:row r="254">
      <x:c r="A254" t="str">
        <x:v>Stage01</x:v>
      </x:c>
      <x:c r="B254" t="str">
        <x:v>WAVE_18</x:v>
      </x:c>
      <x:c r="C254" s="409" t="n">
        <x:v>171.99</x:v>
      </x:c>
      <x:c r="D254" s="410" t="n">
        <x:v>4</x:v>
      </x:c>
      <x:c r="E254" t="str">
        <x:v>BOTTOM_03</x:v>
      </x:c>
      <x:c r="F254" t="str">
        <x:v>GoblinMelee</x:v>
      </x:c>
      <x:c r="G254" s="410" t="n">
        <x:v>14</x:v>
      </x:c>
    </x:row>
    <x:row r="255">
      <x:c r="A255" t="str">
        <x:v>Stage01</x:v>
      </x:c>
      <x:c r="B255" t="str">
        <x:v>WAVE_18</x:v>
      </x:c>
      <x:c r="C255" s="409" t="n">
        <x:v>172.32</x:v>
      </x:c>
      <x:c r="D255" s="410" t="n">
        <x:v>5</x:v>
      </x:c>
      <x:c r="E255" t="str">
        <x:v>LEFT_04</x:v>
      </x:c>
      <x:c r="F255" t="str">
        <x:v>GoblinMelee</x:v>
      </x:c>
      <x:c r="G255" s="410" t="n">
        <x:v>15</x:v>
      </x:c>
    </x:row>
    <x:row r="256">
      <x:c r="A256" t="str">
        <x:v>Stage01</x:v>
      </x:c>
      <x:c r="B256" t="str">
        <x:v>WAVE_18</x:v>
      </x:c>
      <x:c r="C256" s="409" t="n">
        <x:v>172.65</x:v>
      </x:c>
      <x:c r="D256" s="410" t="n">
        <x:v>6</x:v>
      </x:c>
      <x:c r="E256" t="str">
        <x:v>TOP_06</x:v>
      </x:c>
      <x:c r="F256" t="str">
        <x:v>ShieldSkeleton</x:v>
      </x:c>
      <x:c r="G256" s="410" t="n">
        <x:v>15</x:v>
      </x:c>
    </x:row>
    <x:row r="257">
      <x:c r="A257" t="str">
        <x:v>Stage01</x:v>
      </x:c>
      <x:c r="B257" t="str">
        <x:v>WAVE_18</x:v>
      </x:c>
      <x:c r="C257" s="409" t="n">
        <x:v>172.98</x:v>
      </x:c>
      <x:c r="D257" s="410" t="n">
        <x:v>7</x:v>
      </x:c>
      <x:c r="E257" t="str">
        <x:v>RIGHT_07</x:v>
      </x:c>
      <x:c r="F257" t="str">
        <x:v>GoblinMelee</x:v>
      </x:c>
      <x:c r="G257" s="410" t="n">
        <x:v>14</x:v>
      </x:c>
    </x:row>
    <x:row r="258">
      <x:c r="A258" t="str">
        <x:v>Stage01</x:v>
      </x:c>
      <x:c r="B258" t="str">
        <x:v>WAVE_18</x:v>
      </x:c>
      <x:c r="C258" s="409" t="n">
        <x:v>173.32</x:v>
      </x:c>
      <x:c r="D258" s="410" t="n">
        <x:v>8</x:v>
      </x:c>
      <x:c r="E258" t="str">
        <x:v>BOTTOM_08</x:v>
      </x:c>
      <x:c r="F258" t="str">
        <x:v>GoblinRanged</x:v>
      </x:c>
      <x:c r="G258" s="410" t="n">
        <x:v>15</x:v>
      </x:c>
    </x:row>
    <x:row r="259">
      <x:c r="A259" t="str">
        <x:v>Stage01</x:v>
      </x:c>
      <x:c r="B259" t="str">
        <x:v>WAVE_18</x:v>
      </x:c>
      <x:c r="C259" s="409" t="n">
        <x:v>173.65</x:v>
      </x:c>
      <x:c r="D259" s="410" t="n">
        <x:v>9</x:v>
      </x:c>
      <x:c r="E259" t="str">
        <x:v>LEFT_01</x:v>
      </x:c>
      <x:c r="F259" t="str">
        <x:v>GoblinMelee</x:v>
      </x:c>
      <x:c r="G259" s="410" t="n">
        <x:v>14</x:v>
      </x:c>
    </x:row>
    <x:row r="260">
      <x:c r="A260" t="str">
        <x:v>Stage01</x:v>
      </x:c>
      <x:c r="B260" t="str">
        <x:v>WAVE_18</x:v>
      </x:c>
      <x:c r="C260" s="409" t="n">
        <x:v>173.98</x:v>
      </x:c>
      <x:c r="D260" s="410" t="n">
        <x:v>10</x:v>
      </x:c>
      <x:c r="E260" t="str">
        <x:v>TOP_03</x:v>
      </x:c>
      <x:c r="F260" t="str">
        <x:v>GoblinMelee</x:v>
      </x:c>
      <x:c r="G260" s="410" t="n">
        <x:v>15</x:v>
      </x:c>
    </x:row>
    <x:row r="261">
      <x:c r="A261" t="str">
        <x:v>Stage01</x:v>
      </x:c>
      <x:c r="B261" t="str">
        <x:v>WAVE_18</x:v>
      </x:c>
      <x:c r="C261" s="409" t="n">
        <x:v>174.31</x:v>
      </x:c>
      <x:c r="D261" s="410" t="n">
        <x:v>11</x:v>
      </x:c>
      <x:c r="E261" t="str">
        <x:v>RIGHT_04</x:v>
      </x:c>
      <x:c r="F261" t="str">
        <x:v>GoblinMelee</x:v>
      </x:c>
      <x:c r="G261" s="410" t="n">
        <x:v>15</x:v>
      </x:c>
    </x:row>
    <x:row r="262">
      <x:c r="A262" t="str">
        <x:v>Stage01</x:v>
      </x:c>
      <x:c r="B262" t="str">
        <x:v>WAVE_18</x:v>
      </x:c>
      <x:c r="C262" s="409" t="n">
        <x:v>174.64</x:v>
      </x:c>
      <x:c r="D262" s="410" t="n">
        <x:v>12</x:v>
      </x:c>
      <x:c r="E262" t="str">
        <x:v>BOTTOM_05</x:v>
      </x:c>
      <x:c r="F262" t="str">
        <x:v>GoblinRanged</x:v>
      </x:c>
      <x:c r="G262" s="410" t="n">
        <x:v>14</x:v>
      </x:c>
    </x:row>
    <x:row r="263">
      <x:c r="A263" t="str">
        <x:v>Stage01</x:v>
      </x:c>
      <x:c r="B263" t="str">
        <x:v>WAVE_18</x:v>
      </x:c>
      <x:c r="C263" s="409" t="n">
        <x:v>174.97</x:v>
      </x:c>
      <x:c r="D263" s="410" t="n">
        <x:v>13</x:v>
      </x:c>
      <x:c r="E263" t="str">
        <x:v>LEFT_06</x:v>
      </x:c>
      <x:c r="F263" t="str">
        <x:v>GoblinMelee</x:v>
      </x:c>
      <x:c r="G263" s="410" t="n">
        <x:v>15</x:v>
      </x:c>
    </x:row>
    <x:row r="264">
      <x:c r="A264" t="str">
        <x:v>Stage01</x:v>
      </x:c>
      <x:c r="B264" t="str">
        <x:v>WAVE_18</x:v>
      </x:c>
      <x:c r="C264" s="409" t="n">
        <x:v>175.3</x:v>
      </x:c>
      <x:c r="D264" s="410" t="n">
        <x:v>14</x:v>
      </x:c>
      <x:c r="E264" t="str">
        <x:v>TOP_08</x:v>
      </x:c>
      <x:c r="F264" t="str">
        <x:v>GoblinMelee</x:v>
      </x:c>
      <x:c r="G264" s="410" t="n">
        <x:v>14</x:v>
      </x:c>
    </x:row>
    <x:row r="265">
      <x:c r="A265" t="str">
        <x:v>Stage01</x:v>
      </x:c>
      <x:c r="B265" t="str">
        <x:v>WAVE_18</x:v>
      </x:c>
      <x:c r="C265" s="409" t="n">
        <x:v>175.63</x:v>
      </x:c>
      <x:c r="D265" s="410" t="n">
        <x:v>15</x:v>
      </x:c>
      <x:c r="E265" t="str">
        <x:v>RIGHT_01</x:v>
      </x:c>
      <x:c r="F265" t="str">
        <x:v>GoblinMelee</x:v>
      </x:c>
      <x:c r="G265" s="410" t="n">
        <x:v>15</x:v>
      </x:c>
    </x:row>
    <x:row r="266">
      <x:c r="A266" t="str">
        <x:v>Stage01</x:v>
      </x:c>
      <x:c r="B266" t="str">
        <x:v>WAVE_18</x:v>
      </x:c>
      <x:c r="C266" s="409" t="n">
        <x:v>175.96</x:v>
      </x:c>
      <x:c r="D266" s="410" t="n">
        <x:v>16</x:v>
      </x:c>
      <x:c r="E266" t="str">
        <x:v>BOTTOM_02</x:v>
      </x:c>
      <x:c r="F266" t="str">
        <x:v>GoblinRanged</x:v>
      </x:c>
      <x:c r="G266" s="410" t="n">
        <x:v>14</x:v>
      </x:c>
    </x:row>
    <x:row r="267">
      <x:c r="A267" t="str">
        <x:v>Stage01</x:v>
      </x:c>
      <x:c r="B267" t="str">
        <x:v>WAVE_18</x:v>
      </x:c>
      <x:c r="C267" s="409" t="n">
        <x:v>176.29</x:v>
      </x:c>
      <x:c r="D267" s="410" t="n">
        <x:v>17</x:v>
      </x:c>
      <x:c r="E267" t="str">
        <x:v>LEFT_03</x:v>
      </x:c>
      <x:c r="F267" t="str">
        <x:v>GoblinMelee</x:v>
      </x:c>
      <x:c r="G267" s="410" t="n">
        <x:v>15</x:v>
      </x:c>
    </x:row>
    <x:row r="268">
      <x:c r="A268" t="str">
        <x:v>Stage01</x:v>
      </x:c>
      <x:c r="B268" t="str">
        <x:v>WAVE_18</x:v>
      </x:c>
      <x:c r="C268" s="409" t="n">
        <x:v>176.62</x:v>
      </x:c>
      <x:c r="D268" s="410" t="n">
        <x:v>18</x:v>
      </x:c>
      <x:c r="E268" t="str">
        <x:v>TOP_05</x:v>
      </x:c>
      <x:c r="F268" t="str">
        <x:v>GoblinMelee</x:v>
      </x:c>
      <x:c r="G268" s="410" t="n">
        <x:v>15</x:v>
      </x:c>
    </x:row>
    <x:row r="269">
      <x:c r="A269" t="str">
        <x:v>Stage01</x:v>
      </x:c>
      <x:c r="B269" t="str">
        <x:v>WAVE_18</x:v>
      </x:c>
      <x:c r="C269" s="409" t="n">
        <x:v>176.95</x:v>
      </x:c>
      <x:c r="D269" s="410" t="n">
        <x:v>19</x:v>
      </x:c>
      <x:c r="E269" t="str">
        <x:v>RIGHT_06</x:v>
      </x:c>
      <x:c r="F269" t="str">
        <x:v>ShieldSkeleton</x:v>
      </x:c>
      <x:c r="G269" s="410" t="n">
        <x:v>14</x:v>
      </x:c>
    </x:row>
    <x:row r="270">
      <x:c r="A270" t="str">
        <x:v>Stage01</x:v>
      </x:c>
      <x:c r="B270" t="str">
        <x:v>WAVE_18</x:v>
      </x:c>
      <x:c r="C270" s="409" t="n">
        <x:v>177.28</x:v>
      </x:c>
      <x:c r="D270" s="410" t="n">
        <x:v>20</x:v>
      </x:c>
      <x:c r="E270" t="str">
        <x:v>BOTTOM_07</x:v>
      </x:c>
      <x:c r="F270" t="str">
        <x:v>GoblinMelee</x:v>
      </x:c>
      <x:c r="G270" s="410" t="n">
        <x:v>15</x:v>
      </x:c>
    </x:row>
    <x:row r="271">
      <x:c r="A271" t="str">
        <x:v>Stage01</x:v>
      </x:c>
      <x:c r="B271" t="str">
        <x:v>WAVE_18</x:v>
      </x:c>
      <x:c r="C271" s="409" t="n">
        <x:v>177.62</x:v>
      </x:c>
      <x:c r="D271" s="410" t="n">
        <x:v>21</x:v>
      </x:c>
      <x:c r="E271" t="str">
        <x:v>LEFT_08</x:v>
      </x:c>
      <x:c r="F271" t="str">
        <x:v>GoblinMelee</x:v>
      </x:c>
      <x:c r="G271" s="410" t="n">
        <x:v>14</x:v>
      </x:c>
    </x:row>
    <x:row r="272">
      <x:c r="A272" t="str">
        <x:v>Stage01</x:v>
      </x:c>
      <x:c r="B272" t="str">
        <x:v>WAVE_18</x:v>
      </x:c>
      <x:c r="C272" s="409" t="n">
        <x:v>177.95</x:v>
      </x:c>
      <x:c r="D272" s="410" t="n">
        <x:v>22</x:v>
      </x:c>
      <x:c r="E272" t="str">
        <x:v>TOP_02</x:v>
      </x:c>
      <x:c r="F272" t="str">
        <x:v>GoblinRanged</x:v>
      </x:c>
      <x:c r="G272" s="410" t="n">
        <x:v>15</x:v>
      </x:c>
    </x:row>
    <x:row r="273">
      <x:c r="A273" t="str">
        <x:v>Stage01</x:v>
      </x:c>
      <x:c r="B273" t="str">
        <x:v>WAVE_18</x:v>
      </x:c>
      <x:c r="C273" s="409" t="n">
        <x:v>178.28</x:v>
      </x:c>
      <x:c r="D273" s="410" t="n">
        <x:v>23</x:v>
      </x:c>
      <x:c r="E273" t="str">
        <x:v>RIGHT_03</x:v>
      </x:c>
      <x:c r="F273" t="str">
        <x:v>GoblinMelee</x:v>
      </x:c>
      <x:c r="G273" s="410" t="n">
        <x:v>15</x:v>
      </x:c>
    </x:row>
    <x:row r="274">
      <x:c r="A274" t="str">
        <x:v>Stage01</x:v>
      </x:c>
      <x:c r="B274" t="str">
        <x:v>WAVE_18</x:v>
      </x:c>
      <x:c r="C274" s="409" t="n">
        <x:v>178.61</x:v>
      </x:c>
      <x:c r="D274" s="410" t="n">
        <x:v>24</x:v>
      </x:c>
      <x:c r="E274" t="str">
        <x:v>BOTTOM_04</x:v>
      </x:c>
      <x:c r="F274" t="str">
        <x:v>GoblinMelee</x:v>
      </x:c>
      <x:c r="G274" s="410" t="n">
        <x:v>14</x:v>
      </x:c>
    </x:row>
    <x:row r="275">
      <x:c r="A275" t="str">
        <x:v>Stage01</x:v>
      </x:c>
      <x:c r="B275" t="str">
        <x:v>WAVE_18</x:v>
      </x:c>
      <x:c r="C275" s="409" t="n">
        <x:v>178.94</x:v>
      </x:c>
      <x:c r="D275" s="410" t="n">
        <x:v>25</x:v>
      </x:c>
      <x:c r="E275" t="str">
        <x:v>LEFT_05</x:v>
      </x:c>
      <x:c r="F275" t="str">
        <x:v>GoblinMelee</x:v>
      </x:c>
      <x:c r="G275" s="410" t="n">
        <x:v>15</x:v>
      </x:c>
    </x:row>
    <x:row r="276">
      <x:c r="A276" t="str">
        <x:v>Stage01</x:v>
      </x:c>
      <x:c r="B276" t="str">
        <x:v>WAVE_18</x:v>
      </x:c>
      <x:c r="C276" s="409" t="n">
        <x:v>179.27</x:v>
      </x:c>
      <x:c r="D276" s="410" t="n">
        <x:v>26</x:v>
      </x:c>
      <x:c r="E276" t="str">
        <x:v>TOP_07</x:v>
      </x:c>
      <x:c r="F276" t="str">
        <x:v>GoblinRanged</x:v>
      </x:c>
      <x:c r="G276" s="410" t="n">
        <x:v>14</x:v>
      </x:c>
    </x:row>
    <x:row r="277">
      <x:c r="A277" t="str">
        <x:v>Stage01</x:v>
      </x:c>
      <x:c r="B277" t="str">
        <x:v>WAVE_18</x:v>
      </x:c>
      <x:c r="C277" s="409" t="n">
        <x:v>179.6</x:v>
      </x:c>
      <x:c r="D277" s="410" t="n">
        <x:v>27</x:v>
      </x:c>
      <x:c r="E277" t="str">
        <x:v>RIGHT_08</x:v>
      </x:c>
      <x:c r="F277" t="str">
        <x:v>GoblinMelee</x:v>
      </x:c>
      <x:c r="G277" s="410" t="n">
        <x:v>15</x:v>
      </x:c>
    </x:row>
    <x:row r="278">
      <x:c r="A278" t="str">
        <x:v>Stage01</x:v>
      </x:c>
      <x:c r="B278" t="str">
        <x:v>WAVE_19</x:v>
      </x:c>
      <x:c r="C278" s="409" t="n">
        <x:v>181</x:v>
      </x:c>
      <x:c r="D278" s="410" t="n">
        <x:v>1</x:v>
      </x:c>
      <x:c r="E278" t="str">
        <x:v>RIGHT_03</x:v>
      </x:c>
      <x:c r="F278" t="str">
        <x:v>GoblinMelee</x:v>
      </x:c>
      <x:c r="G278" s="410" t="n">
        <x:v>16</x:v>
      </x:c>
    </x:row>
    <x:row r="279">
      <x:c r="A279" t="str">
        <x:v>Stage01</x:v>
      </x:c>
      <x:c r="B279" t="str">
        <x:v>WAVE_19</x:v>
      </x:c>
      <x:c r="C279" s="409" t="n">
        <x:v>181.31</x:v>
      </x:c>
      <x:c r="D279" s="410" t="n">
        <x:v>2</x:v>
      </x:c>
      <x:c r="E279" t="str">
        <x:v>BOTTOM_04</x:v>
      </x:c>
      <x:c r="F279" t="str">
        <x:v>GoblinMelee</x:v>
      </x:c>
      <x:c r="G279" s="410" t="n">
        <x:v>15</x:v>
      </x:c>
    </x:row>
    <x:row r="280">
      <x:c r="A280" t="str">
        <x:v>Stage01</x:v>
      </x:c>
      <x:c r="B280" t="str">
        <x:v>WAVE_19</x:v>
      </x:c>
      <x:c r="C280" s="409" t="n">
        <x:v>181.61</x:v>
      </x:c>
      <x:c r="D280" s="410" t="n">
        <x:v>3</x:v>
      </x:c>
      <x:c r="E280" t="str">
        <x:v>LEFT_05</x:v>
      </x:c>
      <x:c r="F280" t="str">
        <x:v>GoblinRanged</x:v>
      </x:c>
      <x:c r="G280" s="410" t="n">
        <x:v>16</x:v>
      </x:c>
    </x:row>
    <x:row r="281">
      <x:c r="A281" t="str">
        <x:v>Stage01</x:v>
      </x:c>
      <x:c r="B281" t="str">
        <x:v>WAVE_19</x:v>
      </x:c>
      <x:c r="C281" s="409" t="n">
        <x:v>181.92</x:v>
      </x:c>
      <x:c r="D281" s="410" t="n">
        <x:v>4</x:v>
      </x:c>
      <x:c r="E281" t="str">
        <x:v>TOP_07</x:v>
      </x:c>
      <x:c r="F281" t="str">
        <x:v>GoblinMelee</x:v>
      </x:c>
      <x:c r="G281" s="410" t="n">
        <x:v>15</x:v>
      </x:c>
    </x:row>
    <x:row r="282">
      <x:c r="A282" t="str">
        <x:v>Stage01</x:v>
      </x:c>
      <x:c r="B282" t="str">
        <x:v>WAVE_19</x:v>
      </x:c>
      <x:c r="C282" s="409" t="n">
        <x:v>182.23</x:v>
      </x:c>
      <x:c r="D282" s="410" t="n">
        <x:v>5</x:v>
      </x:c>
      <x:c r="E282" t="str">
        <x:v>RIGHT_08</x:v>
      </x:c>
      <x:c r="F282" t="str">
        <x:v>GoblinMelee</x:v>
      </x:c>
      <x:c r="G282" s="410" t="n">
        <x:v>16</x:v>
      </x:c>
    </x:row>
    <x:row r="283">
      <x:c r="A283" t="str">
        <x:v>Stage01</x:v>
      </x:c>
      <x:c r="B283" t="str">
        <x:v>WAVE_19</x:v>
      </x:c>
      <x:c r="C283" s="409" t="n">
        <x:v>182.54</x:v>
      </x:c>
      <x:c r="D283" s="410" t="n">
        <x:v>6</x:v>
      </x:c>
      <x:c r="E283" t="str">
        <x:v>BOTTOM_01</x:v>
      </x:c>
      <x:c r="F283" t="str">
        <x:v>ShieldSkeleton</x:v>
      </x:c>
      <x:c r="G283" s="410" t="n">
        <x:v>16</x:v>
      </x:c>
    </x:row>
    <x:row r="284">
      <x:c r="A284" t="str">
        <x:v>Stage01</x:v>
      </x:c>
      <x:c r="B284" t="str">
        <x:v>WAVE_19</x:v>
      </x:c>
      <x:c r="C284" s="409" t="n">
        <x:v>182.84</x:v>
      </x:c>
      <x:c r="D284" s="410" t="n">
        <x:v>7</x:v>
      </x:c>
      <x:c r="E284" t="str">
        <x:v>LEFT_02</x:v>
      </x:c>
      <x:c r="F284" t="str">
        <x:v>GoblinMelee</x:v>
      </x:c>
      <x:c r="G284" s="410" t="n">
        <x:v>15</x:v>
      </x:c>
    </x:row>
    <x:row r="285">
      <x:c r="A285" t="str">
        <x:v>Stage01</x:v>
      </x:c>
      <x:c r="B285" t="str">
        <x:v>WAVE_19</x:v>
      </x:c>
      <x:c r="C285" s="409" t="n">
        <x:v>183.15</x:v>
      </x:c>
      <x:c r="D285" s="410" t="n">
        <x:v>8</x:v>
      </x:c>
      <x:c r="E285" t="str">
        <x:v>TOP_04</x:v>
      </x:c>
      <x:c r="F285" t="str">
        <x:v>GoblinMelee</x:v>
      </x:c>
      <x:c r="G285" s="410" t="n">
        <x:v>16</x:v>
      </x:c>
    </x:row>
    <x:row r="286">
      <x:c r="A286" t="str">
        <x:v>Stage01</x:v>
      </x:c>
      <x:c r="B286" t="str">
        <x:v>WAVE_19</x:v>
      </x:c>
      <x:c r="C286" s="409" t="n">
        <x:v>183.46</x:v>
      </x:c>
      <x:c r="D286" s="410" t="n">
        <x:v>9</x:v>
      </x:c>
      <x:c r="E286" t="str">
        <x:v>RIGHT_05</x:v>
      </x:c>
      <x:c r="F286" t="str">
        <x:v>GoblinRanged</x:v>
      </x:c>
      <x:c r="G286" s="410" t="n">
        <x:v>16</x:v>
      </x:c>
    </x:row>
    <x:row r="287">
      <x:c r="A287" t="str">
        <x:v>Stage01</x:v>
      </x:c>
      <x:c r="B287" t="str">
        <x:v>WAVE_19</x:v>
      </x:c>
      <x:c r="C287" s="409" t="n">
        <x:v>183.76</x:v>
      </x:c>
      <x:c r="D287" s="410" t="n">
        <x:v>10</x:v>
      </x:c>
      <x:c r="E287" t="str">
        <x:v>BOTTOM_06</x:v>
      </x:c>
      <x:c r="F287" t="str">
        <x:v>GoblinMelee</x:v>
      </x:c>
      <x:c r="G287" s="410" t="n">
        <x:v>15</x:v>
      </x:c>
    </x:row>
    <x:row r="288">
      <x:c r="A288" t="str">
        <x:v>Stage01</x:v>
      </x:c>
      <x:c r="B288" t="str">
        <x:v>WAVE_19</x:v>
      </x:c>
      <x:c r="C288" s="409" t="n">
        <x:v>184.07</x:v>
      </x:c>
      <x:c r="D288" s="410" t="n">
        <x:v>11</x:v>
      </x:c>
      <x:c r="E288" t="str">
        <x:v>LEFT_07</x:v>
      </x:c>
      <x:c r="F288" t="str">
        <x:v>GoblinMelee</x:v>
      </x:c>
      <x:c r="G288" s="410" t="n">
        <x:v>16</x:v>
      </x:c>
    </x:row>
    <x:row r="289">
      <x:c r="A289" t="str">
        <x:v>Stage01</x:v>
      </x:c>
      <x:c r="B289" t="str">
        <x:v>WAVE_19</x:v>
      </x:c>
      <x:c r="C289" s="409" t="n">
        <x:v>184.38</x:v>
      </x:c>
      <x:c r="D289" s="410" t="n">
        <x:v>12</x:v>
      </x:c>
      <x:c r="E289" t="str">
        <x:v>TOP_01</x:v>
      </x:c>
      <x:c r="F289" t="str">
        <x:v>GoblinMelee</x:v>
      </x:c>
      <x:c r="G289" s="410" t="n">
        <x:v>15</x:v>
      </x:c>
    </x:row>
    <x:row r="290">
      <x:c r="A290" t="str">
        <x:v>Stage01</x:v>
      </x:c>
      <x:c r="B290" t="str">
        <x:v>WAVE_19</x:v>
      </x:c>
      <x:c r="C290" s="409" t="n">
        <x:v>184.69</x:v>
      </x:c>
      <x:c r="D290" s="410" t="n">
        <x:v>13</x:v>
      </x:c>
      <x:c r="E290" t="str">
        <x:v>RIGHT_02</x:v>
      </x:c>
      <x:c r="F290" t="str">
        <x:v>GoblinRanged</x:v>
      </x:c>
      <x:c r="G290" s="410" t="n">
        <x:v>16</x:v>
      </x:c>
    </x:row>
    <x:row r="291">
      <x:c r="A291" t="str">
        <x:v>Stage01</x:v>
      </x:c>
      <x:c r="B291" t="str">
        <x:v>WAVE_19</x:v>
      </x:c>
      <x:c r="C291" s="409" t="n">
        <x:v>184.99</x:v>
      </x:c>
      <x:c r="D291" s="410" t="n">
        <x:v>14</x:v>
      </x:c>
      <x:c r="E291" t="str">
        <x:v>BOTTOM_03</x:v>
      </x:c>
      <x:c r="F291" t="str">
        <x:v>GoblinMelee</x:v>
      </x:c>
      <x:c r="G291" s="410" t="n">
        <x:v>16</x:v>
      </x:c>
    </x:row>
    <x:row r="292">
      <x:c r="A292" t="str">
        <x:v>Stage01</x:v>
      </x:c>
      <x:c r="B292" t="str">
        <x:v>WAVE_19</x:v>
      </x:c>
      <x:c r="C292" s="409" t="n">
        <x:v>185.3</x:v>
      </x:c>
      <x:c r="D292" s="410" t="n">
        <x:v>15</x:v>
      </x:c>
      <x:c r="E292" t="str">
        <x:v>LEFT_04</x:v>
      </x:c>
      <x:c r="F292" t="str">
        <x:v>GoblinMelee</x:v>
      </x:c>
      <x:c r="G292" s="410" t="n">
        <x:v>15</x:v>
      </x:c>
    </x:row>
    <x:row r="293">
      <x:c r="A293" t="str">
        <x:v>Stage01</x:v>
      </x:c>
      <x:c r="B293" t="str">
        <x:v>WAVE_19</x:v>
      </x:c>
      <x:c r="C293" s="409" t="n">
        <x:v>185.61</x:v>
      </x:c>
      <x:c r="D293" s="410" t="n">
        <x:v>16</x:v>
      </x:c>
      <x:c r="E293" t="str">
        <x:v>TOP_06</x:v>
      </x:c>
      <x:c r="F293" t="str">
        <x:v>GoblinMelee</x:v>
      </x:c>
      <x:c r="G293" s="410" t="n">
        <x:v>16</x:v>
      </x:c>
    </x:row>
    <x:row r="294">
      <x:c r="A294" t="str">
        <x:v>Stage01</x:v>
      </x:c>
      <x:c r="B294" t="str">
        <x:v>WAVE_19</x:v>
      </x:c>
      <x:c r="C294" s="409" t="n">
        <x:v>185.91</x:v>
      </x:c>
      <x:c r="D294" s="410" t="n">
        <x:v>17</x:v>
      </x:c>
      <x:c r="E294" t="str">
        <x:v>RIGHT_07</x:v>
      </x:c>
      <x:c r="F294" t="str">
        <x:v>GoblinRanged</x:v>
      </x:c>
      <x:c r="G294" s="410" t="n">
        <x:v>16</x:v>
      </x:c>
    </x:row>
    <x:row r="295">
      <x:c r="A295" t="str">
        <x:v>Stage01</x:v>
      </x:c>
      <x:c r="B295" t="str">
        <x:v>WAVE_19</x:v>
      </x:c>
      <x:c r="C295" s="409" t="n">
        <x:v>186.22</x:v>
      </x:c>
      <x:c r="D295" s="410" t="n">
        <x:v>18</x:v>
      </x:c>
      <x:c r="E295" t="str">
        <x:v>BOTTOM_08</x:v>
      </x:c>
      <x:c r="F295" t="str">
        <x:v>GoblinMelee</x:v>
      </x:c>
      <x:c r="G295" s="410" t="n">
        <x:v>15</x:v>
      </x:c>
    </x:row>
    <x:row r="296">
      <x:c r="A296" t="str">
        <x:v>Stage01</x:v>
      </x:c>
      <x:c r="B296" t="str">
        <x:v>WAVE_19</x:v>
      </x:c>
      <x:c r="C296" s="409" t="n">
        <x:v>186.53</x:v>
      </x:c>
      <x:c r="D296" s="410" t="n">
        <x:v>19</x:v>
      </x:c>
      <x:c r="E296" t="str">
        <x:v>LEFT_01</x:v>
      </x:c>
      <x:c r="F296" t="str">
        <x:v>GoblinMelee</x:v>
      </x:c>
      <x:c r="G296" s="410" t="n">
        <x:v>16</x:v>
      </x:c>
    </x:row>
    <x:row r="297">
      <x:c r="A297" t="str">
        <x:v>Stage01</x:v>
      </x:c>
      <x:c r="B297" t="str">
        <x:v>WAVE_19</x:v>
      </x:c>
      <x:c r="C297" s="409" t="n">
        <x:v>186.84</x:v>
      </x:c>
      <x:c r="D297" s="410" t="n">
        <x:v>20</x:v>
      </x:c>
      <x:c r="E297" t="str">
        <x:v>TOP_03</x:v>
      </x:c>
      <x:c r="F297" t="str">
        <x:v>GoblinMelee</x:v>
      </x:c>
      <x:c r="G297" s="410" t="n">
        <x:v>15</x:v>
      </x:c>
    </x:row>
    <x:row r="298">
      <x:c r="A298" t="str">
        <x:v>Stage01</x:v>
      </x:c>
      <x:c r="B298" t="str">
        <x:v>WAVE_19</x:v>
      </x:c>
      <x:c r="C298" s="409" t="n">
        <x:v>187.14</x:v>
      </x:c>
      <x:c r="D298" s="410" t="n">
        <x:v>21</x:v>
      </x:c>
      <x:c r="E298" t="str">
        <x:v>RIGHT_04</x:v>
      </x:c>
      <x:c r="F298" t="str">
        <x:v>ShieldSkeleton</x:v>
      </x:c>
      <x:c r="G298" s="410" t="n">
        <x:v>16</x:v>
      </x:c>
    </x:row>
    <x:row r="299">
      <x:c r="A299" t="str">
        <x:v>Stage01</x:v>
      </x:c>
      <x:c r="B299" t="str">
        <x:v>WAVE_19</x:v>
      </x:c>
      <x:c r="C299" s="409" t="n">
        <x:v>187.45</x:v>
      </x:c>
      <x:c r="D299" s="410" t="n">
        <x:v>22</x:v>
      </x:c>
      <x:c r="E299" t="str">
        <x:v>BOTTOM_05</x:v>
      </x:c>
      <x:c r="F299" t="str">
        <x:v>GoblinMelee</x:v>
      </x:c>
      <x:c r="G299" s="410" t="n">
        <x:v>16</x:v>
      </x:c>
    </x:row>
    <x:row r="300">
      <x:c r="A300" t="str">
        <x:v>Stage01</x:v>
      </x:c>
      <x:c r="B300" t="str">
        <x:v>WAVE_19</x:v>
      </x:c>
      <x:c r="C300" s="409" t="n">
        <x:v>187.76</x:v>
      </x:c>
      <x:c r="D300" s="410" t="n">
        <x:v>23</x:v>
      </x:c>
      <x:c r="E300" t="str">
        <x:v>LEFT_06</x:v>
      </x:c>
      <x:c r="F300" t="str">
        <x:v>GoblinRanged</x:v>
      </x:c>
      <x:c r="G300" s="410" t="n">
        <x:v>15</x:v>
      </x:c>
    </x:row>
    <x:row r="301">
      <x:c r="A301" t="str">
        <x:v>Stage01</x:v>
      </x:c>
      <x:c r="B301" t="str">
        <x:v>WAVE_19</x:v>
      </x:c>
      <x:c r="C301" s="409" t="n">
        <x:v>188.06</x:v>
      </x:c>
      <x:c r="D301" s="410" t="n">
        <x:v>24</x:v>
      </x:c>
      <x:c r="E301" t="str">
        <x:v>TOP_08</x:v>
      </x:c>
      <x:c r="F301" t="str">
        <x:v>GoblinMelee</x:v>
      </x:c>
      <x:c r="G301" s="410" t="n">
        <x:v>16</x:v>
      </x:c>
    </x:row>
    <x:row r="302">
      <x:c r="A302" t="str">
        <x:v>Stage01</x:v>
      </x:c>
      <x:c r="B302" t="str">
        <x:v>WAVE_19</x:v>
      </x:c>
      <x:c r="C302" s="409" t="n">
        <x:v>188.37</x:v>
      </x:c>
      <x:c r="D302" s="410" t="n">
        <x:v>25</x:v>
      </x:c>
      <x:c r="E302" t="str">
        <x:v>RIGHT_01</x:v>
      </x:c>
      <x:c r="F302" t="str">
        <x:v>GoblinMelee</x:v>
      </x:c>
      <x:c r="G302" s="410" t="n">
        <x:v>16</x:v>
      </x:c>
    </x:row>
    <x:row r="303">
      <x:c r="A303" t="str">
        <x:v>Stage01</x:v>
      </x:c>
      <x:c r="B303" t="str">
        <x:v>WAVE_19</x:v>
      </x:c>
      <x:c r="C303" s="409" t="n">
        <x:v>188.68</x:v>
      </x:c>
      <x:c r="D303" s="410" t="n">
        <x:v>26</x:v>
      </x:c>
      <x:c r="E303" t="str">
        <x:v>BOTTOM_02</x:v>
      </x:c>
      <x:c r="F303" t="str">
        <x:v>GoblinMelee</x:v>
      </x:c>
      <x:c r="G303" s="410" t="n">
        <x:v>15</x:v>
      </x:c>
    </x:row>
    <x:row r="304">
      <x:c r="A304" t="str">
        <x:v>Stage01</x:v>
      </x:c>
      <x:c r="B304" t="str">
        <x:v>WAVE_19</x:v>
      </x:c>
      <x:c r="C304" s="409" t="n">
        <x:v>188.99</x:v>
      </x:c>
      <x:c r="D304" s="410" t="n">
        <x:v>27</x:v>
      </x:c>
      <x:c r="E304" t="str">
        <x:v>LEFT_03</x:v>
      </x:c>
      <x:c r="F304" t="str">
        <x:v>GoblinRanged</x:v>
      </x:c>
      <x:c r="G304" s="410" t="n">
        <x:v>16</x:v>
      </x:c>
    </x:row>
    <x:row r="305">
      <x:c r="A305" t="str">
        <x:v>Stage01</x:v>
      </x:c>
      <x:c r="B305" t="str">
        <x:v>WAVE_19</x:v>
      </x:c>
      <x:c r="C305" s="409" t="n">
        <x:v>189.29</x:v>
      </x:c>
      <x:c r="D305" s="410" t="n">
        <x:v>28</x:v>
      </x:c>
      <x:c r="E305" t="str">
        <x:v>TOP_05</x:v>
      </x:c>
      <x:c r="F305" t="str">
        <x:v>GoblinMelee</x:v>
      </x:c>
      <x:c r="G305" s="410" t="n">
        <x:v>15</x:v>
      </x:c>
    </x:row>
    <x:row r="306">
      <x:c r="A306" t="str">
        <x:v>Stage01</x:v>
      </x:c>
      <x:c r="B306" t="str">
        <x:v>WAVE_19</x:v>
      </x:c>
      <x:c r="C306" s="409" t="n">
        <x:v>189.6</x:v>
      </x:c>
      <x:c r="D306" s="410" t="n">
        <x:v>29</x:v>
      </x:c>
      <x:c r="E306" t="str">
        <x:v>RIGHT_06</x:v>
      </x:c>
      <x:c r="F306" t="str">
        <x:v>GoblinMelee</x:v>
      </x:c>
      <x:c r="G306" s="410" t="n">
        <x:v>16</x:v>
      </x:c>
    </x:row>
    <x:row r="307">
      <x:c r="A307" t="str">
        <x:v>Stage01</x:v>
      </x:c>
      <x:c r="B307" t="str">
        <x:v>WAVE_20</x:v>
      </x:c>
      <x:c r="C307" s="409" t="n">
        <x:v>191</x:v>
      </x:c>
      <x:c r="D307" s="410" t="n">
        <x:v>1</x:v>
      </x:c>
      <x:c r="E307" t="str">
        <x:v>RIGHT_01</x:v>
      </x:c>
      <x:c r="F307" t="str">
        <x:v>GoblinMelee</x:v>
      </x:c>
      <x:c r="G307" s="410" t="n">
        <x:v>17</x:v>
      </x:c>
    </x:row>
    <x:row r="308">
      <x:c r="A308" t="str">
        <x:v>Stage01</x:v>
      </x:c>
      <x:c r="B308" t="str">
        <x:v>WAVE_20</x:v>
      </x:c>
      <x:c r="C308" s="409" t="n">
        <x:v>191.3</x:v>
      </x:c>
      <x:c r="D308" s="410" t="n">
        <x:v>2</x:v>
      </x:c>
      <x:c r="E308" t="str">
        <x:v>BOTTOM_02</x:v>
      </x:c>
      <x:c r="F308" t="str">
        <x:v>GoblinRanged</x:v>
      </x:c>
      <x:c r="G308" s="410" t="n">
        <x:v>16</x:v>
      </x:c>
    </x:row>
    <x:row r="309">
      <x:c r="A309" t="str">
        <x:v>Stage01</x:v>
      </x:c>
      <x:c r="B309" t="str">
        <x:v>WAVE_20</x:v>
      </x:c>
      <x:c r="C309" s="409" t="n">
        <x:v>191.59</x:v>
      </x:c>
      <x:c r="D309" s="410" t="n">
        <x:v>3</x:v>
      </x:c>
      <x:c r="E309" t="str">
        <x:v>LEFT_03</x:v>
      </x:c>
      <x:c r="F309" t="str">
        <x:v>GoblinMelee</x:v>
      </x:c>
      <x:c r="G309" s="410" t="n">
        <x:v>17</x:v>
      </x:c>
    </x:row>
    <x:row r="310">
      <x:c r="A310" t="str">
        <x:v>Stage01</x:v>
      </x:c>
      <x:c r="B310" t="str">
        <x:v>WAVE_20</x:v>
      </x:c>
      <x:c r="C310" s="409" t="n">
        <x:v>191.89</x:v>
      </x:c>
      <x:c r="D310" s="410" t="n">
        <x:v>4</x:v>
      </x:c>
      <x:c r="E310" t="str">
        <x:v>TOP_05</x:v>
      </x:c>
      <x:c r="F310" t="str">
        <x:v>GoblinMelee</x:v>
      </x:c>
      <x:c r="G310" s="410" t="n">
        <x:v>17</x:v>
      </x:c>
    </x:row>
    <x:row r="311">
      <x:c r="A311" t="str">
        <x:v>Stage01</x:v>
      </x:c>
      <x:c r="B311" t="str">
        <x:v>WAVE_20</x:v>
      </x:c>
      <x:c r="C311" s="409" t="n">
        <x:v>192.19</x:v>
      </x:c>
      <x:c r="D311" s="410" t="n">
        <x:v>5</x:v>
      </x:c>
      <x:c r="E311" t="str">
        <x:v>RIGHT_06</x:v>
      </x:c>
      <x:c r="F311" t="str">
        <x:v>GoblinMelee</x:v>
      </x:c>
      <x:c r="G311" s="410" t="n">
        <x:v>16</x:v>
      </x:c>
    </x:row>
    <x:row r="312">
      <x:c r="A312" t="str">
        <x:v>Stage01</x:v>
      </x:c>
      <x:c r="B312" t="str">
        <x:v>WAVE_20</x:v>
      </x:c>
      <x:c r="C312" s="409" t="n">
        <x:v>192.48</x:v>
      </x:c>
      <x:c r="D312" s="410" t="n">
        <x:v>6</x:v>
      </x:c>
      <x:c r="E312" t="str">
        <x:v>BOTTOM_07</x:v>
      </x:c>
      <x:c r="F312" t="str">
        <x:v>ShieldSkeleton</x:v>
      </x:c>
      <x:c r="G312" s="410" t="n">
        <x:v>17</x:v>
      </x:c>
    </x:row>
    <x:row r="313">
      <x:c r="A313" t="str">
        <x:v>Stage01</x:v>
      </x:c>
      <x:c r="B313" t="str">
        <x:v>WAVE_20</x:v>
      </x:c>
      <x:c r="C313" s="409" t="n">
        <x:v>192.78</x:v>
      </x:c>
      <x:c r="D313" s="410" t="n">
        <x:v>7</x:v>
      </x:c>
      <x:c r="E313" t="str">
        <x:v>LEFT_08</x:v>
      </x:c>
      <x:c r="F313" t="str">
        <x:v>GoblinMelee</x:v>
      </x:c>
      <x:c r="G313" s="410" t="n">
        <x:v>16</x:v>
      </x:c>
    </x:row>
    <x:row r="314">
      <x:c r="A314" t="str">
        <x:v>Stage01</x:v>
      </x:c>
      <x:c r="B314" t="str">
        <x:v>WAVE_20</x:v>
      </x:c>
      <x:c r="C314" s="409" t="n">
        <x:v>193.08</x:v>
      </x:c>
      <x:c r="D314" s="410" t="n">
        <x:v>8</x:v>
      </x:c>
      <x:c r="E314" t="str">
        <x:v>TOP_02</x:v>
      </x:c>
      <x:c r="F314" t="str">
        <x:v>GoblinRanged</x:v>
      </x:c>
      <x:c r="G314" s="410" t="n">
        <x:v>17</x:v>
      </x:c>
    </x:row>
    <x:row r="315">
      <x:c r="A315" t="str">
        <x:v>Stage01</x:v>
      </x:c>
      <x:c r="B315" t="str">
        <x:v>WAVE_20</x:v>
      </x:c>
      <x:c r="C315" s="409" t="n">
        <x:v>193.37</x:v>
      </x:c>
      <x:c r="D315" s="410" t="n">
        <x:v>9</x:v>
      </x:c>
      <x:c r="E315" t="str">
        <x:v>RIGHT_03</x:v>
      </x:c>
      <x:c r="F315" t="str">
        <x:v>GoblinMelee</x:v>
      </x:c>
      <x:c r="G315" s="410" t="n">
        <x:v>17</x:v>
      </x:c>
    </x:row>
    <x:row r="316">
      <x:c r="A316" t="str">
        <x:v>Stage01</x:v>
      </x:c>
      <x:c r="B316" t="str">
        <x:v>WAVE_20</x:v>
      </x:c>
      <x:c r="C316" s="409" t="n">
        <x:v>193.67</x:v>
      </x:c>
      <x:c r="D316" s="410" t="n">
        <x:v>10</x:v>
      </x:c>
      <x:c r="E316" t="str">
        <x:v>BOTTOM_04</x:v>
      </x:c>
      <x:c r="F316" t="str">
        <x:v>GoblinMelee</x:v>
      </x:c>
      <x:c r="G316" s="410" t="n">
        <x:v>16</x:v>
      </x:c>
    </x:row>
    <x:row r="317">
      <x:c r="A317" t="str">
        <x:v>Stage01</x:v>
      </x:c>
      <x:c r="B317" t="str">
        <x:v>WAVE_20</x:v>
      </x:c>
      <x:c r="C317" s="409" t="n">
        <x:v>193.97</x:v>
      </x:c>
      <x:c r="D317" s="410" t="n">
        <x:v>11</x:v>
      </x:c>
      <x:c r="E317" t="str">
        <x:v>LEFT_05</x:v>
      </x:c>
      <x:c r="F317" t="str">
        <x:v>GoblinMelee</x:v>
      </x:c>
      <x:c r="G317" s="410" t="n">
        <x:v>17</x:v>
      </x:c>
    </x:row>
    <x:row r="318">
      <x:c r="A318" t="str">
        <x:v>Stage01</x:v>
      </x:c>
      <x:c r="B318" t="str">
        <x:v>WAVE_20</x:v>
      </x:c>
      <x:c r="C318" s="409" t="n">
        <x:v>194.26</x:v>
      </x:c>
      <x:c r="D318" s="410" t="n">
        <x:v>12</x:v>
      </x:c>
      <x:c r="E318" t="str">
        <x:v>TOP_07</x:v>
      </x:c>
      <x:c r="F318" t="str">
        <x:v>GoblinRanged</x:v>
      </x:c>
      <x:c r="G318" s="410" t="n">
        <x:v>17</x:v>
      </x:c>
    </x:row>
    <x:row r="319">
      <x:c r="A319" t="str">
        <x:v>Stage01</x:v>
      </x:c>
      <x:c r="B319" t="str">
        <x:v>WAVE_20</x:v>
      </x:c>
      <x:c r="C319" s="409" t="n">
        <x:v>194.56</x:v>
      </x:c>
      <x:c r="D319" s="410" t="n">
        <x:v>13</x:v>
      </x:c>
      <x:c r="E319" t="str">
        <x:v>RIGHT_08</x:v>
      </x:c>
      <x:c r="F319" t="str">
        <x:v>GoblinMelee</x:v>
      </x:c>
      <x:c r="G319" s="410" t="n">
        <x:v>16</x:v>
      </x:c>
    </x:row>
    <x:row r="320">
      <x:c r="A320" t="str">
        <x:v>Stage01</x:v>
      </x:c>
      <x:c r="B320" t="str">
        <x:v>WAVE_20</x:v>
      </x:c>
      <x:c r="C320" s="409" t="n">
        <x:v>194.86</x:v>
      </x:c>
      <x:c r="D320" s="410" t="n">
        <x:v>14</x:v>
      </x:c>
      <x:c r="E320" t="str">
        <x:v>BOTTOM_01</x:v>
      </x:c>
      <x:c r="F320" t="str">
        <x:v>GoblinMelee</x:v>
      </x:c>
      <x:c r="G320" s="410" t="n">
        <x:v>17</x:v>
      </x:c>
    </x:row>
    <x:row r="321">
      <x:c r="A321" t="str">
        <x:v>Stage01</x:v>
      </x:c>
      <x:c r="B321" t="str">
        <x:v>WAVE_20</x:v>
      </x:c>
      <x:c r="C321" s="409" t="n">
        <x:v>195.15</x:v>
      </x:c>
      <x:c r="D321" s="410" t="n">
        <x:v>15</x:v>
      </x:c>
      <x:c r="E321" t="str">
        <x:v>LEFT_02</x:v>
      </x:c>
      <x:c r="F321" t="str">
        <x:v>GoblinMelee</x:v>
      </x:c>
      <x:c r="G321" s="410" t="n">
        <x:v>16</x:v>
      </x:c>
    </x:row>
    <x:row r="322">
      <x:c r="A322" t="str">
        <x:v>Stage01</x:v>
      </x:c>
      <x:c r="B322" t="str">
        <x:v>WAVE_20</x:v>
      </x:c>
      <x:c r="C322" s="409" t="n">
        <x:v>195.45</x:v>
      </x:c>
      <x:c r="D322" s="410" t="n">
        <x:v>16</x:v>
      </x:c>
      <x:c r="E322" t="str">
        <x:v>TOP_04</x:v>
      </x:c>
      <x:c r="F322" t="str">
        <x:v>GoblinRanged</x:v>
      </x:c>
      <x:c r="G322" s="410" t="n">
        <x:v>17</x:v>
      </x:c>
    </x:row>
    <x:row r="323">
      <x:c r="A323" t="str">
        <x:v>Stage01</x:v>
      </x:c>
      <x:c r="B323" t="str">
        <x:v>WAVE_20</x:v>
      </x:c>
      <x:c r="C323" s="409" t="n">
        <x:v>195.74</x:v>
      </x:c>
      <x:c r="D323" s="410" t="n">
        <x:v>17</x:v>
      </x:c>
      <x:c r="E323" t="str">
        <x:v>RIGHT_05</x:v>
      </x:c>
      <x:c r="F323" t="str">
        <x:v>GoblinMelee</x:v>
      </x:c>
      <x:c r="G323" s="410" t="n">
        <x:v>17</x:v>
      </x:c>
    </x:row>
    <x:row r="324">
      <x:c r="A324" t="str">
        <x:v>Stage01</x:v>
      </x:c>
      <x:c r="B324" t="str">
        <x:v>WAVE_20</x:v>
      </x:c>
      <x:c r="C324" s="409" t="n">
        <x:v>196.04</x:v>
      </x:c>
      <x:c r="D324" s="410" t="n">
        <x:v>18</x:v>
      </x:c>
      <x:c r="E324" t="str">
        <x:v>BOTTOM_06</x:v>
      </x:c>
      <x:c r="F324" t="str">
        <x:v>GoblinMelee</x:v>
      </x:c>
      <x:c r="G324" s="410" t="n">
        <x:v>16</x:v>
      </x:c>
    </x:row>
    <x:row r="325">
      <x:c r="A325" t="str">
        <x:v>Stage01</x:v>
      </x:c>
      <x:c r="B325" t="str">
        <x:v>WAVE_20</x:v>
      </x:c>
      <x:c r="C325" s="409" t="n">
        <x:v>196.34</x:v>
      </x:c>
      <x:c r="D325" s="410" t="n">
        <x:v>19</x:v>
      </x:c>
      <x:c r="E325" t="str">
        <x:v>LEFT_07</x:v>
      </x:c>
      <x:c r="F325" t="str">
        <x:v>GoblinRanged</x:v>
      </x:c>
      <x:c r="G325" s="410" t="n">
        <x:v>17</x:v>
      </x:c>
    </x:row>
    <x:row r="326">
      <x:c r="A326" t="str">
        <x:v>Stage01</x:v>
      </x:c>
      <x:c r="B326" t="str">
        <x:v>WAVE_20</x:v>
      </x:c>
      <x:c r="C326" s="409" t="n">
        <x:v>196.63</x:v>
      </x:c>
      <x:c r="D326" s="410" t="n">
        <x:v>20</x:v>
      </x:c>
      <x:c r="E326" t="str">
        <x:v>TOP_01</x:v>
      </x:c>
      <x:c r="F326" t="str">
        <x:v>GoblinMelee</x:v>
      </x:c>
      <x:c r="G326" s="410" t="n">
        <x:v>17</x:v>
      </x:c>
    </x:row>
    <x:row r="327">
      <x:c r="A327" t="str">
        <x:v>Stage01</x:v>
      </x:c>
      <x:c r="B327" t="str">
        <x:v>WAVE_20</x:v>
      </x:c>
      <x:c r="C327" s="409" t="n">
        <x:v>196.93</x:v>
      </x:c>
      <x:c r="D327" s="410" t="n">
        <x:v>21</x:v>
      </x:c>
      <x:c r="E327" t="str">
        <x:v>RIGHT_02</x:v>
      </x:c>
      <x:c r="F327" t="str">
        <x:v>GoblinMelee</x:v>
      </x:c>
      <x:c r="G327" s="410" t="n">
        <x:v>16</x:v>
      </x:c>
    </x:row>
    <x:row r="328">
      <x:c r="A328" t="str">
        <x:v>Stage01</x:v>
      </x:c>
      <x:c r="B328" t="str">
        <x:v>WAVE_20</x:v>
      </x:c>
      <x:c r="C328" s="409" t="n">
        <x:v>197.23</x:v>
      </x:c>
      <x:c r="D328" s="410" t="n">
        <x:v>22</x:v>
      </x:c>
      <x:c r="E328" t="str">
        <x:v>BOTTOM_03</x:v>
      </x:c>
      <x:c r="F328" t="str">
        <x:v>ShieldSkeleton</x:v>
      </x:c>
      <x:c r="G328" s="410" t="n">
        <x:v>17</x:v>
      </x:c>
    </x:row>
    <x:row r="329">
      <x:c r="A329" t="str">
        <x:v>Stage01</x:v>
      </x:c>
      <x:c r="B329" t="str">
        <x:v>WAVE_20</x:v>
      </x:c>
      <x:c r="C329" s="409" t="n">
        <x:v>197.52</x:v>
      </x:c>
      <x:c r="D329" s="410" t="n">
        <x:v>23</x:v>
      </x:c>
      <x:c r="E329" t="str">
        <x:v>LEFT_04</x:v>
      </x:c>
      <x:c r="F329" t="str">
        <x:v>GoblinMelee</x:v>
      </x:c>
      <x:c r="G329" s="410" t="n">
        <x:v>17</x:v>
      </x:c>
    </x:row>
    <x:row r="330">
      <x:c r="A330" t="str">
        <x:v>Stage01</x:v>
      </x:c>
      <x:c r="B330" t="str">
        <x:v>WAVE_20</x:v>
      </x:c>
      <x:c r="C330" s="409" t="n">
        <x:v>197.82</x:v>
      </x:c>
      <x:c r="D330" s="410" t="n">
        <x:v>24</x:v>
      </x:c>
      <x:c r="E330" t="str">
        <x:v>TOP_06</x:v>
      </x:c>
      <x:c r="F330" t="str">
        <x:v>GoblinMelee</x:v>
      </x:c>
      <x:c r="G330" s="410" t="n">
        <x:v>16</x:v>
      </x:c>
    </x:row>
    <x:row r="331">
      <x:c r="A331" t="str">
        <x:v>Stage01</x:v>
      </x:c>
      <x:c r="B331" t="str">
        <x:v>WAVE_20</x:v>
      </x:c>
      <x:c r="C331" s="409" t="n">
        <x:v>198.12</x:v>
      </x:c>
      <x:c r="D331" s="410" t="n">
        <x:v>25</x:v>
      </x:c>
      <x:c r="E331" t="str">
        <x:v>RIGHT_07</x:v>
      </x:c>
      <x:c r="F331" t="str">
        <x:v>GoblinRanged</x:v>
      </x:c>
      <x:c r="G331" s="410" t="n">
        <x:v>17</x:v>
      </x:c>
    </x:row>
    <x:row r="332">
      <x:c r="A332" t="str">
        <x:v>Stage01</x:v>
      </x:c>
      <x:c r="B332" t="str">
        <x:v>WAVE_20</x:v>
      </x:c>
      <x:c r="C332" s="409" t="n">
        <x:v>198.41</x:v>
      </x:c>
      <x:c r="D332" s="410" t="n">
        <x:v>26</x:v>
      </x:c>
      <x:c r="E332" t="str">
        <x:v>BOTTOM_08</x:v>
      </x:c>
      <x:c r="F332" t="str">
        <x:v>GoblinMelee</x:v>
      </x:c>
      <x:c r="G332" s="410" t="n">
        <x:v>16</x:v>
      </x:c>
    </x:row>
    <x:row r="333">
      <x:c r="A333" t="str">
        <x:v>Stage01</x:v>
      </x:c>
      <x:c r="B333" t="str">
        <x:v>WAVE_20</x:v>
      </x:c>
      <x:c r="C333" s="409" t="n">
        <x:v>198.71</x:v>
      </x:c>
      <x:c r="D333" s="410" t="n">
        <x:v>27</x:v>
      </x:c>
      <x:c r="E333" t="str">
        <x:v>LEFT_01</x:v>
      </x:c>
      <x:c r="F333" t="str">
        <x:v>GoblinMelee</x:v>
      </x:c>
      <x:c r="G333" s="410" t="n">
        <x:v>17</x:v>
      </x:c>
    </x:row>
    <x:row r="334">
      <x:c r="A334" t="str">
        <x:v>Stage01</x:v>
      </x:c>
      <x:c r="B334" t="str">
        <x:v>WAVE_20</x:v>
      </x:c>
      <x:c r="C334" s="409" t="n">
        <x:v>199.01</x:v>
      </x:c>
      <x:c r="D334" s="410" t="n">
        <x:v>28</x:v>
      </x:c>
      <x:c r="E334" t="str">
        <x:v>TOP_03</x:v>
      </x:c>
      <x:c r="F334" t="str">
        <x:v>GoblinMelee</x:v>
      </x:c>
      <x:c r="G334" s="410" t="n">
        <x:v>17</x:v>
      </x:c>
    </x:row>
    <x:row r="335">
      <x:c r="A335" t="str">
        <x:v>Stage01</x:v>
      </x:c>
      <x:c r="B335" t="str">
        <x:v>WAVE_20</x:v>
      </x:c>
      <x:c r="C335" s="409" t="n">
        <x:v>199.3</x:v>
      </x:c>
      <x:c r="D335" s="410" t="n">
        <x:v>29</x:v>
      </x:c>
      <x:c r="E335" t="str">
        <x:v>RIGHT_04</x:v>
      </x:c>
      <x:c r="F335" t="str">
        <x:v>GoblinRanged</x:v>
      </x:c>
      <x:c r="G335" s="410" t="n">
        <x:v>16</x:v>
      </x:c>
    </x:row>
    <x:row r="336">
      <x:c r="A336" t="str">
        <x:v>Stage01</x:v>
      </x:c>
      <x:c r="B336" t="str">
        <x:v>WAVE_20</x:v>
      </x:c>
      <x:c r="C336" s="409" t="n">
        <x:v>199.6</x:v>
      </x:c>
      <x:c r="D336" s="410" t="n">
        <x:v>30</x:v>
      </x:c>
      <x:c r="E336" t="str">
        <x:v>BOTTOM_05</x:v>
      </x:c>
      <x:c r="F336" t="str">
        <x:v>GoblinMelee</x:v>
      </x:c>
      <x:c r="G336" s="410" t="n">
        <x:v>17</x:v>
      </x:c>
    </x:row>
    <x:row r="337">
      <x:c r="A337" t="str">
        <x:v>Stage01</x:v>
      </x:c>
      <x:c r="B337" t="str">
        <x:v>WAVE_21</x:v>
      </x:c>
      <x:c r="C337" s="409" t="n">
        <x:v>201</x:v>
      </x:c>
      <x:c r="D337" s="410" t="n">
        <x:v>1</x:v>
      </x:c>
      <x:c r="E337" t="str">
        <x:v>BOTTOM_08</x:v>
      </x:c>
      <x:c r="F337" t="str">
        <x:v>GoblinMelee</x:v>
      </x:c>
      <x:c r="G337" s="410" t="n">
        <x:v>18</x:v>
      </x:c>
    </x:row>
    <x:row r="338">
      <x:c r="A338" t="str">
        <x:v>Stage01</x:v>
      </x:c>
      <x:c r="B338" t="str">
        <x:v>WAVE_21</x:v>
      </x:c>
      <x:c r="C338" s="409" t="n">
        <x:v>201.28</x:v>
      </x:c>
      <x:c r="D338" s="410" t="n">
        <x:v>2</x:v>
      </x:c>
      <x:c r="E338" t="str">
        <x:v>LEFT_01</x:v>
      </x:c>
      <x:c r="F338" t="str">
        <x:v>GoblinRanged</x:v>
      </x:c>
      <x:c r="G338" s="410" t="n">
        <x:v>17</x:v>
      </x:c>
    </x:row>
    <x:row r="339">
      <x:c r="A339" t="str">
        <x:v>Stage01</x:v>
      </x:c>
      <x:c r="B339" t="str">
        <x:v>WAVE_21</x:v>
      </x:c>
      <x:c r="C339" s="409" t="n">
        <x:v>201.55</x:v>
      </x:c>
      <x:c r="D339" s="410" t="n">
        <x:v>3</x:v>
      </x:c>
      <x:c r="E339" t="str">
        <x:v>TOP_03</x:v>
      </x:c>
      <x:c r="F339" t="str">
        <x:v>GoblinMelee</x:v>
      </x:c>
      <x:c r="G339" s="410" t="n">
        <x:v>18</x:v>
      </x:c>
    </x:row>
    <x:row r="340">
      <x:c r="A340" t="str">
        <x:v>Stage01</x:v>
      </x:c>
      <x:c r="B340" t="str">
        <x:v>WAVE_21</x:v>
      </x:c>
      <x:c r="C340" s="409" t="n">
        <x:v>201.83</x:v>
      </x:c>
      <x:c r="D340" s="410" t="n">
        <x:v>4</x:v>
      </x:c>
      <x:c r="E340" t="str">
        <x:v>RIGHT_04</x:v>
      </x:c>
      <x:c r="F340" t="str">
        <x:v>GoblinMelee</x:v>
      </x:c>
      <x:c r="G340" s="410" t="n">
        <x:v>18</x:v>
      </x:c>
    </x:row>
    <x:row r="341">
      <x:c r="A341" t="str">
        <x:v>Stage01</x:v>
      </x:c>
      <x:c r="B341" t="str">
        <x:v>WAVE_21</x:v>
      </x:c>
      <x:c r="C341" s="409" t="n">
        <x:v>202.11</x:v>
      </x:c>
      <x:c r="D341" s="410" t="n">
        <x:v>5</x:v>
      </x:c>
      <x:c r="E341" t="str">
        <x:v>BOTTOM_05</x:v>
      </x:c>
      <x:c r="F341" t="str">
        <x:v>ShieldSkeleton</x:v>
      </x:c>
      <x:c r="G341" s="410" t="n">
        <x:v>17</x:v>
      </x:c>
    </x:row>
    <x:row r="342">
      <x:c r="A342" t="str">
        <x:v>Stage01</x:v>
      </x:c>
      <x:c r="B342" t="str">
        <x:v>WAVE_21</x:v>
      </x:c>
      <x:c r="C342" s="409" t="n">
        <x:v>202.39</x:v>
      </x:c>
      <x:c r="D342" s="410" t="n">
        <x:v>6</x:v>
      </x:c>
      <x:c r="E342" t="str">
        <x:v>LEFT_06</x:v>
      </x:c>
      <x:c r="F342" t="str">
        <x:v>GoblinMelee</x:v>
      </x:c>
      <x:c r="G342" s="410" t="n">
        <x:v>18</x:v>
      </x:c>
    </x:row>
    <x:row r="343">
      <x:c r="A343" t="str">
        <x:v>Stage01</x:v>
      </x:c>
      <x:c r="B343" t="str">
        <x:v>WAVE_21</x:v>
      </x:c>
      <x:c r="C343" s="409" t="n">
        <x:v>202.66</x:v>
      </x:c>
      <x:c r="D343" s="410" t="n">
        <x:v>7</x:v>
      </x:c>
      <x:c r="E343" t="str">
        <x:v>TOP_08</x:v>
      </x:c>
      <x:c r="F343" t="str">
        <x:v>GoblinMelee</x:v>
      </x:c>
      <x:c r="G343" s="410" t="n">
        <x:v>18</x:v>
      </x:c>
    </x:row>
    <x:row r="344">
      <x:c r="A344" t="str">
        <x:v>Stage01</x:v>
      </x:c>
      <x:c r="B344" t="str">
        <x:v>WAVE_21</x:v>
      </x:c>
      <x:c r="C344" s="409" t="n">
        <x:v>202.94</x:v>
      </x:c>
      <x:c r="D344" s="410" t="n">
        <x:v>8</x:v>
      </x:c>
      <x:c r="E344" t="str">
        <x:v>RIGHT_01</x:v>
      </x:c>
      <x:c r="F344" t="str">
        <x:v>GoblinRanged</x:v>
      </x:c>
      <x:c r="G344" s="410" t="n">
        <x:v>17</x:v>
      </x:c>
    </x:row>
    <x:row r="345">
      <x:c r="A345" t="str">
        <x:v>Stage01</x:v>
      </x:c>
      <x:c r="B345" t="str">
        <x:v>WAVE_21</x:v>
      </x:c>
      <x:c r="C345" s="409" t="n">
        <x:v>203.22</x:v>
      </x:c>
      <x:c r="D345" s="410" t="n">
        <x:v>9</x:v>
      </x:c>
      <x:c r="E345" t="str">
        <x:v>BOTTOM_02</x:v>
      </x:c>
      <x:c r="F345" t="str">
        <x:v>GoblinMelee</x:v>
      </x:c>
      <x:c r="G345" s="410" t="n">
        <x:v>18</x:v>
      </x:c>
    </x:row>
    <x:row r="346">
      <x:c r="A346" t="str">
        <x:v>Stage01</x:v>
      </x:c>
      <x:c r="B346" t="str">
        <x:v>WAVE_21</x:v>
      </x:c>
      <x:c r="C346" s="409" t="n">
        <x:v>203.5</x:v>
      </x:c>
      <x:c r="D346" s="410" t="n">
        <x:v>10</x:v>
      </x:c>
      <x:c r="E346" t="str">
        <x:v>LEFT_03</x:v>
      </x:c>
      <x:c r="F346" t="str">
        <x:v>GoblinMelee</x:v>
      </x:c>
      <x:c r="G346" s="410" t="n">
        <x:v>18</x:v>
      </x:c>
    </x:row>
    <x:row r="347">
      <x:c r="A347" t="str">
        <x:v>Stage01</x:v>
      </x:c>
      <x:c r="B347" t="str">
        <x:v>WAVE_21</x:v>
      </x:c>
      <x:c r="C347" s="409" t="n">
        <x:v>203.77</x:v>
      </x:c>
      <x:c r="D347" s="410" t="n">
        <x:v>11</x:v>
      </x:c>
      <x:c r="E347" t="str">
        <x:v>TOP_05</x:v>
      </x:c>
      <x:c r="F347" t="str">
        <x:v>GoblinMelee</x:v>
      </x:c>
      <x:c r="G347" s="410" t="n">
        <x:v>18</x:v>
      </x:c>
    </x:row>
    <x:row r="348">
      <x:c r="A348" t="str">
        <x:v>Stage01</x:v>
      </x:c>
      <x:c r="B348" t="str">
        <x:v>WAVE_21</x:v>
      </x:c>
      <x:c r="C348" s="409" t="n">
        <x:v>204.05</x:v>
      </x:c>
      <x:c r="D348" s="410" t="n">
        <x:v>12</x:v>
      </x:c>
      <x:c r="E348" t="str">
        <x:v>RIGHT_06</x:v>
      </x:c>
      <x:c r="F348" t="str">
        <x:v>GoblinRanged</x:v>
      </x:c>
      <x:c r="G348" s="410" t="n">
        <x:v>17</x:v>
      </x:c>
    </x:row>
    <x:row r="349">
      <x:c r="A349" t="str">
        <x:v>Stage01</x:v>
      </x:c>
      <x:c r="B349" t="str">
        <x:v>WAVE_21</x:v>
      </x:c>
      <x:c r="C349" s="409" t="n">
        <x:v>204.33</x:v>
      </x:c>
      <x:c r="D349" s="410" t="n">
        <x:v>13</x:v>
      </x:c>
      <x:c r="E349" t="str">
        <x:v>BOTTOM_07</x:v>
      </x:c>
      <x:c r="F349" t="str">
        <x:v>GoblinMelee</x:v>
      </x:c>
      <x:c r="G349" s="410" t="n">
        <x:v>18</x:v>
      </x:c>
    </x:row>
    <x:row r="350">
      <x:c r="A350" t="str">
        <x:v>Stage01</x:v>
      </x:c>
      <x:c r="B350" t="str">
        <x:v>WAVE_21</x:v>
      </x:c>
      <x:c r="C350" s="409" t="n">
        <x:v>204.61</x:v>
      </x:c>
      <x:c r="D350" s="410" t="n">
        <x:v>14</x:v>
      </x:c>
      <x:c r="E350" t="str">
        <x:v>LEFT_08</x:v>
      </x:c>
      <x:c r="F350" t="str">
        <x:v>GoblinMelee</x:v>
      </x:c>
      <x:c r="G350" s="410" t="n">
        <x:v>18</x:v>
      </x:c>
    </x:row>
    <x:row r="351">
      <x:c r="A351" t="str">
        <x:v>Stage01</x:v>
      </x:c>
      <x:c r="B351" t="str">
        <x:v>WAVE_21</x:v>
      </x:c>
      <x:c r="C351" s="409" t="n">
        <x:v>204.88</x:v>
      </x:c>
      <x:c r="D351" s="410" t="n">
        <x:v>15</x:v>
      </x:c>
      <x:c r="E351" t="str">
        <x:v>TOP_02</x:v>
      </x:c>
      <x:c r="F351" t="str">
        <x:v>ShieldSkeleton</x:v>
      </x:c>
      <x:c r="G351" s="410" t="n">
        <x:v>17</x:v>
      </x:c>
    </x:row>
    <x:row r="352">
      <x:c r="A352" t="str">
        <x:v>Stage01</x:v>
      </x:c>
      <x:c r="B352" t="str">
        <x:v>WAVE_21</x:v>
      </x:c>
      <x:c r="C352" s="409" t="n">
        <x:v>205.16</x:v>
      </x:c>
      <x:c r="D352" s="410" t="n">
        <x:v>16</x:v>
      </x:c>
      <x:c r="E352" t="str">
        <x:v>RIGHT_03</x:v>
      </x:c>
      <x:c r="F352" t="str">
        <x:v>GoblinMelee</x:v>
      </x:c>
      <x:c r="G352" s="410" t="n">
        <x:v>18</x:v>
      </x:c>
    </x:row>
    <x:row r="353">
      <x:c r="A353" t="str">
        <x:v>Stage01</x:v>
      </x:c>
      <x:c r="B353" t="str">
        <x:v>WAVE_21</x:v>
      </x:c>
      <x:c r="C353" s="409" t="n">
        <x:v>205.44</x:v>
      </x:c>
      <x:c r="D353" s="410" t="n">
        <x:v>17</x:v>
      </x:c>
      <x:c r="E353" t="str">
        <x:v>BOTTOM_04</x:v>
      </x:c>
      <x:c r="F353" t="str">
        <x:v>GoblinRanged</x:v>
      </x:c>
      <x:c r="G353" s="410" t="n">
        <x:v>18</x:v>
      </x:c>
    </x:row>
    <x:row r="354">
      <x:c r="A354" t="str">
        <x:v>Stage01</x:v>
      </x:c>
      <x:c r="B354" t="str">
        <x:v>WAVE_21</x:v>
      </x:c>
      <x:c r="C354" s="409" t="n">
        <x:v>205.72</x:v>
      </x:c>
      <x:c r="D354" s="410" t="n">
        <x:v>18</x:v>
      </x:c>
      <x:c r="E354" t="str">
        <x:v>LEFT_05</x:v>
      </x:c>
      <x:c r="F354" t="str">
        <x:v>GoblinMelee</x:v>
      </x:c>
      <x:c r="G354" s="410" t="n">
        <x:v>17</x:v>
      </x:c>
    </x:row>
    <x:row r="355">
      <x:c r="A355" t="str">
        <x:v>Stage01</x:v>
      </x:c>
      <x:c r="B355" t="str">
        <x:v>WAVE_21</x:v>
      </x:c>
      <x:c r="C355" s="409" t="n">
        <x:v>205.99</x:v>
      </x:c>
      <x:c r="D355" s="410" t="n">
        <x:v>19</x:v>
      </x:c>
      <x:c r="E355" t="str">
        <x:v>TOP_07</x:v>
      </x:c>
      <x:c r="F355" t="str">
        <x:v>GoblinMelee</x:v>
      </x:c>
      <x:c r="G355" s="410" t="n">
        <x:v>18</x:v>
      </x:c>
    </x:row>
    <x:row r="356">
      <x:c r="A356" t="str">
        <x:v>Stage01</x:v>
      </x:c>
      <x:c r="B356" t="str">
        <x:v>WAVE_21</x:v>
      </x:c>
      <x:c r="C356" s="409" t="n">
        <x:v>206.27</x:v>
      </x:c>
      <x:c r="D356" s="410" t="n">
        <x:v>20</x:v>
      </x:c>
      <x:c r="E356" t="str">
        <x:v>RIGHT_08</x:v>
      </x:c>
      <x:c r="F356" t="str">
        <x:v>GoblinMelee</x:v>
      </x:c>
      <x:c r="G356" s="410" t="n">
        <x:v>18</x:v>
      </x:c>
    </x:row>
    <x:row r="357">
      <x:c r="A357" t="str">
        <x:v>Stage01</x:v>
      </x:c>
      <x:c r="B357" t="str">
        <x:v>WAVE_21</x:v>
      </x:c>
      <x:c r="C357" s="409" t="n">
        <x:v>206.55</x:v>
      </x:c>
      <x:c r="D357" s="410" t="n">
        <x:v>21</x:v>
      </x:c>
      <x:c r="E357" t="str">
        <x:v>BOTTOM_01</x:v>
      </x:c>
      <x:c r="F357" t="str">
        <x:v>GoblinRanged</x:v>
      </x:c>
      <x:c r="G357" s="410" t="n">
        <x:v>17</x:v>
      </x:c>
    </x:row>
    <x:row r="358">
      <x:c r="A358" t="str">
        <x:v>Stage01</x:v>
      </x:c>
      <x:c r="B358" t="str">
        <x:v>WAVE_21</x:v>
      </x:c>
      <x:c r="C358" s="409" t="n">
        <x:v>206.83</x:v>
      </x:c>
      <x:c r="D358" s="410" t="n">
        <x:v>22</x:v>
      </x:c>
      <x:c r="E358" t="str">
        <x:v>LEFT_02</x:v>
      </x:c>
      <x:c r="F358" t="str">
        <x:v>GoblinMelee</x:v>
      </x:c>
      <x:c r="G358" s="410" t="n">
        <x:v>18</x:v>
      </x:c>
    </x:row>
    <x:row r="359">
      <x:c r="A359" t="str">
        <x:v>Stage01</x:v>
      </x:c>
      <x:c r="B359" t="str">
        <x:v>WAVE_21</x:v>
      </x:c>
      <x:c r="C359" s="409" t="n">
        <x:v>207.1</x:v>
      </x:c>
      <x:c r="D359" s="410" t="n">
        <x:v>23</x:v>
      </x:c>
      <x:c r="E359" t="str">
        <x:v>TOP_04</x:v>
      </x:c>
      <x:c r="F359" t="str">
        <x:v>GoblinMelee</x:v>
      </x:c>
      <x:c r="G359" s="410" t="n">
        <x:v>18</x:v>
      </x:c>
    </x:row>
    <x:row r="360">
      <x:c r="A360" t="str">
        <x:v>Stage01</x:v>
      </x:c>
      <x:c r="B360" t="str">
        <x:v>WAVE_21</x:v>
      </x:c>
      <x:c r="C360" s="409" t="n">
        <x:v>207.38</x:v>
      </x:c>
      <x:c r="D360" s="410" t="n">
        <x:v>24</x:v>
      </x:c>
      <x:c r="E360" t="str">
        <x:v>RIGHT_05</x:v>
      </x:c>
      <x:c r="F360" t="str">
        <x:v>GoblinMelee</x:v>
      </x:c>
      <x:c r="G360" s="410" t="n">
        <x:v>17</x:v>
      </x:c>
    </x:row>
    <x:row r="361">
      <x:c r="A361" t="str">
        <x:v>Stage01</x:v>
      </x:c>
      <x:c r="B361" t="str">
        <x:v>WAVE_21</x:v>
      </x:c>
      <x:c r="C361" s="409" t="n">
        <x:v>207.66</x:v>
      </x:c>
      <x:c r="D361" s="410" t="n">
        <x:v>25</x:v>
      </x:c>
      <x:c r="E361" t="str">
        <x:v>BOTTOM_06</x:v>
      </x:c>
      <x:c r="F361" t="str">
        <x:v>GoblinRanged</x:v>
      </x:c>
      <x:c r="G361" s="410" t="n">
        <x:v>18</x:v>
      </x:c>
    </x:row>
    <x:row r="362">
      <x:c r="A362" t="str">
        <x:v>Stage01</x:v>
      </x:c>
      <x:c r="B362" t="str">
        <x:v>WAVE_21</x:v>
      </x:c>
      <x:c r="C362" s="409" t="n">
        <x:v>207.94</x:v>
      </x:c>
      <x:c r="D362" s="410" t="n">
        <x:v>26</x:v>
      </x:c>
      <x:c r="E362" t="str">
        <x:v>LEFT_07</x:v>
      </x:c>
      <x:c r="F362" t="str">
        <x:v>GoblinMelee</x:v>
      </x:c>
      <x:c r="G362" s="410" t="n">
        <x:v>18</x:v>
      </x:c>
    </x:row>
    <x:row r="363">
      <x:c r="A363" t="str">
        <x:v>Stage01</x:v>
      </x:c>
      <x:c r="B363" t="str">
        <x:v>WAVE_21</x:v>
      </x:c>
      <x:c r="C363" s="409" t="n">
        <x:v>208.21</x:v>
      </x:c>
      <x:c r="D363" s="410" t="n">
        <x:v>27</x:v>
      </x:c>
      <x:c r="E363" t="str">
        <x:v>TOP_01</x:v>
      </x:c>
      <x:c r="F363" t="str">
        <x:v>GoblinMelee</x:v>
      </x:c>
      <x:c r="G363" s="410" t="n">
        <x:v>18</x:v>
      </x:c>
    </x:row>
    <x:row r="364">
      <x:c r="A364" t="str">
        <x:v>Stage01</x:v>
      </x:c>
      <x:c r="B364" t="str">
        <x:v>WAVE_21</x:v>
      </x:c>
      <x:c r="C364" s="409" t="n">
        <x:v>208.49</x:v>
      </x:c>
      <x:c r="D364" s="410" t="n">
        <x:v>28</x:v>
      </x:c>
      <x:c r="E364" t="str">
        <x:v>RIGHT_02</x:v>
      </x:c>
      <x:c r="F364" t="str">
        <x:v>ShieldSkeleton</x:v>
      </x:c>
      <x:c r="G364" s="410" t="n">
        <x:v>17</x:v>
      </x:c>
    </x:row>
    <x:row r="365">
      <x:c r="A365" t="str">
        <x:v>Stage01</x:v>
      </x:c>
      <x:c r="B365" t="str">
        <x:v>WAVE_21</x:v>
      </x:c>
      <x:c r="C365" s="409" t="n">
        <x:v>208.77</x:v>
      </x:c>
      <x:c r="D365" s="410" t="n">
        <x:v>29</x:v>
      </x:c>
      <x:c r="E365" t="str">
        <x:v>BOTTOM_03</x:v>
      </x:c>
      <x:c r="F365" t="str">
        <x:v>GoblinMelee</x:v>
      </x:c>
      <x:c r="G365" s="410" t="n">
        <x:v>18</x:v>
      </x:c>
    </x:row>
    <x:row r="366">
      <x:c r="A366" t="str">
        <x:v>Stage01</x:v>
      </x:c>
      <x:c r="B366" t="str">
        <x:v>WAVE_21</x:v>
      </x:c>
      <x:c r="C366" s="409" t="n">
        <x:v>209.05</x:v>
      </x:c>
      <x:c r="D366" s="410" t="n">
        <x:v>30</x:v>
      </x:c>
      <x:c r="E366" t="str">
        <x:v>LEFT_04</x:v>
      </x:c>
      <x:c r="F366" t="str">
        <x:v>GoblinMelee</x:v>
      </x:c>
      <x:c r="G366" s="410" t="n">
        <x:v>18</x:v>
      </x:c>
    </x:row>
    <x:row r="367">
      <x:c r="A367" t="str">
        <x:v>Stage01</x:v>
      </x:c>
      <x:c r="B367" t="str">
        <x:v>WAVE_21</x:v>
      </x:c>
      <x:c r="C367" s="409" t="n">
        <x:v>209.32</x:v>
      </x:c>
      <x:c r="D367" s="410" t="n">
        <x:v>31</x:v>
      </x:c>
      <x:c r="E367" t="str">
        <x:v>TOP_06</x:v>
      </x:c>
      <x:c r="F367" t="str">
        <x:v>GoblinRanged</x:v>
      </x:c>
      <x:c r="G367" s="410" t="n">
        <x:v>17</x:v>
      </x:c>
    </x:row>
    <x:row r="368">
      <x:c r="A368" t="str">
        <x:v>Stage01</x:v>
      </x:c>
      <x:c r="B368" t="str">
        <x:v>WAVE_21</x:v>
      </x:c>
      <x:c r="C368" s="409" t="n">
        <x:v>209.6</x:v>
      </x:c>
      <x:c r="D368" s="410" t="n">
        <x:v>32</x:v>
      </x:c>
      <x:c r="E368" t="str">
        <x:v>RIGHT_07</x:v>
      </x:c>
      <x:c r="F368" t="str">
        <x:v>GoblinMelee</x:v>
      </x:c>
      <x:c r="G368" s="410" t="n">
        <x:v>18</x:v>
      </x:c>
    </x:row>
    <x:row r="369">
      <x:c r="A369" t="str">
        <x:v>Stage01</x:v>
      </x:c>
      <x:c r="B369" t="str">
        <x:v>WAVE_22</x:v>
      </x:c>
      <x:c r="C369" s="409" t="n">
        <x:v>211</x:v>
      </x:c>
      <x:c r="D369" s="410" t="n">
        <x:v>1</x:v>
      </x:c>
      <x:c r="E369" t="str">
        <x:v>RIGHT_02</x:v>
      </x:c>
      <x:c r="F369" t="str">
        <x:v>GoblinMelee</x:v>
      </x:c>
      <x:c r="G369" s="410" t="n">
        <x:v>18</x:v>
      </x:c>
    </x:row>
    <x:row r="370">
      <x:c r="A370" t="str">
        <x:v>Stage01</x:v>
      </x:c>
      <x:c r="B370" t="str">
        <x:v>WAVE_22</x:v>
      </x:c>
      <x:c r="C370" s="409" t="n">
        <x:v>211.26</x:v>
      </x:c>
      <x:c r="D370" s="410" t="n">
        <x:v>2</x:v>
      </x:c>
      <x:c r="E370" t="str">
        <x:v>BOTTOM_03</x:v>
      </x:c>
      <x:c r="F370" t="str">
        <x:v>GoblinRanged</x:v>
      </x:c>
      <x:c r="G370" s="410" t="n">
        <x:v>17</x:v>
      </x:c>
    </x:row>
    <x:row r="371">
      <x:c r="A371" t="str">
        <x:v>Stage01</x:v>
      </x:c>
      <x:c r="B371" t="str">
        <x:v>WAVE_22</x:v>
      </x:c>
      <x:c r="C371" s="409" t="n">
        <x:v>211.52</x:v>
      </x:c>
      <x:c r="D371" s="410" t="n">
        <x:v>3</x:v>
      </x:c>
      <x:c r="E371" t="str">
        <x:v>LEFT_04</x:v>
      </x:c>
      <x:c r="F371" t="str">
        <x:v>GoblinMelee</x:v>
      </x:c>
      <x:c r="G371" s="410" t="n">
        <x:v>18</x:v>
      </x:c>
    </x:row>
    <x:row r="372">
      <x:c r="A372" t="str">
        <x:v>Stage01</x:v>
      </x:c>
      <x:c r="B372" t="str">
        <x:v>WAVE_22</x:v>
      </x:c>
      <x:c r="C372" s="409" t="n">
        <x:v>211.78</x:v>
      </x:c>
      <x:c r="D372" s="410" t="n">
        <x:v>4</x:v>
      </x:c>
      <x:c r="E372" t="str">
        <x:v>TOP_06</x:v>
      </x:c>
      <x:c r="F372" t="str">
        <x:v>GoblinMelee</x:v>
      </x:c>
      <x:c r="G372" s="410" t="n">
        <x:v>18</x:v>
      </x:c>
    </x:row>
    <x:row r="373">
      <x:c r="A373" t="str">
        <x:v>Stage01</x:v>
      </x:c>
      <x:c r="B373" t="str">
        <x:v>WAVE_22</x:v>
      </x:c>
      <x:c r="C373" s="409" t="n">
        <x:v>212.04</x:v>
      </x:c>
      <x:c r="D373" s="410" t="n">
        <x:v>5</x:v>
      </x:c>
      <x:c r="E373" t="str">
        <x:v>RIGHT_07</x:v>
      </x:c>
      <x:c r="F373" t="str">
        <x:v>ShieldSkeleton</x:v>
      </x:c>
      <x:c r="G373" s="410" t="n">
        <x:v>18</x:v>
      </x:c>
    </x:row>
    <x:row r="374">
      <x:c r="A374" t="str">
        <x:v>Stage01</x:v>
      </x:c>
      <x:c r="B374" t="str">
        <x:v>WAVE_22</x:v>
      </x:c>
      <x:c r="C374" s="409" t="n">
        <x:v>212.3</x:v>
      </x:c>
      <x:c r="D374" s="410" t="n">
        <x:v>6</x:v>
      </x:c>
      <x:c r="E374" t="str">
        <x:v>BOTTOM_08</x:v>
      </x:c>
      <x:c r="F374" t="str">
        <x:v>GoblinMelee</x:v>
      </x:c>
      <x:c r="G374" s="410" t="n">
        <x:v>17</x:v>
      </x:c>
    </x:row>
    <x:row r="375">
      <x:c r="A375" t="str">
        <x:v>Stage01</x:v>
      </x:c>
      <x:c r="B375" t="str">
        <x:v>WAVE_22</x:v>
      </x:c>
      <x:c r="C375" s="409" t="n">
        <x:v>212.56</x:v>
      </x:c>
      <x:c r="D375" s="410" t="n">
        <x:v>7</x:v>
      </x:c>
      <x:c r="E375" t="str">
        <x:v>LEFT_01</x:v>
      </x:c>
      <x:c r="F375" t="str">
        <x:v>GoblinMelee</x:v>
      </x:c>
      <x:c r="G375" s="410" t="n">
        <x:v>18</x:v>
      </x:c>
    </x:row>
    <x:row r="376">
      <x:c r="A376" t="str">
        <x:v>Stage01</x:v>
      </x:c>
      <x:c r="B376" t="str">
        <x:v>WAVE_22</x:v>
      </x:c>
      <x:c r="C376" s="409" t="n">
        <x:v>212.82</x:v>
      </x:c>
      <x:c r="D376" s="410" t="n">
        <x:v>8</x:v>
      </x:c>
      <x:c r="E376" t="str">
        <x:v>TOP_03</x:v>
      </x:c>
      <x:c r="F376" t="str">
        <x:v>GoblinRanged</x:v>
      </x:c>
      <x:c r="G376" s="410" t="n">
        <x:v>18</x:v>
      </x:c>
    </x:row>
    <x:row r="377">
      <x:c r="A377" t="str">
        <x:v>Stage01</x:v>
      </x:c>
      <x:c r="B377" t="str">
        <x:v>WAVE_22</x:v>
      </x:c>
      <x:c r="C377" s="409" t="n">
        <x:v>213.08</x:v>
      </x:c>
      <x:c r="D377" s="410" t="n">
        <x:v>9</x:v>
      </x:c>
      <x:c r="E377" t="str">
        <x:v>RIGHT_04</x:v>
      </x:c>
      <x:c r="F377" t="str">
        <x:v>GoblinMelee</x:v>
      </x:c>
      <x:c r="G377" s="410" t="n">
        <x:v>17</x:v>
      </x:c>
    </x:row>
    <x:row r="378">
      <x:c r="A378" t="str">
        <x:v>Stage01</x:v>
      </x:c>
      <x:c r="B378" t="str">
        <x:v>WAVE_22</x:v>
      </x:c>
      <x:c r="C378" s="409" t="n">
        <x:v>213.35</x:v>
      </x:c>
      <x:c r="D378" s="410" t="n">
        <x:v>10</x:v>
      </x:c>
      <x:c r="E378" t="str">
        <x:v>BOTTOM_05</x:v>
      </x:c>
      <x:c r="F378" t="str">
        <x:v>GoblinMelee</x:v>
      </x:c>
      <x:c r="G378" s="410" t="n">
        <x:v>18</x:v>
      </x:c>
    </x:row>
    <x:row r="379">
      <x:c r="A379" t="str">
        <x:v>Stage01</x:v>
      </x:c>
      <x:c r="B379" t="str">
        <x:v>WAVE_22</x:v>
      </x:c>
      <x:c r="C379" s="409" t="n">
        <x:v>213.61</x:v>
      </x:c>
      <x:c r="D379" s="410" t="n">
        <x:v>11</x:v>
      </x:c>
      <x:c r="E379" t="str">
        <x:v>LEFT_06</x:v>
      </x:c>
      <x:c r="F379" t="str">
        <x:v>GoblinRanged</x:v>
      </x:c>
      <x:c r="G379" s="410" t="n">
        <x:v>18</x:v>
      </x:c>
    </x:row>
    <x:row r="380">
      <x:c r="A380" t="str">
        <x:v>Stage01</x:v>
      </x:c>
      <x:c r="B380" t="str">
        <x:v>WAVE_22</x:v>
      </x:c>
      <x:c r="C380" s="409" t="n">
        <x:v>213.87</x:v>
      </x:c>
      <x:c r="D380" s="410" t="n">
        <x:v>12</x:v>
      </x:c>
      <x:c r="E380" t="str">
        <x:v>TOP_08</x:v>
      </x:c>
      <x:c r="F380" t="str">
        <x:v>GoblinMelee</x:v>
      </x:c>
      <x:c r="G380" s="410" t="n">
        <x:v>17</x:v>
      </x:c>
    </x:row>
    <x:row r="381">
      <x:c r="A381" t="str">
        <x:v>Stage01</x:v>
      </x:c>
      <x:c r="B381" t="str">
        <x:v>WAVE_22</x:v>
      </x:c>
      <x:c r="C381" s="409" t="n">
        <x:v>214.13</x:v>
      </x:c>
      <x:c r="D381" s="410" t="n">
        <x:v>13</x:v>
      </x:c>
      <x:c r="E381" t="str">
        <x:v>RIGHT_01</x:v>
      </x:c>
      <x:c r="F381" t="str">
        <x:v>GoblinMelee</x:v>
      </x:c>
      <x:c r="G381" s="410" t="n">
        <x:v>18</x:v>
      </x:c>
    </x:row>
    <x:row r="382">
      <x:c r="A382" t="str">
        <x:v>Stage01</x:v>
      </x:c>
      <x:c r="B382" t="str">
        <x:v>WAVE_22</x:v>
      </x:c>
      <x:c r="C382" s="409" t="n">
        <x:v>214.39</x:v>
      </x:c>
      <x:c r="D382" s="410" t="n">
        <x:v>14</x:v>
      </x:c>
      <x:c r="E382" t="str">
        <x:v>BOTTOM_02</x:v>
      </x:c>
      <x:c r="F382" t="str">
        <x:v>GoblinMelee</x:v>
      </x:c>
      <x:c r="G382" s="410" t="n">
        <x:v>18</x:v>
      </x:c>
    </x:row>
    <x:row r="383">
      <x:c r="A383" t="str">
        <x:v>Stage01</x:v>
      </x:c>
      <x:c r="B383" t="str">
        <x:v>WAVE_22</x:v>
      </x:c>
      <x:c r="C383" s="409" t="n">
        <x:v>214.65</x:v>
      </x:c>
      <x:c r="D383" s="410" t="n">
        <x:v>15</x:v>
      </x:c>
      <x:c r="E383" t="str">
        <x:v>LEFT_03</x:v>
      </x:c>
      <x:c r="F383" t="str">
        <x:v>GoblinRanged</x:v>
      </x:c>
      <x:c r="G383" s="410" t="n">
        <x:v>18</x:v>
      </x:c>
    </x:row>
    <x:row r="384">
      <x:c r="A384" t="str">
        <x:v>Stage01</x:v>
      </x:c>
      <x:c r="B384" t="str">
        <x:v>WAVE_22</x:v>
      </x:c>
      <x:c r="C384" s="409" t="n">
        <x:v>214.91</x:v>
      </x:c>
      <x:c r="D384" s="410" t="n">
        <x:v>16</x:v>
      </x:c>
      <x:c r="E384" t="str">
        <x:v>TOP_05</x:v>
      </x:c>
      <x:c r="F384" t="str">
        <x:v>GoblinMelee</x:v>
      </x:c>
      <x:c r="G384" s="410" t="n">
        <x:v>17</x:v>
      </x:c>
    </x:row>
    <x:row r="385">
      <x:c r="A385" t="str">
        <x:v>Stage01</x:v>
      </x:c>
      <x:c r="B385" t="str">
        <x:v>WAVE_22</x:v>
      </x:c>
      <x:c r="C385" s="409" t="n">
        <x:v>215.17</x:v>
      </x:c>
      <x:c r="D385" s="410" t="n">
        <x:v>17</x:v>
      </x:c>
      <x:c r="E385" t="str">
        <x:v>RIGHT_06</x:v>
      </x:c>
      <x:c r="F385" t="str">
        <x:v>GoblinMelee</x:v>
      </x:c>
      <x:c r="G385" s="410" t="n">
        <x:v>18</x:v>
      </x:c>
    </x:row>
    <x:row r="386">
      <x:c r="A386" t="str">
        <x:v>Stage01</x:v>
      </x:c>
      <x:c r="B386" t="str">
        <x:v>WAVE_22</x:v>
      </x:c>
      <x:c r="C386" s="409" t="n">
        <x:v>215.43</x:v>
      </x:c>
      <x:c r="D386" s="410" t="n">
        <x:v>18</x:v>
      </x:c>
      <x:c r="E386" t="str">
        <x:v>BOTTOM_07</x:v>
      </x:c>
      <x:c r="F386" t="str">
        <x:v>ShieldSkeleton</x:v>
      </x:c>
      <x:c r="G386" s="410" t="n">
        <x:v>18</x:v>
      </x:c>
    </x:row>
    <x:row r="387">
      <x:c r="A387" t="str">
        <x:v>Stage01</x:v>
      </x:c>
      <x:c r="B387" t="str">
        <x:v>WAVE_22</x:v>
      </x:c>
      <x:c r="C387" s="409" t="n">
        <x:v>215.69</x:v>
      </x:c>
      <x:c r="D387" s="410" t="n">
        <x:v>19</x:v>
      </x:c>
      <x:c r="E387" t="str">
        <x:v>LEFT_08</x:v>
      </x:c>
      <x:c r="F387" t="str">
        <x:v>GoblinMelee</x:v>
      </x:c>
      <x:c r="G387" s="410" t="n">
        <x:v>17</x:v>
      </x:c>
    </x:row>
    <x:row r="388">
      <x:c r="A388" t="str">
        <x:v>Stage01</x:v>
      </x:c>
      <x:c r="B388" t="str">
        <x:v>WAVE_22</x:v>
      </x:c>
      <x:c r="C388" s="409" t="n">
        <x:v>215.95</x:v>
      </x:c>
      <x:c r="D388" s="410" t="n">
        <x:v>20</x:v>
      </x:c>
      <x:c r="E388" t="str">
        <x:v>TOP_02</x:v>
      </x:c>
      <x:c r="F388" t="str">
        <x:v>GoblinRanged</x:v>
      </x:c>
      <x:c r="G388" s="410" t="n">
        <x:v>18</x:v>
      </x:c>
    </x:row>
    <x:row r="389">
      <x:c r="A389" t="str">
        <x:v>Stage01</x:v>
      </x:c>
      <x:c r="B389" t="str">
        <x:v>WAVE_22</x:v>
      </x:c>
      <x:c r="C389" s="409" t="n">
        <x:v>216.21</x:v>
      </x:c>
      <x:c r="D389" s="410" t="n">
        <x:v>21</x:v>
      </x:c>
      <x:c r="E389" t="str">
        <x:v>RIGHT_03</x:v>
      </x:c>
      <x:c r="F389" t="str">
        <x:v>GoblinMelee</x:v>
      </x:c>
      <x:c r="G389" s="410" t="n">
        <x:v>18</x:v>
      </x:c>
    </x:row>
    <x:row r="390">
      <x:c r="A390" t="str">
        <x:v>Stage01</x:v>
      </x:c>
      <x:c r="B390" t="str">
        <x:v>WAVE_22</x:v>
      </x:c>
      <x:c r="C390" s="409" t="n">
        <x:v>216.47</x:v>
      </x:c>
      <x:c r="D390" s="410" t="n">
        <x:v>22</x:v>
      </x:c>
      <x:c r="E390" t="str">
        <x:v>BOTTOM_04</x:v>
      </x:c>
      <x:c r="F390" t="str">
        <x:v>GoblinMelee</x:v>
      </x:c>
      <x:c r="G390" s="410" t="n">
        <x:v>18</x:v>
      </x:c>
    </x:row>
    <x:row r="391">
      <x:c r="A391" t="str">
        <x:v>Stage01</x:v>
      </x:c>
      <x:c r="B391" t="str">
        <x:v>WAVE_22</x:v>
      </x:c>
      <x:c r="C391" s="409" t="n">
        <x:v>216.73</x:v>
      </x:c>
      <x:c r="D391" s="410" t="n">
        <x:v>23</x:v>
      </x:c>
      <x:c r="E391" t="str">
        <x:v>LEFT_05</x:v>
      </x:c>
      <x:c r="F391" t="str">
        <x:v>GoblinMelee</x:v>
      </x:c>
      <x:c r="G391" s="410" t="n">
        <x:v>17</x:v>
      </x:c>
    </x:row>
    <x:row r="392">
      <x:c r="A392" t="str">
        <x:v>Stage01</x:v>
      </x:c>
      <x:c r="B392" t="str">
        <x:v>WAVE_22</x:v>
      </x:c>
      <x:c r="C392" s="409" t="n">
        <x:v>216.99</x:v>
      </x:c>
      <x:c r="D392" s="410" t="n">
        <x:v>24</x:v>
      </x:c>
      <x:c r="E392" t="str">
        <x:v>TOP_07</x:v>
      </x:c>
      <x:c r="F392" t="str">
        <x:v>GoblinRanged</x:v>
      </x:c>
      <x:c r="G392" s="410" t="n">
        <x:v>18</x:v>
      </x:c>
    </x:row>
    <x:row r="393">
      <x:c r="A393" t="str">
        <x:v>Stage01</x:v>
      </x:c>
      <x:c r="B393" t="str">
        <x:v>WAVE_22</x:v>
      </x:c>
      <x:c r="C393" s="409" t="n">
        <x:v>217.25</x:v>
      </x:c>
      <x:c r="D393" s="410" t="n">
        <x:v>25</x:v>
      </x:c>
      <x:c r="E393" t="str">
        <x:v>RIGHT_08</x:v>
      </x:c>
      <x:c r="F393" t="str">
        <x:v>GoblinMelee</x:v>
      </x:c>
      <x:c r="G393" s="410" t="n">
        <x:v>18</x:v>
      </x:c>
    </x:row>
    <x:row r="394">
      <x:c r="A394" t="str">
        <x:v>Stage01</x:v>
      </x:c>
      <x:c r="B394" t="str">
        <x:v>WAVE_22</x:v>
      </x:c>
      <x:c r="C394" s="409" t="n">
        <x:v>217.52</x:v>
      </x:c>
      <x:c r="D394" s="410" t="n">
        <x:v>26</x:v>
      </x:c>
      <x:c r="E394" t="str">
        <x:v>BOTTOM_01</x:v>
      </x:c>
      <x:c r="F394" t="str">
        <x:v>GoblinMelee</x:v>
      </x:c>
      <x:c r="G394" s="410" t="n">
        <x:v>17</x:v>
      </x:c>
    </x:row>
    <x:row r="395">
      <x:c r="A395" t="str">
        <x:v>Stage01</x:v>
      </x:c>
      <x:c r="B395" t="str">
        <x:v>WAVE_22</x:v>
      </x:c>
      <x:c r="C395" s="409" t="n">
        <x:v>217.78</x:v>
      </x:c>
      <x:c r="D395" s="410" t="n">
        <x:v>27</x:v>
      </x:c>
      <x:c r="E395" t="str">
        <x:v>LEFT_02</x:v>
      </x:c>
      <x:c r="F395" t="str">
        <x:v>ShieldSkeleton</x:v>
      </x:c>
      <x:c r="G395" s="410" t="n">
        <x:v>18</x:v>
      </x:c>
    </x:row>
    <x:row r="396">
      <x:c r="A396" t="str">
        <x:v>Stage01</x:v>
      </x:c>
      <x:c r="B396" t="str">
        <x:v>WAVE_22</x:v>
      </x:c>
      <x:c r="C396" s="409" t="n">
        <x:v>218.04</x:v>
      </x:c>
      <x:c r="D396" s="410" t="n">
        <x:v>28</x:v>
      </x:c>
      <x:c r="E396" t="str">
        <x:v>TOP_04</x:v>
      </x:c>
      <x:c r="F396" t="str">
        <x:v>GoblinMelee</x:v>
      </x:c>
      <x:c r="G396" s="410" t="n">
        <x:v>18</x:v>
      </x:c>
    </x:row>
    <x:row r="397">
      <x:c r="A397" t="str">
        <x:v>Stage01</x:v>
      </x:c>
      <x:c r="B397" t="str">
        <x:v>WAVE_22</x:v>
      </x:c>
      <x:c r="C397" s="409" t="n">
        <x:v>218.3</x:v>
      </x:c>
      <x:c r="D397" s="410" t="n">
        <x:v>29</x:v>
      </x:c>
      <x:c r="E397" t="str">
        <x:v>RIGHT_05</x:v>
      </x:c>
      <x:c r="F397" t="str">
        <x:v>GoblinRanged</x:v>
      </x:c>
      <x:c r="G397" s="410" t="n">
        <x:v>17</x:v>
      </x:c>
    </x:row>
    <x:row r="398">
      <x:c r="A398" t="str">
        <x:v>Stage01</x:v>
      </x:c>
      <x:c r="B398" t="str">
        <x:v>WAVE_22</x:v>
      </x:c>
      <x:c r="C398" s="409" t="n">
        <x:v>218.56</x:v>
      </x:c>
      <x:c r="D398" s="410" t="n">
        <x:v>30</x:v>
      </x:c>
      <x:c r="E398" t="str">
        <x:v>BOTTOM_06</x:v>
      </x:c>
      <x:c r="F398" t="str">
        <x:v>GoblinMelee</x:v>
      </x:c>
      <x:c r="G398" s="410" t="n">
        <x:v>18</x:v>
      </x:c>
    </x:row>
    <x:row r="399">
      <x:c r="A399" t="str">
        <x:v>Stage01</x:v>
      </x:c>
      <x:c r="B399" t="str">
        <x:v>WAVE_22</x:v>
      </x:c>
      <x:c r="C399" s="409" t="n">
        <x:v>218.82</x:v>
      </x:c>
      <x:c r="D399" s="410" t="n">
        <x:v>31</x:v>
      </x:c>
      <x:c r="E399" t="str">
        <x:v>LEFT_07</x:v>
      </x:c>
      <x:c r="F399" t="str">
        <x:v>GoblinMelee</x:v>
      </x:c>
      <x:c r="G399" s="410" t="n">
        <x:v>18</x:v>
      </x:c>
    </x:row>
    <x:row r="400">
      <x:c r="A400" t="str">
        <x:v>Stage01</x:v>
      </x:c>
      <x:c r="B400" t="str">
        <x:v>WAVE_22</x:v>
      </x:c>
      <x:c r="C400" s="409" t="n">
        <x:v>219.08</x:v>
      </x:c>
      <x:c r="D400" s="410" t="n">
        <x:v>32</x:v>
      </x:c>
      <x:c r="E400" t="str">
        <x:v>TOP_01</x:v>
      </x:c>
      <x:c r="F400" t="str">
        <x:v>GoblinMelee</x:v>
      </x:c>
      <x:c r="G400" s="410" t="n">
        <x:v>18</x:v>
      </x:c>
    </x:row>
    <x:row r="401">
      <x:c r="A401" t="str">
        <x:v>Stage01</x:v>
      </x:c>
      <x:c r="B401" t="str">
        <x:v>WAVE_22</x:v>
      </x:c>
      <x:c r="C401" s="409" t="n">
        <x:v>219.34</x:v>
      </x:c>
      <x:c r="D401" s="410" t="n">
        <x:v>33</x:v>
      </x:c>
      <x:c r="E401" t="str">
        <x:v>RIGHT_02</x:v>
      </x:c>
      <x:c r="F401" t="str">
        <x:v>GoblinRanged</x:v>
      </x:c>
      <x:c r="G401" s="410" t="n">
        <x:v>17</x:v>
      </x:c>
    </x:row>
    <x:row r="402">
      <x:c r="A402" t="str">
        <x:v>Stage01</x:v>
      </x:c>
      <x:c r="B402" t="str">
        <x:v>WAVE_22</x:v>
      </x:c>
      <x:c r="C402" s="409" t="n">
        <x:v>219.6</x:v>
      </x:c>
      <x:c r="D402" s="410" t="n">
        <x:v>34</x:v>
      </x:c>
      <x:c r="E402" t="str">
        <x:v>BOTTOM_03</x:v>
      </x:c>
      <x:c r="F402" t="str">
        <x:v>GoblinMelee</x:v>
      </x:c>
      <x:c r="G402" s="410" t="n">
        <x:v>18</x:v>
      </x:c>
    </x:row>
    <x:row r="403">
      <x:c r="A403" t="str">
        <x:v>Stage01</x:v>
      </x:c>
      <x:c r="B403" t="str">
        <x:v>WAVE_23</x:v>
      </x:c>
      <x:c r="C403" s="409" t="n">
        <x:v>221</x:v>
      </x:c>
      <x:c r="D403" s="410" t="n">
        <x:v>1</x:v>
      </x:c>
      <x:c r="E403" t="str">
        <x:v>BOTTOM_06</x:v>
      </x:c>
      <x:c r="F403" t="str">
        <x:v>GoblinMelee</x:v>
      </x:c>
      <x:c r="G403" s="410" t="n">
        <x:v>19</x:v>
      </x:c>
    </x:row>
    <x:row r="404">
      <x:c r="A404" t="str">
        <x:v>Stage01</x:v>
      </x:c>
      <x:c r="B404" t="str">
        <x:v>WAVE_23</x:v>
      </x:c>
      <x:c r="C404" s="409" t="n">
        <x:v>221.25</x:v>
      </x:c>
      <x:c r="D404" s="410" t="n">
        <x:v>2</x:v>
      </x:c>
      <x:c r="E404" t="str">
        <x:v>LEFT_07</x:v>
      </x:c>
      <x:c r="F404" t="str">
        <x:v>GoblinRanged</x:v>
      </x:c>
      <x:c r="G404" s="410" t="n">
        <x:v>18</x:v>
      </x:c>
    </x:row>
    <x:row r="405">
      <x:c r="A405" t="str">
        <x:v>Stage01</x:v>
      </x:c>
      <x:c r="B405" t="str">
        <x:v>WAVE_23</x:v>
      </x:c>
      <x:c r="C405" s="409" t="n">
        <x:v>221.51</x:v>
      </x:c>
      <x:c r="D405" s="410" t="n">
        <x:v>3</x:v>
      </x:c>
      <x:c r="E405" t="str">
        <x:v>TOP_01</x:v>
      </x:c>
      <x:c r="F405" t="str">
        <x:v>GoblinMelee</x:v>
      </x:c>
      <x:c r="G405" s="410" t="n">
        <x:v>19</x:v>
      </x:c>
    </x:row>
    <x:row r="406">
      <x:c r="A406" t="str">
        <x:v>Stage01</x:v>
      </x:c>
      <x:c r="B406" t="str">
        <x:v>WAVE_23</x:v>
      </x:c>
      <x:c r="C406" s="409" t="n">
        <x:v>221.76</x:v>
      </x:c>
      <x:c r="D406" s="410" t="n">
        <x:v>4</x:v>
      </x:c>
      <x:c r="E406" t="str">
        <x:v>RIGHT_02</x:v>
      </x:c>
      <x:c r="F406" t="str">
        <x:v>GoblinMelee</x:v>
      </x:c>
      <x:c r="G406" s="410" t="n">
        <x:v>19</x:v>
      </x:c>
    </x:row>
    <x:row r="407">
      <x:c r="A407" t="str">
        <x:v>Stage01</x:v>
      </x:c>
      <x:c r="B407" t="str">
        <x:v>WAVE_23</x:v>
      </x:c>
      <x:c r="C407" s="409" t="n">
        <x:v>222.01</x:v>
      </x:c>
      <x:c r="D407" s="410" t="n">
        <x:v>5</x:v>
      </x:c>
      <x:c r="E407" t="str">
        <x:v>BOTTOM_03</x:v>
      </x:c>
      <x:c r="F407" t="str">
        <x:v>ShieldSkeleton</x:v>
      </x:c>
      <x:c r="G407" s="410" t="n">
        <x:v>19</x:v>
      </x:c>
    </x:row>
    <x:row r="408">
      <x:c r="A408" t="str">
        <x:v>Stage01</x:v>
      </x:c>
      <x:c r="B408" t="str">
        <x:v>WAVE_23</x:v>
      </x:c>
      <x:c r="C408" s="409" t="n">
        <x:v>222.26</x:v>
      </x:c>
      <x:c r="D408" s="410" t="n">
        <x:v>6</x:v>
      </x:c>
      <x:c r="E408" t="str">
        <x:v>LEFT_04</x:v>
      </x:c>
      <x:c r="F408" t="str">
        <x:v>GoblinMelee</x:v>
      </x:c>
      <x:c r="G408" s="410" t="n">
        <x:v>18</x:v>
      </x:c>
    </x:row>
    <x:row r="409">
      <x:c r="A409" t="str">
        <x:v>Stage01</x:v>
      </x:c>
      <x:c r="B409" t="str">
        <x:v>WAVE_23</x:v>
      </x:c>
      <x:c r="C409" s="409" t="n">
        <x:v>222.52</x:v>
      </x:c>
      <x:c r="D409" s="410" t="n">
        <x:v>7</x:v>
      </x:c>
      <x:c r="E409" t="str">
        <x:v>TOP_06</x:v>
      </x:c>
      <x:c r="F409" t="str">
        <x:v>GoblinMelee</x:v>
      </x:c>
      <x:c r="G409" s="410" t="n">
        <x:v>19</x:v>
      </x:c>
    </x:row>
    <x:row r="410">
      <x:c r="A410" t="str">
        <x:v>Stage01</x:v>
      </x:c>
      <x:c r="B410" t="str">
        <x:v>WAVE_23</x:v>
      </x:c>
      <x:c r="C410" s="409" t="n">
        <x:v>222.77</x:v>
      </x:c>
      <x:c r="D410" s="410" t="n">
        <x:v>8</x:v>
      </x:c>
      <x:c r="E410" t="str">
        <x:v>RIGHT_07</x:v>
      </x:c>
      <x:c r="F410" t="str">
        <x:v>GoblinRanged</x:v>
      </x:c>
      <x:c r="G410" s="410" t="n">
        <x:v>19</x:v>
      </x:c>
    </x:row>
    <x:row r="411">
      <x:c r="A411" t="str">
        <x:v>Stage01</x:v>
      </x:c>
      <x:c r="B411" t="str">
        <x:v>WAVE_23</x:v>
      </x:c>
      <x:c r="C411" s="409" t="n">
        <x:v>223.02</x:v>
      </x:c>
      <x:c r="D411" s="410" t="n">
        <x:v>9</x:v>
      </x:c>
      <x:c r="E411" t="str">
        <x:v>BOTTOM_08</x:v>
      </x:c>
      <x:c r="F411" t="str">
        <x:v>GoblinMelee</x:v>
      </x:c>
      <x:c r="G411" s="410" t="n">
        <x:v>19</x:v>
      </x:c>
    </x:row>
    <x:row r="412">
      <x:c r="A412" t="str">
        <x:v>Stage01</x:v>
      </x:c>
      <x:c r="B412" t="str">
        <x:v>WAVE_23</x:v>
      </x:c>
      <x:c r="C412" s="409" t="n">
        <x:v>223.28</x:v>
      </x:c>
      <x:c r="D412" s="410" t="n">
        <x:v>10</x:v>
      </x:c>
      <x:c r="E412" t="str">
        <x:v>LEFT_01</x:v>
      </x:c>
      <x:c r="F412" t="str">
        <x:v>GoblinMelee</x:v>
      </x:c>
      <x:c r="G412" s="410" t="n">
        <x:v>18</x:v>
      </x:c>
    </x:row>
    <x:row r="413">
      <x:c r="A413" t="str">
        <x:v>Stage01</x:v>
      </x:c>
      <x:c r="B413" t="str">
        <x:v>WAVE_23</x:v>
      </x:c>
      <x:c r="C413" s="409" t="n">
        <x:v>223.53</x:v>
      </x:c>
      <x:c r="D413" s="410" t="n">
        <x:v>11</x:v>
      </x:c>
      <x:c r="E413" t="str">
        <x:v>TOP_03</x:v>
      </x:c>
      <x:c r="F413" t="str">
        <x:v>GoblinMelee</x:v>
      </x:c>
      <x:c r="G413" s="410" t="n">
        <x:v>19</x:v>
      </x:c>
    </x:row>
    <x:row r="414">
      <x:c r="A414" t="str">
        <x:v>Stage01</x:v>
      </x:c>
      <x:c r="B414" t="str">
        <x:v>WAVE_23</x:v>
      </x:c>
      <x:c r="C414" s="409" t="n">
        <x:v>223.78</x:v>
      </x:c>
      <x:c r="D414" s="410" t="n">
        <x:v>12</x:v>
      </x:c>
      <x:c r="E414" t="str">
        <x:v>RIGHT_04</x:v>
      </x:c>
      <x:c r="F414" t="str">
        <x:v>GoblinRanged</x:v>
      </x:c>
      <x:c r="G414" s="410" t="n">
        <x:v>19</x:v>
      </x:c>
    </x:row>
    <x:row r="415">
      <x:c r="A415" t="str">
        <x:v>Stage01</x:v>
      </x:c>
      <x:c r="B415" t="str">
        <x:v>WAVE_23</x:v>
      </x:c>
      <x:c r="C415" s="409" t="n">
        <x:v>224.04</x:v>
      </x:c>
      <x:c r="D415" s="410" t="n">
        <x:v>13</x:v>
      </x:c>
      <x:c r="E415" t="str">
        <x:v>BOTTOM_05</x:v>
      </x:c>
      <x:c r="F415" t="str">
        <x:v>GoblinMelee</x:v>
      </x:c>
      <x:c r="G415" s="410" t="n">
        <x:v>19</x:v>
      </x:c>
    </x:row>
    <x:row r="416">
      <x:c r="A416" t="str">
        <x:v>Stage01</x:v>
      </x:c>
      <x:c r="B416" t="str">
        <x:v>WAVE_23</x:v>
      </x:c>
      <x:c r="C416" s="409" t="n">
        <x:v>224.29</x:v>
      </x:c>
      <x:c r="D416" s="410" t="n">
        <x:v>14</x:v>
      </x:c>
      <x:c r="E416" t="str">
        <x:v>LEFT_06</x:v>
      </x:c>
      <x:c r="F416" t="str">
        <x:v>GoblinMelee</x:v>
      </x:c>
      <x:c r="G416" s="410" t="n">
        <x:v>18</x:v>
      </x:c>
    </x:row>
    <x:row r="417">
      <x:c r="A417" t="str">
        <x:v>Stage01</x:v>
      </x:c>
      <x:c r="B417" t="str">
        <x:v>WAVE_23</x:v>
      </x:c>
      <x:c r="C417" s="409" t="n">
        <x:v>224.54</x:v>
      </x:c>
      <x:c r="D417" s="410" t="n">
        <x:v>15</x:v>
      </x:c>
      <x:c r="E417" t="str">
        <x:v>TOP_08</x:v>
      </x:c>
      <x:c r="F417" t="str">
        <x:v>GoblinRanged</x:v>
      </x:c>
      <x:c r="G417" s="410" t="n">
        <x:v>19</x:v>
      </x:c>
    </x:row>
    <x:row r="418">
      <x:c r="A418" t="str">
        <x:v>Stage01</x:v>
      </x:c>
      <x:c r="B418" t="str">
        <x:v>WAVE_23</x:v>
      </x:c>
      <x:c r="C418" s="409" t="n">
        <x:v>224.79</x:v>
      </x:c>
      <x:c r="D418" s="410" t="n">
        <x:v>16</x:v>
      </x:c>
      <x:c r="E418" t="str">
        <x:v>RIGHT_01</x:v>
      </x:c>
      <x:c r="F418" t="str">
        <x:v>GoblinMelee</x:v>
      </x:c>
      <x:c r="G418" s="410" t="n">
        <x:v>19</x:v>
      </x:c>
    </x:row>
    <x:row r="419">
      <x:c r="A419" t="str">
        <x:v>Stage01</x:v>
      </x:c>
      <x:c r="B419" t="str">
        <x:v>WAVE_23</x:v>
      </x:c>
      <x:c r="C419" s="409" t="n">
        <x:v>225.05</x:v>
      </x:c>
      <x:c r="D419" s="410" t="n">
        <x:v>17</x:v>
      </x:c>
      <x:c r="E419" t="str">
        <x:v>BOTTOM_02</x:v>
      </x:c>
      <x:c r="F419" t="str">
        <x:v>GoblinMelee</x:v>
      </x:c>
      <x:c r="G419" s="410" t="n">
        <x:v>19</x:v>
      </x:c>
    </x:row>
    <x:row r="420">
      <x:c r="A420" t="str">
        <x:v>Stage01</x:v>
      </x:c>
      <x:c r="B420" t="str">
        <x:v>WAVE_23</x:v>
      </x:c>
      <x:c r="C420" s="409" t="n">
        <x:v>225.3</x:v>
      </x:c>
      <x:c r="D420" s="410" t="n">
        <x:v>18</x:v>
      </x:c>
      <x:c r="E420" t="str">
        <x:v>LEFT_03</x:v>
      </x:c>
      <x:c r="F420" t="str">
        <x:v>ShieldSkeleton</x:v>
      </x:c>
      <x:c r="G420" s="410" t="n">
        <x:v>18</x:v>
      </x:c>
    </x:row>
    <x:row r="421">
      <x:c r="A421" t="str">
        <x:v>Stage01</x:v>
      </x:c>
      <x:c r="B421" t="str">
        <x:v>WAVE_23</x:v>
      </x:c>
      <x:c r="C421" s="409" t="n">
        <x:v>225.55</x:v>
      </x:c>
      <x:c r="D421" s="410" t="n">
        <x:v>19</x:v>
      </x:c>
      <x:c r="E421" t="str">
        <x:v>TOP_05</x:v>
      </x:c>
      <x:c r="F421" t="str">
        <x:v>GoblinMelee</x:v>
      </x:c>
      <x:c r="G421" s="410" t="n">
        <x:v>19</x:v>
      </x:c>
    </x:row>
    <x:row r="422">
      <x:c r="A422" t="str">
        <x:v>Stage01</x:v>
      </x:c>
      <x:c r="B422" t="str">
        <x:v>WAVE_23</x:v>
      </x:c>
      <x:c r="C422" s="409" t="n">
        <x:v>225.81</x:v>
      </x:c>
      <x:c r="D422" s="410" t="n">
        <x:v>20</x:v>
      </x:c>
      <x:c r="E422" t="str">
        <x:v>RIGHT_06</x:v>
      </x:c>
      <x:c r="F422" t="str">
        <x:v>GoblinMelee</x:v>
      </x:c>
      <x:c r="G422" s="410" t="n">
        <x:v>19</x:v>
      </x:c>
    </x:row>
    <x:row r="423">
      <x:c r="A423" t="str">
        <x:v>Stage01</x:v>
      </x:c>
      <x:c r="B423" t="str">
        <x:v>WAVE_23</x:v>
      </x:c>
      <x:c r="C423" s="409" t="n">
        <x:v>226.06</x:v>
      </x:c>
      <x:c r="D423" s="410" t="n">
        <x:v>21</x:v>
      </x:c>
      <x:c r="E423" t="str">
        <x:v>BOTTOM_07</x:v>
      </x:c>
      <x:c r="F423" t="str">
        <x:v>GoblinRanged</x:v>
      </x:c>
      <x:c r="G423" s="410" t="n">
        <x:v>19</x:v>
      </x:c>
    </x:row>
    <x:row r="424">
      <x:c r="A424" t="str">
        <x:v>Stage01</x:v>
      </x:c>
      <x:c r="B424" t="str">
        <x:v>WAVE_23</x:v>
      </x:c>
      <x:c r="C424" s="409" t="n">
        <x:v>226.31</x:v>
      </x:c>
      <x:c r="D424" s="410" t="n">
        <x:v>22</x:v>
      </x:c>
      <x:c r="E424" t="str">
        <x:v>LEFT_08</x:v>
      </x:c>
      <x:c r="F424" t="str">
        <x:v>GoblinMelee</x:v>
      </x:c>
      <x:c r="G424" s="410" t="n">
        <x:v>18</x:v>
      </x:c>
    </x:row>
    <x:row r="425">
      <x:c r="A425" t="str">
        <x:v>Stage01</x:v>
      </x:c>
      <x:c r="B425" t="str">
        <x:v>WAVE_23</x:v>
      </x:c>
      <x:c r="C425" s="409" t="n">
        <x:v>226.56</x:v>
      </x:c>
      <x:c r="D425" s="410" t="n">
        <x:v>23</x:v>
      </x:c>
      <x:c r="E425" t="str">
        <x:v>TOP_02</x:v>
      </x:c>
      <x:c r="F425" t="str">
        <x:v>GoblinMelee</x:v>
      </x:c>
      <x:c r="G425" s="410" t="n">
        <x:v>19</x:v>
      </x:c>
    </x:row>
    <x:row r="426">
      <x:c r="A426" t="str">
        <x:v>Stage01</x:v>
      </x:c>
      <x:c r="B426" t="str">
        <x:v>WAVE_23</x:v>
      </x:c>
      <x:c r="C426" s="409" t="n">
        <x:v>226.82</x:v>
      </x:c>
      <x:c r="D426" s="410" t="n">
        <x:v>24</x:v>
      </x:c>
      <x:c r="E426" t="str">
        <x:v>RIGHT_03</x:v>
      </x:c>
      <x:c r="F426" t="str">
        <x:v>GoblinRanged</x:v>
      </x:c>
      <x:c r="G426" s="410" t="n">
        <x:v>19</x:v>
      </x:c>
    </x:row>
    <x:row r="427">
      <x:c r="A427" t="str">
        <x:v>Stage01</x:v>
      </x:c>
      <x:c r="B427" t="str">
        <x:v>WAVE_23</x:v>
      </x:c>
      <x:c r="C427" s="409" t="n">
        <x:v>227.07</x:v>
      </x:c>
      <x:c r="D427" s="410" t="n">
        <x:v>25</x:v>
      </x:c>
      <x:c r="E427" t="str">
        <x:v>BOTTOM_04</x:v>
      </x:c>
      <x:c r="F427" t="str">
        <x:v>GoblinMelee</x:v>
      </x:c>
      <x:c r="G427" s="410" t="n">
        <x:v>19</x:v>
      </x:c>
    </x:row>
    <x:row r="428">
      <x:c r="A428" t="str">
        <x:v>Stage01</x:v>
      </x:c>
      <x:c r="B428" t="str">
        <x:v>WAVE_23</x:v>
      </x:c>
      <x:c r="C428" s="409" t="n">
        <x:v>227.32</x:v>
      </x:c>
      <x:c r="D428" s="410" t="n">
        <x:v>26</x:v>
      </x:c>
      <x:c r="E428" t="str">
        <x:v>LEFT_05</x:v>
      </x:c>
      <x:c r="F428" t="str">
        <x:v>GoblinMelee</x:v>
      </x:c>
      <x:c r="G428" s="410" t="n">
        <x:v>18</x:v>
      </x:c>
    </x:row>
    <x:row r="429">
      <x:c r="A429" t="str">
        <x:v>Stage01</x:v>
      </x:c>
      <x:c r="B429" t="str">
        <x:v>WAVE_23</x:v>
      </x:c>
      <x:c r="C429" s="409" t="n">
        <x:v>227.58</x:v>
      </x:c>
      <x:c r="D429" s="410" t="n">
        <x:v>27</x:v>
      </x:c>
      <x:c r="E429" t="str">
        <x:v>TOP_07</x:v>
      </x:c>
      <x:c r="F429" t="str">
        <x:v>GoblinMelee</x:v>
      </x:c>
      <x:c r="G429" s="410" t="n">
        <x:v>19</x:v>
      </x:c>
    </x:row>
    <x:row r="430">
      <x:c r="A430" t="str">
        <x:v>Stage01</x:v>
      </x:c>
      <x:c r="B430" t="str">
        <x:v>WAVE_23</x:v>
      </x:c>
      <x:c r="C430" s="409" t="n">
        <x:v>227.83</x:v>
      </x:c>
      <x:c r="D430" s="410" t="n">
        <x:v>28</x:v>
      </x:c>
      <x:c r="E430" t="str">
        <x:v>RIGHT_08</x:v>
      </x:c>
      <x:c r="F430" t="str">
        <x:v>GoblinRanged</x:v>
      </x:c>
      <x:c r="G430" s="410" t="n">
        <x:v>19</x:v>
      </x:c>
    </x:row>
    <x:row r="431">
      <x:c r="A431" t="str">
        <x:v>Stage01</x:v>
      </x:c>
      <x:c r="B431" t="str">
        <x:v>WAVE_23</x:v>
      </x:c>
      <x:c r="C431" s="409" t="n">
        <x:v>228.08</x:v>
      </x:c>
      <x:c r="D431" s="410" t="n">
        <x:v>29</x:v>
      </x:c>
      <x:c r="E431" t="str">
        <x:v>BOTTOM_01</x:v>
      </x:c>
      <x:c r="F431" t="str">
        <x:v>GoblinMelee</x:v>
      </x:c>
      <x:c r="G431" s="410" t="n">
        <x:v>19</x:v>
      </x:c>
    </x:row>
    <x:row r="432">
      <x:c r="A432" t="str">
        <x:v>Stage01</x:v>
      </x:c>
      <x:c r="B432" t="str">
        <x:v>WAVE_23</x:v>
      </x:c>
      <x:c r="C432" s="409" t="n">
        <x:v>228.34</x:v>
      </x:c>
      <x:c r="D432" s="410" t="n">
        <x:v>30</x:v>
      </x:c>
      <x:c r="E432" t="str">
        <x:v>LEFT_02</x:v>
      </x:c>
      <x:c r="F432" t="str">
        <x:v>GoblinMelee</x:v>
      </x:c>
      <x:c r="G432" s="410" t="n">
        <x:v>18</x:v>
      </x:c>
    </x:row>
    <x:row r="433">
      <x:c r="A433" t="str">
        <x:v>Stage01</x:v>
      </x:c>
      <x:c r="B433" t="str">
        <x:v>WAVE_23</x:v>
      </x:c>
      <x:c r="C433" s="409" t="n">
        <x:v>228.59</x:v>
      </x:c>
      <x:c r="D433" s="410" t="n">
        <x:v>31</x:v>
      </x:c>
      <x:c r="E433" t="str">
        <x:v>TOP_04</x:v>
      </x:c>
      <x:c r="F433" t="str">
        <x:v>ShieldSkeleton</x:v>
      </x:c>
      <x:c r="G433" s="410" t="n">
        <x:v>19</x:v>
      </x:c>
    </x:row>
    <x:row r="434">
      <x:c r="A434" t="str">
        <x:v>Stage01</x:v>
      </x:c>
      <x:c r="B434" t="str">
        <x:v>WAVE_23</x:v>
      </x:c>
      <x:c r="C434" s="409" t="n">
        <x:v>228.84</x:v>
      </x:c>
      <x:c r="D434" s="410" t="n">
        <x:v>32</x:v>
      </x:c>
      <x:c r="E434" t="str">
        <x:v>RIGHT_05</x:v>
      </x:c>
      <x:c r="F434" t="str">
        <x:v>GoblinMelee</x:v>
      </x:c>
      <x:c r="G434" s="410" t="n">
        <x:v>19</x:v>
      </x:c>
    </x:row>
    <x:row r="435">
      <x:c r="A435" t="str">
        <x:v>Stage01</x:v>
      </x:c>
      <x:c r="B435" t="str">
        <x:v>WAVE_23</x:v>
      </x:c>
      <x:c r="C435" s="409" t="n">
        <x:v>229.09</x:v>
      </x:c>
      <x:c r="D435" s="410" t="n">
        <x:v>33</x:v>
      </x:c>
      <x:c r="E435" t="str">
        <x:v>BOTTOM_06</x:v>
      </x:c>
      <x:c r="F435" t="str">
        <x:v>GoblinMelee</x:v>
      </x:c>
      <x:c r="G435" s="410" t="n">
        <x:v>19</x:v>
      </x:c>
    </x:row>
    <x:row r="436">
      <x:c r="A436" t="str">
        <x:v>Stage01</x:v>
      </x:c>
      <x:c r="B436" t="str">
        <x:v>WAVE_23</x:v>
      </x:c>
      <x:c r="C436" s="409" t="n">
        <x:v>229.35</x:v>
      </x:c>
      <x:c r="D436" s="410" t="n">
        <x:v>34</x:v>
      </x:c>
      <x:c r="E436" t="str">
        <x:v>LEFT_07</x:v>
      </x:c>
      <x:c r="F436" t="str">
        <x:v>GoblinRanged</x:v>
      </x:c>
      <x:c r="G436" s="410" t="n">
        <x:v>18</x:v>
      </x:c>
    </x:row>
    <x:row r="437">
      <x:c r="A437" t="str">
        <x:v>Stage01</x:v>
      </x:c>
      <x:c r="B437" t="str">
        <x:v>WAVE_23</x:v>
      </x:c>
      <x:c r="C437" s="409" t="n">
        <x:v>229.6</x:v>
      </x:c>
      <x:c r="D437" s="410" t="n">
        <x:v>35</x:v>
      </x:c>
      <x:c r="E437" t="str">
        <x:v>TOP_01</x:v>
      </x:c>
      <x:c r="F437" t="str">
        <x:v>GoblinMelee</x:v>
      </x:c>
      <x:c r="G437" s="410" t="n">
        <x:v>19</x:v>
      </x:c>
    </x:row>
    <x:row r="438">
      <x:c r="A438" t="str">
        <x:v>Stage01</x:v>
      </x:c>
      <x:c r="B438" t="str">
        <x:v>WAVE_24</x:v>
      </x:c>
      <x:c r="C438" s="409" t="n">
        <x:v>231</x:v>
      </x:c>
      <x:c r="D438" s="410" t="n">
        <x:v>1</x:v>
      </x:c>
      <x:c r="E438" t="str">
        <x:v>TOP_04</x:v>
      </x:c>
      <x:c r="F438" t="str">
        <x:v>GoblinMelee</x:v>
      </x:c>
      <x:c r="G438" s="410" t="n">
        <x:v>20</x:v>
      </x:c>
    </x:row>
    <x:row r="439">
      <x:c r="A439" t="str">
        <x:v>Stage01</x:v>
      </x:c>
      <x:c r="B439" t="str">
        <x:v>WAVE_24</x:v>
      </x:c>
      <x:c r="C439" s="409" t="n">
        <x:v>231.24</x:v>
      </x:c>
      <x:c r="D439" s="410" t="n">
        <x:v>2</x:v>
      </x:c>
      <x:c r="E439" t="str">
        <x:v>RIGHT_05</x:v>
      </x:c>
      <x:c r="F439" t="str">
        <x:v>GoblinRanged</x:v>
      </x:c>
      <x:c r="G439" s="410" t="n">
        <x:v>20</x:v>
      </x:c>
    </x:row>
    <x:row r="440">
      <x:c r="A440" t="str">
        <x:v>Stage01</x:v>
      </x:c>
      <x:c r="B440" t="str">
        <x:v>WAVE_24</x:v>
      </x:c>
      <x:c r="C440" s="409" t="n">
        <x:v>231.48</x:v>
      </x:c>
      <x:c r="D440" s="410" t="n">
        <x:v>3</x:v>
      </x:c>
      <x:c r="E440" t="str">
        <x:v>BOTTOM_06</x:v>
      </x:c>
      <x:c r="F440" t="str">
        <x:v>GoblinMelee</x:v>
      </x:c>
      <x:c r="G440" s="410" t="n">
        <x:v>19</x:v>
      </x:c>
    </x:row>
    <x:row r="441">
      <x:c r="A441" t="str">
        <x:v>Stage01</x:v>
      </x:c>
      <x:c r="B441" t="str">
        <x:v>WAVE_24</x:v>
      </x:c>
      <x:c r="C441" s="409" t="n">
        <x:v>231.72</x:v>
      </x:c>
      <x:c r="D441" s="410" t="n">
        <x:v>4</x:v>
      </x:c>
      <x:c r="E441" t="str">
        <x:v>LEFT_07</x:v>
      </x:c>
      <x:c r="F441" t="str">
        <x:v>GoblinMelee</x:v>
      </x:c>
      <x:c r="G441" s="410" t="n">
        <x:v>20</x:v>
      </x:c>
    </x:row>
    <x:row r="442">
      <x:c r="A442" t="str">
        <x:v>Stage01</x:v>
      </x:c>
      <x:c r="B442" t="str">
        <x:v>WAVE_24</x:v>
      </x:c>
      <x:c r="C442" s="409" t="n">
        <x:v>231.96</x:v>
      </x:c>
      <x:c r="D442" s="410" t="n">
        <x:v>5</x:v>
      </x:c>
      <x:c r="E442" t="str">
        <x:v>TOP_01</x:v>
      </x:c>
      <x:c r="F442" t="str">
        <x:v>ShieldSkeleton</x:v>
      </x:c>
      <x:c r="G442" s="410" t="n">
        <x:v>20</x:v>
      </x:c>
    </x:row>
    <x:row r="443">
      <x:c r="A443" t="str">
        <x:v>Stage01</x:v>
      </x:c>
      <x:c r="B443" t="str">
        <x:v>WAVE_24</x:v>
      </x:c>
      <x:c r="C443" s="409" t="n">
        <x:v>232.19</x:v>
      </x:c>
      <x:c r="D443" s="410" t="n">
        <x:v>6</x:v>
      </x:c>
      <x:c r="E443" t="str">
        <x:v>RIGHT_02</x:v>
      </x:c>
      <x:c r="F443" t="str">
        <x:v>GoblinMelee</x:v>
      </x:c>
      <x:c r="G443" s="410" t="n">
        <x:v>20</x:v>
      </x:c>
    </x:row>
    <x:row r="444">
      <x:c r="A444" t="str">
        <x:v>Stage01</x:v>
      </x:c>
      <x:c r="B444" t="str">
        <x:v>WAVE_24</x:v>
      </x:c>
      <x:c r="C444" s="409" t="n">
        <x:v>232.43</x:v>
      </x:c>
      <x:c r="D444" s="410" t="n">
        <x:v>7</x:v>
      </x:c>
      <x:c r="E444" t="str">
        <x:v>BOTTOM_03</x:v>
      </x:c>
      <x:c r="F444" t="str">
        <x:v>GoblinMelee</x:v>
      </x:c>
      <x:c r="G444" s="410" t="n">
        <x:v>19</x:v>
      </x:c>
    </x:row>
    <x:row r="445">
      <x:c r="A445" t="str">
        <x:v>Stage01</x:v>
      </x:c>
      <x:c r="B445" t="str">
        <x:v>WAVE_24</x:v>
      </x:c>
      <x:c r="C445" s="409" t="n">
        <x:v>232.67</x:v>
      </x:c>
      <x:c r="D445" s="410" t="n">
        <x:v>8</x:v>
      </x:c>
      <x:c r="E445" t="str">
        <x:v>LEFT_04</x:v>
      </x:c>
      <x:c r="F445" t="str">
        <x:v>GoblinRanged</x:v>
      </x:c>
      <x:c r="G445" s="410" t="n">
        <x:v>20</x:v>
      </x:c>
    </x:row>
    <x:row r="446">
      <x:c r="A446" t="str">
        <x:v>Stage01</x:v>
      </x:c>
      <x:c r="B446" t="str">
        <x:v>WAVE_24</x:v>
      </x:c>
      <x:c r="C446" s="409" t="n">
        <x:v>232.91</x:v>
      </x:c>
      <x:c r="D446" s="410" t="n">
        <x:v>9</x:v>
      </x:c>
      <x:c r="E446" t="str">
        <x:v>TOP_06</x:v>
      </x:c>
      <x:c r="F446" t="str">
        <x:v>GoblinMelee</x:v>
      </x:c>
      <x:c r="G446" s="410" t="n">
        <x:v>20</x:v>
      </x:c>
    </x:row>
    <x:row r="447">
      <x:c r="A447" t="str">
        <x:v>Stage01</x:v>
      </x:c>
      <x:c r="B447" t="str">
        <x:v>WAVE_24</x:v>
      </x:c>
      <x:c r="C447" s="409" t="n">
        <x:v>233.15</x:v>
      </x:c>
      <x:c r="D447" s="410" t="n">
        <x:v>10</x:v>
      </x:c>
      <x:c r="E447" t="str">
        <x:v>RIGHT_07</x:v>
      </x:c>
      <x:c r="F447" t="str">
        <x:v>GoblinMelee</x:v>
      </x:c>
      <x:c r="G447" s="410" t="n">
        <x:v>20</x:v>
      </x:c>
    </x:row>
    <x:row r="448">
      <x:c r="A448" t="str">
        <x:v>Stage01</x:v>
      </x:c>
      <x:c r="B448" t="str">
        <x:v>WAVE_24</x:v>
      </x:c>
      <x:c r="C448" s="409" t="n">
        <x:v>233.39</x:v>
      </x:c>
      <x:c r="D448" s="410" t="n">
        <x:v>11</x:v>
      </x:c>
      <x:c r="E448" t="str">
        <x:v>BOTTOM_08</x:v>
      </x:c>
      <x:c r="F448" t="str">
        <x:v>GoblinMelee</x:v>
      </x:c>
      <x:c r="G448" s="410" t="n">
        <x:v>20</x:v>
      </x:c>
    </x:row>
    <x:row r="449">
      <x:c r="A449" t="str">
        <x:v>Stage01</x:v>
      </x:c>
      <x:c r="B449" t="str">
        <x:v>WAVE_24</x:v>
      </x:c>
      <x:c r="C449" s="409" t="n">
        <x:v>233.63</x:v>
      </x:c>
      <x:c r="D449" s="410" t="n">
        <x:v>12</x:v>
      </x:c>
      <x:c r="E449" t="str">
        <x:v>LEFT_01</x:v>
      </x:c>
      <x:c r="F449" t="str">
        <x:v>GoblinRanged</x:v>
      </x:c>
      <x:c r="G449" s="410" t="n">
        <x:v>19</x:v>
      </x:c>
    </x:row>
    <x:row r="450">
      <x:c r="A450" t="str">
        <x:v>Stage01</x:v>
      </x:c>
      <x:c r="B450" t="str">
        <x:v>WAVE_24</x:v>
      </x:c>
      <x:c r="C450" s="409" t="n">
        <x:v>233.87</x:v>
      </x:c>
      <x:c r="D450" s="410" t="n">
        <x:v>13</x:v>
      </x:c>
      <x:c r="E450" t="str">
        <x:v>TOP_03</x:v>
      </x:c>
      <x:c r="F450" t="str">
        <x:v>GoblinMelee</x:v>
      </x:c>
      <x:c r="G450" s="410" t="n">
        <x:v>20</x:v>
      </x:c>
    </x:row>
    <x:row r="451">
      <x:c r="A451" t="str">
        <x:v>Stage01</x:v>
      </x:c>
      <x:c r="B451" t="str">
        <x:v>WAVE_24</x:v>
      </x:c>
      <x:c r="C451" s="409" t="n">
        <x:v>234.11</x:v>
      </x:c>
      <x:c r="D451" s="410" t="n">
        <x:v>14</x:v>
      </x:c>
      <x:c r="E451" t="str">
        <x:v>RIGHT_04</x:v>
      </x:c>
      <x:c r="F451" t="str">
        <x:v>GoblinMelee</x:v>
      </x:c>
      <x:c r="G451" s="410" t="n">
        <x:v>20</x:v>
      </x:c>
    </x:row>
    <x:row r="452">
      <x:c r="A452" t="str">
        <x:v>Stage01</x:v>
      </x:c>
      <x:c r="B452" t="str">
        <x:v>WAVE_24</x:v>
      </x:c>
      <x:c r="C452" s="409" t="n">
        <x:v>234.34</x:v>
      </x:c>
      <x:c r="D452" s="410" t="n">
        <x:v>15</x:v>
      </x:c>
      <x:c r="E452" t="str">
        <x:v>BOTTOM_05</x:v>
      </x:c>
      <x:c r="F452" t="str">
        <x:v>MushroomBoss</x:v>
      </x:c>
      <x:c r="G452" s="410" t="n">
        <x:v>20</x:v>
      </x:c>
    </x:row>
    <x:row r="453">
      <x:c r="A453" t="str">
        <x:v>Stage01</x:v>
      </x:c>
      <x:c r="B453" t="str">
        <x:v>WAVE_24</x:v>
      </x:c>
      <x:c r="C453" s="409" t="n">
        <x:v>234.58</x:v>
      </x:c>
      <x:c r="D453" s="410" t="n">
        <x:v>16</x:v>
      </x:c>
      <x:c r="E453" t="str">
        <x:v>LEFT_06</x:v>
      </x:c>
      <x:c r="F453" t="str">
        <x:v>GoblinMelee</x:v>
      </x:c>
      <x:c r="G453" s="410" t="n">
        <x:v>20</x:v>
      </x:c>
    </x:row>
    <x:row r="454">
      <x:c r="A454" t="str">
        <x:v>Stage01</x:v>
      </x:c>
      <x:c r="B454" t="str">
        <x:v>WAVE_24</x:v>
      </x:c>
      <x:c r="C454" s="409" t="n">
        <x:v>234.82</x:v>
      </x:c>
      <x:c r="D454" s="410" t="n">
        <x:v>17</x:v>
      </x:c>
      <x:c r="E454" t="str">
        <x:v>TOP_08</x:v>
      </x:c>
      <x:c r="F454" t="str">
        <x:v>GoblinRanged</x:v>
      </x:c>
      <x:c r="G454" s="410" t="n">
        <x:v>19</x:v>
      </x:c>
    </x:row>
    <x:row r="455">
      <x:c r="A455" t="str">
        <x:v>Stage01</x:v>
      </x:c>
      <x:c r="B455" t="str">
        <x:v>WAVE_24</x:v>
      </x:c>
      <x:c r="C455" s="409" t="n">
        <x:v>235.06</x:v>
      </x:c>
      <x:c r="D455" s="410" t="n">
        <x:v>18</x:v>
      </x:c>
      <x:c r="E455" t="str">
        <x:v>RIGHT_01</x:v>
      </x:c>
      <x:c r="F455" t="str">
        <x:v>GoblinMelee</x:v>
      </x:c>
      <x:c r="G455" s="410" t="n">
        <x:v>20</x:v>
      </x:c>
    </x:row>
    <x:row r="456">
      <x:c r="A456" t="str">
        <x:v>Stage01</x:v>
      </x:c>
      <x:c r="B456" t="str">
        <x:v>WAVE_24</x:v>
      </x:c>
      <x:c r="C456" s="409" t="n">
        <x:v>235.3</x:v>
      </x:c>
      <x:c r="D456" s="410" t="n">
        <x:v>19</x:v>
      </x:c>
      <x:c r="E456" t="str">
        <x:v>BOTTOM_02</x:v>
      </x:c>
      <x:c r="F456" t="str">
        <x:v>GoblinMelee</x:v>
      </x:c>
      <x:c r="G456" s="410" t="n">
        <x:v>20</x:v>
      </x:c>
    </x:row>
    <x:row r="457">
      <x:c r="A457" t="str">
        <x:v>Stage01</x:v>
      </x:c>
      <x:c r="B457" t="str">
        <x:v>WAVE_24</x:v>
      </x:c>
      <x:c r="C457" s="409" t="n">
        <x:v>235.54</x:v>
      </x:c>
      <x:c r="D457" s="410" t="n">
        <x:v>20</x:v>
      </x:c>
      <x:c r="E457" t="str">
        <x:v>LEFT_03</x:v>
      </x:c>
      <x:c r="F457" t="str">
        <x:v>ShieldSkeleton</x:v>
      </x:c>
      <x:c r="G457" s="410" t="n">
        <x:v>20</x:v>
      </x:c>
    </x:row>
    <x:row r="458">
      <x:c r="A458" t="str">
        <x:v>Stage01</x:v>
      </x:c>
      <x:c r="B458" t="str">
        <x:v>WAVE_24</x:v>
      </x:c>
      <x:c r="C458" s="409" t="n">
        <x:v>235.78</x:v>
      </x:c>
      <x:c r="D458" s="410" t="n">
        <x:v>21</x:v>
      </x:c>
      <x:c r="E458" t="str">
        <x:v>TOP_05</x:v>
      </x:c>
      <x:c r="F458" t="str">
        <x:v>GoblinMelee</x:v>
      </x:c>
      <x:c r="G458" s="410" t="n">
        <x:v>19</x:v>
      </x:c>
    </x:row>
    <x:row r="459">
      <x:c r="A459" t="str">
        <x:v>Stage01</x:v>
      </x:c>
      <x:c r="B459" t="str">
        <x:v>WAVE_24</x:v>
      </x:c>
      <x:c r="C459" s="409" t="n">
        <x:v>236.02</x:v>
      </x:c>
      <x:c r="D459" s="410" t="n">
        <x:v>22</x:v>
      </x:c>
      <x:c r="E459" t="str">
        <x:v>RIGHT_06</x:v>
      </x:c>
      <x:c r="F459" t="str">
        <x:v>GoblinMelee</x:v>
      </x:c>
      <x:c r="G459" s="410" t="n">
        <x:v>20</x:v>
      </x:c>
    </x:row>
    <x:row r="460">
      <x:c r="A460" t="str">
        <x:v>Stage01</x:v>
      </x:c>
      <x:c r="B460" t="str">
        <x:v>WAVE_24</x:v>
      </x:c>
      <x:c r="C460" s="409" t="n">
        <x:v>236.26</x:v>
      </x:c>
      <x:c r="D460" s="410" t="n">
        <x:v>23</x:v>
      </x:c>
      <x:c r="E460" t="str">
        <x:v>BOTTOM_07</x:v>
      </x:c>
      <x:c r="F460" t="str">
        <x:v>GoblinRanged</x:v>
      </x:c>
      <x:c r="G460" s="410" t="n">
        <x:v>20</x:v>
      </x:c>
    </x:row>
    <x:row r="461">
      <x:c r="A461" t="str">
        <x:v>Stage01</x:v>
      </x:c>
      <x:c r="B461" t="str">
        <x:v>WAVE_24</x:v>
      </x:c>
      <x:c r="C461" s="409" t="n">
        <x:v>236.49</x:v>
      </x:c>
      <x:c r="D461" s="410" t="n">
        <x:v>24</x:v>
      </x:c>
      <x:c r="E461" t="str">
        <x:v>LEFT_08</x:v>
      </x:c>
      <x:c r="F461" t="str">
        <x:v>GoblinMelee</x:v>
      </x:c>
      <x:c r="G461" s="410" t="n">
        <x:v>20</x:v>
      </x:c>
    </x:row>
    <x:row r="462">
      <x:c r="A462" t="str">
        <x:v>Stage01</x:v>
      </x:c>
      <x:c r="B462" t="str">
        <x:v>WAVE_24</x:v>
      </x:c>
      <x:c r="C462" s="409" t="n">
        <x:v>236.73</x:v>
      </x:c>
      <x:c r="D462" s="410" t="n">
        <x:v>25</x:v>
      </x:c>
      <x:c r="E462" t="str">
        <x:v>TOP_02</x:v>
      </x:c>
      <x:c r="F462" t="str">
        <x:v>GoblinMelee</x:v>
      </x:c>
      <x:c r="G462" s="410" t="n">
        <x:v>20</x:v>
      </x:c>
    </x:row>
    <x:row r="463">
      <x:c r="A463" t="str">
        <x:v>Stage01</x:v>
      </x:c>
      <x:c r="B463" t="str">
        <x:v>WAVE_24</x:v>
      </x:c>
      <x:c r="C463" s="409" t="n">
        <x:v>236.97</x:v>
      </x:c>
      <x:c r="D463" s="410" t="n">
        <x:v>26</x:v>
      </x:c>
      <x:c r="E463" t="str">
        <x:v>RIGHT_03</x:v>
      </x:c>
      <x:c r="F463" t="str">
        <x:v>GoblinRanged</x:v>
      </x:c>
      <x:c r="G463" s="410" t="n">
        <x:v>19</x:v>
      </x:c>
    </x:row>
    <x:row r="464">
      <x:c r="A464" t="str">
        <x:v>Stage01</x:v>
      </x:c>
      <x:c r="B464" t="str">
        <x:v>WAVE_24</x:v>
      </x:c>
      <x:c r="C464" s="409" t="n">
        <x:v>237.21</x:v>
      </x:c>
      <x:c r="D464" s="410" t="n">
        <x:v>27</x:v>
      </x:c>
      <x:c r="E464" t="str">
        <x:v>BOTTOM_04</x:v>
      </x:c>
      <x:c r="F464" t="str">
        <x:v>GoblinMelee</x:v>
      </x:c>
      <x:c r="G464" s="410" t="n">
        <x:v>20</x:v>
      </x:c>
    </x:row>
    <x:row r="465">
      <x:c r="A465" t="str">
        <x:v>Stage01</x:v>
      </x:c>
      <x:c r="B465" t="str">
        <x:v>WAVE_24</x:v>
      </x:c>
      <x:c r="C465" s="409" t="n">
        <x:v>237.45</x:v>
      </x:c>
      <x:c r="D465" s="410" t="n">
        <x:v>28</x:v>
      </x:c>
      <x:c r="E465" t="str">
        <x:v>LEFT_05</x:v>
      </x:c>
      <x:c r="F465" t="str">
        <x:v>GoblinMelee</x:v>
      </x:c>
      <x:c r="G465" s="410" t="n">
        <x:v>20</x:v>
      </x:c>
    </x:row>
    <x:row r="466">
      <x:c r="A466" t="str">
        <x:v>Stage01</x:v>
      </x:c>
      <x:c r="B466" t="str">
        <x:v>WAVE_24</x:v>
      </x:c>
      <x:c r="C466" s="409" t="n">
        <x:v>237.69</x:v>
      </x:c>
      <x:c r="D466" s="410" t="n">
        <x:v>29</x:v>
      </x:c>
      <x:c r="E466" t="str">
        <x:v>TOP_07</x:v>
      </x:c>
      <x:c r="F466" t="str">
        <x:v>GoblinMelee</x:v>
      </x:c>
      <x:c r="G466" s="410" t="n">
        <x:v>20</x:v>
      </x:c>
    </x:row>
    <x:row r="467">
      <x:c r="A467" t="str">
        <x:v>Stage01</x:v>
      </x:c>
      <x:c r="B467" t="str">
        <x:v>WAVE_24</x:v>
      </x:c>
      <x:c r="C467" s="409" t="n">
        <x:v>237.93</x:v>
      </x:c>
      <x:c r="D467" s="410" t="n">
        <x:v>30</x:v>
      </x:c>
      <x:c r="E467" t="str">
        <x:v>RIGHT_08</x:v>
      </x:c>
      <x:c r="F467" t="str">
        <x:v>GoblinRanged</x:v>
      </x:c>
      <x:c r="G467" s="410" t="n">
        <x:v>20</x:v>
      </x:c>
    </x:row>
    <x:row r="468">
      <x:c r="A468" t="str">
        <x:v>Stage01</x:v>
      </x:c>
      <x:c r="B468" t="str">
        <x:v>WAVE_24</x:v>
      </x:c>
      <x:c r="C468" s="409" t="n">
        <x:v>238.17</x:v>
      </x:c>
      <x:c r="D468" s="410" t="n">
        <x:v>31</x:v>
      </x:c>
      <x:c r="E468" t="str">
        <x:v>BOTTOM_01</x:v>
      </x:c>
      <x:c r="F468" t="str">
        <x:v>GoblinMelee</x:v>
      </x:c>
      <x:c r="G468" s="410" t="n">
        <x:v>19</x:v>
      </x:c>
    </x:row>
    <x:row r="469">
      <x:c r="A469" t="str">
        <x:v>Stage01</x:v>
      </x:c>
      <x:c r="B469" t="str">
        <x:v>WAVE_24</x:v>
      </x:c>
      <x:c r="C469" s="409" t="n">
        <x:v>238.41</x:v>
      </x:c>
      <x:c r="D469" s="410" t="n">
        <x:v>32</x:v>
      </x:c>
      <x:c r="E469" t="str">
        <x:v>LEFT_02</x:v>
      </x:c>
      <x:c r="F469" t="str">
        <x:v>GoblinMelee</x:v>
      </x:c>
      <x:c r="G469" s="410" t="n">
        <x:v>20</x:v>
      </x:c>
    </x:row>
    <x:row r="470">
      <x:c r="A470" t="str">
        <x:v>Stage01</x:v>
      </x:c>
      <x:c r="B470" t="str">
        <x:v>WAVE_24</x:v>
      </x:c>
      <x:c r="C470" s="409" t="n">
        <x:v>238.64</x:v>
      </x:c>
      <x:c r="D470" s="410" t="n">
        <x:v>33</x:v>
      </x:c>
      <x:c r="E470" t="str">
        <x:v>TOP_04</x:v>
      </x:c>
      <x:c r="F470" t="str">
        <x:v>ShieldSkeleton</x:v>
      </x:c>
      <x:c r="G470" s="410" t="n">
        <x:v>20</x:v>
      </x:c>
    </x:row>
    <x:row r="471">
      <x:c r="A471" t="str">
        <x:v>Stage01</x:v>
      </x:c>
      <x:c r="B471" t="str">
        <x:v>WAVE_24</x:v>
      </x:c>
      <x:c r="C471" s="409" t="n">
        <x:v>238.88</x:v>
      </x:c>
      <x:c r="D471" s="410" t="n">
        <x:v>34</x:v>
      </x:c>
      <x:c r="E471" t="str">
        <x:v>RIGHT_05</x:v>
      </x:c>
      <x:c r="F471" t="str">
        <x:v>GoblinMelee</x:v>
      </x:c>
      <x:c r="G471" s="410" t="n">
        <x:v>20</x:v>
      </x:c>
    </x:row>
    <x:row r="472">
      <x:c r="A472" t="str">
        <x:v>Stage01</x:v>
      </x:c>
      <x:c r="B472" t="str">
        <x:v>WAVE_24</x:v>
      </x:c>
      <x:c r="C472" s="409" t="n">
        <x:v>239.12</x:v>
      </x:c>
      <x:c r="D472" s="410" t="n">
        <x:v>35</x:v>
      </x:c>
      <x:c r="E472" t="str">
        <x:v>BOTTOM_06</x:v>
      </x:c>
      <x:c r="F472" t="str">
        <x:v>GoblinMelee</x:v>
      </x:c>
      <x:c r="G472" s="410" t="n">
        <x:v>19</x:v>
      </x:c>
    </x:row>
    <x:row r="473">
      <x:c r="A473" t="str">
        <x:v>Stage01</x:v>
      </x:c>
      <x:c r="B473" t="str">
        <x:v>WAVE_24</x:v>
      </x:c>
      <x:c r="C473" s="409" t="n">
        <x:v>239.36</x:v>
      </x:c>
      <x:c r="D473" s="410" t="n">
        <x:v>36</x:v>
      </x:c>
      <x:c r="E473" t="str">
        <x:v>LEFT_07</x:v>
      </x:c>
      <x:c r="F473" t="str">
        <x:v>GoblinRanged</x:v>
      </x:c>
      <x:c r="G473" s="410" t="n">
        <x:v>20</x:v>
      </x:c>
    </x:row>
    <x:row r="474">
      <x:c r="A474" t="str">
        <x:v>Stage01</x:v>
      </x:c>
      <x:c r="B474" t="str">
        <x:v>WAVE_24</x:v>
      </x:c>
      <x:c r="C474" s="409" t="n">
        <x:v>239.6</x:v>
      </x:c>
      <x:c r="D474" s="410" t="n">
        <x:v>37</x:v>
      </x:c>
      <x:c r="E474" t="str">
        <x:v>TOP_01</x:v>
      </x:c>
      <x:c r="F474" t="str">
        <x:v>GoblinMelee</x:v>
      </x:c>
      <x:c r="G474" s="410" t="n">
        <x:v>20</x:v>
      </x:c>
    </x:row>
    <x:row r="475">
      <x:c r="A475" t="str">
        <x:v>Stage01</x:v>
      </x:c>
      <x:c r="B475" t="str">
        <x:v>WAVE_25</x:v>
      </x:c>
      <x:c r="C475" s="409" t="n">
        <x:v>241</x:v>
      </x:c>
      <x:c r="D475" s="410" t="n">
        <x:v>1</x:v>
      </x:c>
      <x:c r="E475" t="str">
        <x:v>TOP_04</x:v>
      </x:c>
      <x:c r="F475" t="str">
        <x:v>GoblinMelee</x:v>
      </x:c>
      <x:c r="G475" s="410" t="n">
        <x:v>21</x:v>
      </x:c>
    </x:row>
    <x:row r="476">
      <x:c r="A476" t="str">
        <x:v>Stage01</x:v>
      </x:c>
      <x:c r="B476" t="str">
        <x:v>WAVE_25</x:v>
      </x:c>
      <x:c r="C476" s="409" t="n">
        <x:v>241.23</x:v>
      </x:c>
      <x:c r="D476" s="410" t="n">
        <x:v>2</x:v>
      </x:c>
      <x:c r="E476" t="str">
        <x:v>RIGHT_05</x:v>
      </x:c>
      <x:c r="F476" t="str">
        <x:v>GoblinRanged</x:v>
      </x:c>
      <x:c r="G476" s="410" t="n">
        <x:v>21</x:v>
      </x:c>
    </x:row>
    <x:row r="477">
      <x:c r="A477" t="str">
        <x:v>Stage01</x:v>
      </x:c>
      <x:c r="B477" t="str">
        <x:v>WAVE_25</x:v>
      </x:c>
      <x:c r="C477" s="409" t="n">
        <x:v>241.45</x:v>
      </x:c>
      <x:c r="D477" s="410" t="n">
        <x:v>3</x:v>
      </x:c>
      <x:c r="E477" t="str">
        <x:v>BOTTOM_06</x:v>
      </x:c>
      <x:c r="F477" t="str">
        <x:v>GoblinMelee</x:v>
      </x:c>
      <x:c r="G477" s="410" t="n">
        <x:v>20</x:v>
      </x:c>
    </x:row>
    <x:row r="478">
      <x:c r="A478" t="str">
        <x:v>Stage01</x:v>
      </x:c>
      <x:c r="B478" t="str">
        <x:v>WAVE_25</x:v>
      </x:c>
      <x:c r="C478" s="409" t="n">
        <x:v>241.68</x:v>
      </x:c>
      <x:c r="D478" s="410" t="n">
        <x:v>4</x:v>
      </x:c>
      <x:c r="E478" t="str">
        <x:v>LEFT_07</x:v>
      </x:c>
      <x:c r="F478" t="str">
        <x:v>GoblinMelee</x:v>
      </x:c>
      <x:c r="G478" s="410" t="n">
        <x:v>21</x:v>
      </x:c>
    </x:row>
    <x:row r="479">
      <x:c r="A479" t="str">
        <x:v>Stage01</x:v>
      </x:c>
      <x:c r="B479" t="str">
        <x:v>WAVE_25</x:v>
      </x:c>
      <x:c r="C479" s="409" t="n">
        <x:v>241.91</x:v>
      </x:c>
      <x:c r="D479" s="410" t="n">
        <x:v>5</x:v>
      </x:c>
      <x:c r="E479" t="str">
        <x:v>TOP_01</x:v>
      </x:c>
      <x:c r="F479" t="str">
        <x:v>ShieldSkeleton</x:v>
      </x:c>
      <x:c r="G479" s="410" t="n">
        <x:v>21</x:v>
      </x:c>
    </x:row>
    <x:row r="480">
      <x:c r="A480" t="str">
        <x:v>Stage01</x:v>
      </x:c>
      <x:c r="B480" t="str">
        <x:v>WAVE_25</x:v>
      </x:c>
      <x:c r="C480" s="409" t="n">
        <x:v>242.13</x:v>
      </x:c>
      <x:c r="D480" s="410" t="n">
        <x:v>6</x:v>
      </x:c>
      <x:c r="E480" t="str">
        <x:v>RIGHT_02</x:v>
      </x:c>
      <x:c r="F480" t="str">
        <x:v>GoblinMelee</x:v>
      </x:c>
      <x:c r="G480" s="410" t="n">
        <x:v>21</x:v>
      </x:c>
    </x:row>
    <x:row r="481">
      <x:c r="A481" t="str">
        <x:v>Stage01</x:v>
      </x:c>
      <x:c r="B481" t="str">
        <x:v>WAVE_25</x:v>
      </x:c>
      <x:c r="C481" s="409" t="n">
        <x:v>242.36</x:v>
      </x:c>
      <x:c r="D481" s="410" t="n">
        <x:v>7</x:v>
      </x:c>
      <x:c r="E481" t="str">
        <x:v>BOTTOM_03</x:v>
      </x:c>
      <x:c r="F481" t="str">
        <x:v>GoblinMelee</x:v>
      </x:c>
      <x:c r="G481" s="410" t="n">
        <x:v>21</x:v>
      </x:c>
    </x:row>
    <x:row r="482">
      <x:c r="A482" t="str">
        <x:v>Stage01</x:v>
      </x:c>
      <x:c r="B482" t="str">
        <x:v>WAVE_25</x:v>
      </x:c>
      <x:c r="C482" s="409" t="n">
        <x:v>242.58</x:v>
      </x:c>
      <x:c r="D482" s="410" t="n">
        <x:v>8</x:v>
      </x:c>
      <x:c r="E482" t="str">
        <x:v>LEFT_04</x:v>
      </x:c>
      <x:c r="F482" t="str">
        <x:v>GoblinRanged</x:v>
      </x:c>
      <x:c r="G482" s="410" t="n">
        <x:v>21</x:v>
      </x:c>
    </x:row>
    <x:row r="483">
      <x:c r="A483" t="str">
        <x:v>Stage01</x:v>
      </x:c>
      <x:c r="B483" t="str">
        <x:v>WAVE_25</x:v>
      </x:c>
      <x:c r="C483" s="409" t="n">
        <x:v>242.81</x:v>
      </x:c>
      <x:c r="D483" s="410" t="n">
        <x:v>9</x:v>
      </x:c>
      <x:c r="E483" t="str">
        <x:v>TOP_06</x:v>
      </x:c>
      <x:c r="F483" t="str">
        <x:v>GoblinMelee</x:v>
      </x:c>
      <x:c r="G483" s="410" t="n">
        <x:v>20</x:v>
      </x:c>
    </x:row>
    <x:row r="484">
      <x:c r="A484" t="str">
        <x:v>Stage01</x:v>
      </x:c>
      <x:c r="B484" t="str">
        <x:v>WAVE_25</x:v>
      </x:c>
      <x:c r="C484" s="409" t="n">
        <x:v>243.04</x:v>
      </x:c>
      <x:c r="D484" s="410" t="n">
        <x:v>10</x:v>
      </x:c>
      <x:c r="E484" t="str">
        <x:v>RIGHT_07</x:v>
      </x:c>
      <x:c r="F484" t="str">
        <x:v>GoblinMelee</x:v>
      </x:c>
      <x:c r="G484" s="410" t="n">
        <x:v>21</x:v>
      </x:c>
    </x:row>
    <x:row r="485">
      <x:c r="A485" t="str">
        <x:v>Stage01</x:v>
      </x:c>
      <x:c r="B485" t="str">
        <x:v>WAVE_25</x:v>
      </x:c>
      <x:c r="C485" s="409" t="n">
        <x:v>243.26</x:v>
      </x:c>
      <x:c r="D485" s="410" t="n">
        <x:v>11</x:v>
      </x:c>
      <x:c r="E485" t="str">
        <x:v>BOTTOM_08</x:v>
      </x:c>
      <x:c r="F485" t="str">
        <x:v>GoblinRanged</x:v>
      </x:c>
      <x:c r="G485" s="410" t="n">
        <x:v>21</x:v>
      </x:c>
    </x:row>
    <x:row r="486">
      <x:c r="A486" t="str">
        <x:v>Stage01</x:v>
      </x:c>
      <x:c r="B486" t="str">
        <x:v>WAVE_25</x:v>
      </x:c>
      <x:c r="C486" s="409" t="n">
        <x:v>243.49</x:v>
      </x:c>
      <x:c r="D486" s="410" t="n">
        <x:v>12</x:v>
      </x:c>
      <x:c r="E486" t="str">
        <x:v>LEFT_01</x:v>
      </x:c>
      <x:c r="F486" t="str">
        <x:v>GoblinMelee</x:v>
      </x:c>
      <x:c r="G486" s="410" t="n">
        <x:v>21</x:v>
      </x:c>
    </x:row>
    <x:row r="487">
      <x:c r="A487" t="str">
        <x:v>Stage01</x:v>
      </x:c>
      <x:c r="B487" t="str">
        <x:v>WAVE_25</x:v>
      </x:c>
      <x:c r="C487" s="409" t="n">
        <x:v>243.72</x:v>
      </x:c>
      <x:c r="D487" s="410" t="n">
        <x:v>13</x:v>
      </x:c>
      <x:c r="E487" t="str">
        <x:v>TOP_03</x:v>
      </x:c>
      <x:c r="F487" t="str">
        <x:v>GoblinMelee</x:v>
      </x:c>
      <x:c r="G487" s="410" t="n">
        <x:v>21</x:v>
      </x:c>
    </x:row>
    <x:row r="488">
      <x:c r="A488" t="str">
        <x:v>Stage01</x:v>
      </x:c>
      <x:c r="B488" t="str">
        <x:v>WAVE_25</x:v>
      </x:c>
      <x:c r="C488" s="409" t="n">
        <x:v>243.94</x:v>
      </x:c>
      <x:c r="D488" s="410" t="n">
        <x:v>14</x:v>
      </x:c>
      <x:c r="E488" t="str">
        <x:v>RIGHT_04</x:v>
      </x:c>
      <x:c r="F488" t="str">
        <x:v>ShieldSkeleton</x:v>
      </x:c>
      <x:c r="G488" s="410" t="n">
        <x:v>20</x:v>
      </x:c>
    </x:row>
    <x:row r="489">
      <x:c r="A489" t="str">
        <x:v>Stage01</x:v>
      </x:c>
      <x:c r="B489" t="str">
        <x:v>WAVE_25</x:v>
      </x:c>
      <x:c r="C489" s="409" t="n">
        <x:v>244.17</x:v>
      </x:c>
      <x:c r="D489" s="410" t="n">
        <x:v>15</x:v>
      </x:c>
      <x:c r="E489" t="str">
        <x:v>BOTTOM_05</x:v>
      </x:c>
      <x:c r="F489" t="str">
        <x:v>FlyingEye</x:v>
      </x:c>
      <x:c r="G489" s="410" t="n">
        <x:v>21</x:v>
      </x:c>
    </x:row>
    <x:row r="490">
      <x:c r="A490" t="str">
        <x:v>Stage01</x:v>
      </x:c>
      <x:c r="B490" t="str">
        <x:v>WAVE_25</x:v>
      </x:c>
      <x:c r="C490" s="409" t="n">
        <x:v>244.39</x:v>
      </x:c>
      <x:c r="D490" s="410" t="n">
        <x:v>16</x:v>
      </x:c>
      <x:c r="E490" t="str">
        <x:v>LEFT_06</x:v>
      </x:c>
      <x:c r="F490" t="str">
        <x:v>GoblinRanged</x:v>
      </x:c>
      <x:c r="G490" s="410" t="n">
        <x:v>21</x:v>
      </x:c>
    </x:row>
    <x:row r="491">
      <x:c r="A491" t="str">
        <x:v>Stage01</x:v>
      </x:c>
      <x:c r="B491" t="str">
        <x:v>WAVE_25</x:v>
      </x:c>
      <x:c r="C491" s="409" t="n">
        <x:v>244.62</x:v>
      </x:c>
      <x:c r="D491" s="410" t="n">
        <x:v>17</x:v>
      </x:c>
      <x:c r="E491" t="str">
        <x:v>TOP_08</x:v>
      </x:c>
      <x:c r="F491" t="str">
        <x:v>GoblinMelee</x:v>
      </x:c>
      <x:c r="G491" s="410" t="n">
        <x:v>21</x:v>
      </x:c>
    </x:row>
    <x:row r="492">
      <x:c r="A492" t="str">
        <x:v>Stage01</x:v>
      </x:c>
      <x:c r="B492" t="str">
        <x:v>WAVE_25</x:v>
      </x:c>
      <x:c r="C492" s="409" t="n">
        <x:v>244.85</x:v>
      </x:c>
      <x:c r="D492" s="410" t="n">
        <x:v>18</x:v>
      </x:c>
      <x:c r="E492" t="str">
        <x:v>RIGHT_01</x:v>
      </x:c>
      <x:c r="F492" t="str">
        <x:v>GoblinMelee</x:v>
      </x:c>
      <x:c r="G492" s="410" t="n">
        <x:v>21</x:v>
      </x:c>
    </x:row>
    <x:row r="493">
      <x:c r="A493" t="str">
        <x:v>Stage01</x:v>
      </x:c>
      <x:c r="B493" t="str">
        <x:v>WAVE_25</x:v>
      </x:c>
      <x:c r="C493" s="409" t="n">
        <x:v>245.07</x:v>
      </x:c>
      <x:c r="D493" s="410" t="n">
        <x:v>19</x:v>
      </x:c>
      <x:c r="E493" t="str">
        <x:v>BOTTOM_02</x:v>
      </x:c>
      <x:c r="F493" t="str">
        <x:v>GoblinMelee</x:v>
      </x:c>
      <x:c r="G493" s="410" t="n">
        <x:v>21</x:v>
      </x:c>
    </x:row>
    <x:row r="494">
      <x:c r="A494" t="str">
        <x:v>Stage01</x:v>
      </x:c>
      <x:c r="B494" t="str">
        <x:v>WAVE_25</x:v>
      </x:c>
      <x:c r="C494" s="409" t="n">
        <x:v>245.3</x:v>
      </x:c>
      <x:c r="D494" s="410" t="n">
        <x:v>20</x:v>
      </x:c>
      <x:c r="E494" t="str">
        <x:v>LEFT_03</x:v>
      </x:c>
      <x:c r="F494" t="str">
        <x:v>GoblinRanged</x:v>
      </x:c>
      <x:c r="G494" s="410" t="n">
        <x:v>20</x:v>
      </x:c>
    </x:row>
    <x:row r="495">
      <x:c r="A495" t="str">
        <x:v>Stage01</x:v>
      </x:c>
      <x:c r="B495" t="str">
        <x:v>WAVE_25</x:v>
      </x:c>
      <x:c r="C495" s="409" t="n">
        <x:v>245.53</x:v>
      </x:c>
      <x:c r="D495" s="410" t="n">
        <x:v>21</x:v>
      </x:c>
      <x:c r="E495" t="str">
        <x:v>TOP_05</x:v>
      </x:c>
      <x:c r="F495" t="str">
        <x:v>GoblinMelee</x:v>
      </x:c>
      <x:c r="G495" s="410" t="n">
        <x:v>21</x:v>
      </x:c>
    </x:row>
    <x:row r="496">
      <x:c r="A496" t="str">
        <x:v>Stage01</x:v>
      </x:c>
      <x:c r="B496" t="str">
        <x:v>WAVE_25</x:v>
      </x:c>
      <x:c r="C496" s="409" t="n">
        <x:v>245.75</x:v>
      </x:c>
      <x:c r="D496" s="410" t="n">
        <x:v>22</x:v>
      </x:c>
      <x:c r="E496" t="str">
        <x:v>RIGHT_06</x:v>
      </x:c>
      <x:c r="F496" t="str">
        <x:v>GoblinMelee</x:v>
      </x:c>
      <x:c r="G496" s="410" t="n">
        <x:v>21</x:v>
      </x:c>
    </x:row>
    <x:row r="497">
      <x:c r="A497" t="str">
        <x:v>Stage01</x:v>
      </x:c>
      <x:c r="B497" t="str">
        <x:v>WAVE_25</x:v>
      </x:c>
      <x:c r="C497" s="409" t="n">
        <x:v>245.98</x:v>
      </x:c>
      <x:c r="D497" s="410" t="n">
        <x:v>23</x:v>
      </x:c>
      <x:c r="E497" t="str">
        <x:v>BOTTOM_07</x:v>
      </x:c>
      <x:c r="F497" t="str">
        <x:v>ShieldSkeleton</x:v>
      </x:c>
      <x:c r="G497" s="410" t="n">
        <x:v>21</x:v>
      </x:c>
    </x:row>
    <x:row r="498">
      <x:c r="A498" t="str">
        <x:v>Stage01</x:v>
      </x:c>
      <x:c r="B498" t="str">
        <x:v>WAVE_25</x:v>
      </x:c>
      <x:c r="C498" s="409" t="n">
        <x:v>246.21</x:v>
      </x:c>
      <x:c r="D498" s="410" t="n">
        <x:v>24</x:v>
      </x:c>
      <x:c r="E498" t="str">
        <x:v>LEFT_08</x:v>
      </x:c>
      <x:c r="F498" t="str">
        <x:v>GoblinMelee</x:v>
      </x:c>
      <x:c r="G498" s="410" t="n">
        <x:v>21</x:v>
      </x:c>
    </x:row>
    <x:row r="499">
      <x:c r="A499" t="str">
        <x:v>Stage01</x:v>
      </x:c>
      <x:c r="B499" t="str">
        <x:v>WAVE_25</x:v>
      </x:c>
      <x:c r="C499" s="409" t="n">
        <x:v>246.43</x:v>
      </x:c>
      <x:c r="D499" s="410" t="n">
        <x:v>25</x:v>
      </x:c>
      <x:c r="E499" t="str">
        <x:v>TOP_02</x:v>
      </x:c>
      <x:c r="F499" t="str">
        <x:v>GoblinRanged</x:v>
      </x:c>
      <x:c r="G499" s="410" t="n">
        <x:v>21</x:v>
      </x:c>
    </x:row>
    <x:row r="500">
      <x:c r="A500" t="str">
        <x:v>Stage01</x:v>
      </x:c>
      <x:c r="B500" t="str">
        <x:v>WAVE_25</x:v>
      </x:c>
      <x:c r="C500" s="409" t="n">
        <x:v>246.66</x:v>
      </x:c>
      <x:c r="D500" s="410" t="n">
        <x:v>26</x:v>
      </x:c>
      <x:c r="E500" t="str">
        <x:v>RIGHT_03</x:v>
      </x:c>
      <x:c r="F500" t="str">
        <x:v>GoblinMelee</x:v>
      </x:c>
      <x:c r="G500" s="410" t="n">
        <x:v>20</x:v>
      </x:c>
    </x:row>
    <x:row r="501">
      <x:c r="A501" t="str">
        <x:v>Stage01</x:v>
      </x:c>
      <x:c r="B501" t="str">
        <x:v>WAVE_25</x:v>
      </x:c>
      <x:c r="C501" s="409" t="n">
        <x:v>246.88</x:v>
      </x:c>
      <x:c r="D501" s="410" t="n">
        <x:v>27</x:v>
      </x:c>
      <x:c r="E501" t="str">
        <x:v>BOTTOM_04</x:v>
      </x:c>
      <x:c r="F501" t="str">
        <x:v>GoblinMelee</x:v>
      </x:c>
      <x:c r="G501" s="410" t="n">
        <x:v>21</x:v>
      </x:c>
    </x:row>
    <x:row r="502">
      <x:c r="A502" t="str">
        <x:v>Stage01</x:v>
      </x:c>
      <x:c r="B502" t="str">
        <x:v>WAVE_25</x:v>
      </x:c>
      <x:c r="C502" s="409" t="n">
        <x:v>247.11</x:v>
      </x:c>
      <x:c r="D502" s="410" t="n">
        <x:v>28</x:v>
      </x:c>
      <x:c r="E502" t="str">
        <x:v>LEFT_05</x:v>
      </x:c>
      <x:c r="F502" t="str">
        <x:v>GoblinMelee</x:v>
      </x:c>
      <x:c r="G502" s="410" t="n">
        <x:v>21</x:v>
      </x:c>
    </x:row>
    <x:row r="503">
      <x:c r="A503" t="str">
        <x:v>Stage01</x:v>
      </x:c>
      <x:c r="B503" t="str">
        <x:v>WAVE_25</x:v>
      </x:c>
      <x:c r="C503" s="409" t="n">
        <x:v>247.34</x:v>
      </x:c>
      <x:c r="D503" s="410" t="n">
        <x:v>29</x:v>
      </x:c>
      <x:c r="E503" t="str">
        <x:v>TOP_07</x:v>
      </x:c>
      <x:c r="F503" t="str">
        <x:v>GoblinRanged</x:v>
      </x:c>
      <x:c r="G503" s="410" t="n">
        <x:v>21</x:v>
      </x:c>
    </x:row>
    <x:row r="504">
      <x:c r="A504" t="str">
        <x:v>Stage01</x:v>
      </x:c>
      <x:c r="B504" t="str">
        <x:v>WAVE_25</x:v>
      </x:c>
      <x:c r="C504" s="409" t="n">
        <x:v>247.56</x:v>
      </x:c>
      <x:c r="D504" s="410" t="n">
        <x:v>30</x:v>
      </x:c>
      <x:c r="E504" t="str">
        <x:v>RIGHT_08</x:v>
      </x:c>
      <x:c r="F504" t="str">
        <x:v>FlyingEye</x:v>
      </x:c>
      <x:c r="G504" s="410" t="n">
        <x:v>21</x:v>
      </x:c>
    </x:row>
    <x:row r="505">
      <x:c r="A505" t="str">
        <x:v>Stage01</x:v>
      </x:c>
      <x:c r="B505" t="str">
        <x:v>WAVE_25</x:v>
      </x:c>
      <x:c r="C505" s="409" t="n">
        <x:v>247.79</x:v>
      </x:c>
      <x:c r="D505" s="410" t="n">
        <x:v>31</x:v>
      </x:c>
      <x:c r="E505" t="str">
        <x:v>BOTTOM_01</x:v>
      </x:c>
      <x:c r="F505" t="str">
        <x:v>GoblinMelee</x:v>
      </x:c>
      <x:c r="G505" s="410" t="n">
        <x:v>20</x:v>
      </x:c>
    </x:row>
    <x:row r="506">
      <x:c r="A506" t="str">
        <x:v>Stage01</x:v>
      </x:c>
      <x:c r="B506" t="str">
        <x:v>WAVE_25</x:v>
      </x:c>
      <x:c r="C506" s="409" t="n">
        <x:v>248.02</x:v>
      </x:c>
      <x:c r="D506" s="410" t="n">
        <x:v>32</x:v>
      </x:c>
      <x:c r="E506" t="str">
        <x:v>LEFT_02</x:v>
      </x:c>
      <x:c r="F506" t="str">
        <x:v>GoblinRanged</x:v>
      </x:c>
      <x:c r="G506" s="410" t="n">
        <x:v>21</x:v>
      </x:c>
    </x:row>
    <x:row r="507">
      <x:c r="A507" t="str">
        <x:v>Stage01</x:v>
      </x:c>
      <x:c r="B507" t="str">
        <x:v>WAVE_25</x:v>
      </x:c>
      <x:c r="C507" s="409" t="n">
        <x:v>248.24</x:v>
      </x:c>
      <x:c r="D507" s="410" t="n">
        <x:v>33</x:v>
      </x:c>
      <x:c r="E507" t="str">
        <x:v>TOP_04</x:v>
      </x:c>
      <x:c r="F507" t="str">
        <x:v>GoblinMelee</x:v>
      </x:c>
      <x:c r="G507" s="410" t="n">
        <x:v>21</x:v>
      </x:c>
    </x:row>
    <x:row r="508">
      <x:c r="A508" t="str">
        <x:v>Stage01</x:v>
      </x:c>
      <x:c r="B508" t="str">
        <x:v>WAVE_25</x:v>
      </x:c>
      <x:c r="C508" s="409" t="n">
        <x:v>248.47</x:v>
      </x:c>
      <x:c r="D508" s="410" t="n">
        <x:v>34</x:v>
      </x:c>
      <x:c r="E508" t="str">
        <x:v>RIGHT_05</x:v>
      </x:c>
      <x:c r="F508" t="str">
        <x:v>GoblinMelee</x:v>
      </x:c>
      <x:c r="G508" s="410" t="n">
        <x:v>21</x:v>
      </x:c>
    </x:row>
    <x:row r="509">
      <x:c r="A509" t="str">
        <x:v>Stage01</x:v>
      </x:c>
      <x:c r="B509" t="str">
        <x:v>WAVE_25</x:v>
      </x:c>
      <x:c r="C509" s="409" t="n">
        <x:v>248.69</x:v>
      </x:c>
      <x:c r="D509" s="410" t="n">
        <x:v>35</x:v>
      </x:c>
      <x:c r="E509" t="str">
        <x:v>BOTTOM_06</x:v>
      </x:c>
      <x:c r="F509" t="str">
        <x:v>ShieldSkeleton</x:v>
      </x:c>
      <x:c r="G509" s="410" t="n">
        <x:v>21</x:v>
      </x:c>
    </x:row>
    <x:row r="510">
      <x:c r="A510" t="str">
        <x:v>Stage01</x:v>
      </x:c>
      <x:c r="B510" t="str">
        <x:v>WAVE_25</x:v>
      </x:c>
      <x:c r="C510" s="409" t="n">
        <x:v>248.92</x:v>
      </x:c>
      <x:c r="D510" s="410" t="n">
        <x:v>36</x:v>
      </x:c>
      <x:c r="E510" t="str">
        <x:v>LEFT_07</x:v>
      </x:c>
      <x:c r="F510" t="str">
        <x:v>GoblinMelee</x:v>
      </x:c>
      <x:c r="G510" s="410" t="n">
        <x:v>21</x:v>
      </x:c>
    </x:row>
    <x:row r="511">
      <x:c r="A511" t="str">
        <x:v>Stage01</x:v>
      </x:c>
      <x:c r="B511" t="str">
        <x:v>WAVE_25</x:v>
      </x:c>
      <x:c r="C511" s="409" t="n">
        <x:v>249.15</x:v>
      </x:c>
      <x:c r="D511" s="410" t="n">
        <x:v>37</x:v>
      </x:c>
      <x:c r="E511" t="str">
        <x:v>TOP_01</x:v>
      </x:c>
      <x:c r="F511" t="str">
        <x:v>GoblinMelee</x:v>
      </x:c>
      <x:c r="G511" s="410" t="n">
        <x:v>20</x:v>
      </x:c>
    </x:row>
    <x:row r="512">
      <x:c r="A512" t="str">
        <x:v>Stage01</x:v>
      </x:c>
      <x:c r="B512" t="str">
        <x:v>WAVE_25</x:v>
      </x:c>
      <x:c r="C512" s="409" t="n">
        <x:v>249.37</x:v>
      </x:c>
      <x:c r="D512" s="410" t="n">
        <x:v>38</x:v>
      </x:c>
      <x:c r="E512" t="str">
        <x:v>RIGHT_02</x:v>
      </x:c>
      <x:c r="F512" t="str">
        <x:v>GoblinRanged</x:v>
      </x:c>
      <x:c r="G512" s="410" t="n">
        <x:v>21</x:v>
      </x:c>
    </x:row>
    <x:row r="513">
      <x:c r="A513" t="str">
        <x:v>Stage01</x:v>
      </x:c>
      <x:c r="B513" t="str">
        <x:v>WAVE_25</x:v>
      </x:c>
      <x:c r="C513" s="409" t="n">
        <x:v>249.6</x:v>
      </x:c>
      <x:c r="D513" s="410" t="n">
        <x:v>39</x:v>
      </x:c>
      <x:c r="E513" t="str">
        <x:v>BOTTOM_03</x:v>
      </x:c>
      <x:c r="F513" t="str">
        <x:v>GoblinMelee</x:v>
      </x:c>
      <x:c r="G513" s="410" t="n">
        <x:v>21</x:v>
      </x:c>
    </x:row>
    <x:row r="514">
      <x:c r="A514" t="str">
        <x:v>Stage01</x:v>
      </x:c>
      <x:c r="B514" t="str">
        <x:v>WAVE_26</x:v>
      </x:c>
      <x:c r="C514" s="409" t="n">
        <x:v>251</x:v>
      </x:c>
      <x:c r="D514" s="410" t="n">
        <x:v>1</x:v>
      </x:c>
      <x:c r="E514" t="str">
        <x:v>BOTTOM_06</x:v>
      </x:c>
      <x:c r="F514" t="str">
        <x:v>GoblinMelee</x:v>
      </x:c>
      <x:c r="G514" s="410" t="n">
        <x:v>22</x:v>
      </x:c>
    </x:row>
    <x:row r="515">
      <x:c r="A515" t="str">
        <x:v>Stage01</x:v>
      </x:c>
      <x:c r="B515" t="str">
        <x:v>WAVE_26</x:v>
      </x:c>
      <x:c r="C515" s="409" t="n">
        <x:v>251.22</x:v>
      </x:c>
      <x:c r="D515" s="410" t="n">
        <x:v>2</x:v>
      </x:c>
      <x:c r="E515" t="str">
        <x:v>LEFT_07</x:v>
      </x:c>
      <x:c r="F515" t="str">
        <x:v>GoblinRanged</x:v>
      </x:c>
      <x:c r="G515" s="410" t="n">
        <x:v>22</x:v>
      </x:c>
    </x:row>
    <x:row r="516">
      <x:c r="A516" t="str">
        <x:v>Stage01</x:v>
      </x:c>
      <x:c r="B516" t="str">
        <x:v>WAVE_26</x:v>
      </x:c>
      <x:c r="C516" s="409" t="n">
        <x:v>251.43</x:v>
      </x:c>
      <x:c r="D516" s="410" t="n">
        <x:v>3</x:v>
      </x:c>
      <x:c r="E516" t="str">
        <x:v>TOP_01</x:v>
      </x:c>
      <x:c r="F516" t="str">
        <x:v>GoblinMelee</x:v>
      </x:c>
      <x:c r="G516" s="410" t="n">
        <x:v>22</x:v>
      </x:c>
    </x:row>
    <x:row r="517">
      <x:c r="A517" t="str">
        <x:v>Stage01</x:v>
      </x:c>
      <x:c r="B517" t="str">
        <x:v>WAVE_26</x:v>
      </x:c>
      <x:c r="C517" s="409" t="n">
        <x:v>251.65</x:v>
      </x:c>
      <x:c r="D517" s="410" t="n">
        <x:v>4</x:v>
      </x:c>
      <x:c r="E517" t="str">
        <x:v>RIGHT_02</x:v>
      </x:c>
      <x:c r="F517" t="str">
        <x:v>GoblinMelee</x:v>
      </x:c>
      <x:c r="G517" s="410" t="n">
        <x:v>21</x:v>
      </x:c>
    </x:row>
    <x:row r="518">
      <x:c r="A518" t="str">
        <x:v>Stage01</x:v>
      </x:c>
      <x:c r="B518" t="str">
        <x:v>WAVE_26</x:v>
      </x:c>
      <x:c r="C518" s="409" t="n">
        <x:v>251.86</x:v>
      </x:c>
      <x:c r="D518" s="410" t="n">
        <x:v>5</x:v>
      </x:c>
      <x:c r="E518" t="str">
        <x:v>BOTTOM_03</x:v>
      </x:c>
      <x:c r="F518" t="str">
        <x:v>ShieldSkeleton</x:v>
      </x:c>
      <x:c r="G518" s="410" t="n">
        <x:v>22</x:v>
      </x:c>
    </x:row>
    <x:row r="519">
      <x:c r="A519" t="str">
        <x:v>Stage01</x:v>
      </x:c>
      <x:c r="B519" t="str">
        <x:v>WAVE_26</x:v>
      </x:c>
      <x:c r="C519" s="409" t="n">
        <x:v>252.08</x:v>
      </x:c>
      <x:c r="D519" s="410" t="n">
        <x:v>6</x:v>
      </x:c>
      <x:c r="E519" t="str">
        <x:v>LEFT_04</x:v>
      </x:c>
      <x:c r="F519" t="str">
        <x:v>GoblinMelee</x:v>
      </x:c>
      <x:c r="G519" s="410" t="n">
        <x:v>22</x:v>
      </x:c>
    </x:row>
    <x:row r="520">
      <x:c r="A520" t="str">
        <x:v>Stage01</x:v>
      </x:c>
      <x:c r="B520" t="str">
        <x:v>WAVE_26</x:v>
      </x:c>
      <x:c r="C520" s="409" t="n">
        <x:v>252.29</x:v>
      </x:c>
      <x:c r="D520" s="410" t="n">
        <x:v>7</x:v>
      </x:c>
      <x:c r="E520" t="str">
        <x:v>TOP_06</x:v>
      </x:c>
      <x:c r="F520" t="str">
        <x:v>GoblinMelee</x:v>
      </x:c>
      <x:c r="G520" s="410" t="n">
        <x:v>22</x:v>
      </x:c>
    </x:row>
    <x:row r="521">
      <x:c r="A521" t="str">
        <x:v>Stage01</x:v>
      </x:c>
      <x:c r="B521" t="str">
        <x:v>WAVE_26</x:v>
      </x:c>
      <x:c r="C521" s="409" t="n">
        <x:v>252.51</x:v>
      </x:c>
      <x:c r="D521" s="410" t="n">
        <x:v>8</x:v>
      </x:c>
      <x:c r="E521" t="str">
        <x:v>RIGHT_07</x:v>
      </x:c>
      <x:c r="F521" t="str">
        <x:v>GoblinRanged</x:v>
      </x:c>
      <x:c r="G521" s="410" t="n">
        <x:v>22</x:v>
      </x:c>
    </x:row>
    <x:row r="522">
      <x:c r="A522" t="str">
        <x:v>Stage01</x:v>
      </x:c>
      <x:c r="B522" t="str">
        <x:v>WAVE_26</x:v>
      </x:c>
      <x:c r="C522" s="409" t="n">
        <x:v>252.72</x:v>
      </x:c>
      <x:c r="D522" s="410" t="n">
        <x:v>9</x:v>
      </x:c>
      <x:c r="E522" t="str">
        <x:v>BOTTOM_08</x:v>
      </x:c>
      <x:c r="F522" t="str">
        <x:v>GoblinMelee</x:v>
      </x:c>
      <x:c r="G522" s="410" t="n">
        <x:v>22</x:v>
      </x:c>
    </x:row>
    <x:row r="523">
      <x:c r="A523" t="str">
        <x:v>Stage01</x:v>
      </x:c>
      <x:c r="B523" t="str">
        <x:v>WAVE_26</x:v>
      </x:c>
      <x:c r="C523" s="409" t="n">
        <x:v>252.94</x:v>
      </x:c>
      <x:c r="D523" s="410" t="n">
        <x:v>10</x:v>
      </x:c>
      <x:c r="E523" t="str">
        <x:v>LEFT_01</x:v>
      </x:c>
      <x:c r="F523" t="str">
        <x:v>GoblinMelee</x:v>
      </x:c>
      <x:c r="G523" s="410" t="n">
        <x:v>22</x:v>
      </x:c>
    </x:row>
    <x:row r="524">
      <x:c r="A524" t="str">
        <x:v>Stage01</x:v>
      </x:c>
      <x:c r="B524" t="str">
        <x:v>WAVE_26</x:v>
      </x:c>
      <x:c r="C524" s="409" t="n">
        <x:v>253.15</x:v>
      </x:c>
      <x:c r="D524" s="410" t="n">
        <x:v>11</x:v>
      </x:c>
      <x:c r="E524" t="str">
        <x:v>TOP_03</x:v>
      </x:c>
      <x:c r="F524" t="str">
        <x:v>GoblinMelee</x:v>
      </x:c>
      <x:c r="G524" s="410" t="n">
        <x:v>21</x:v>
      </x:c>
    </x:row>
    <x:row r="525">
      <x:c r="A525" t="str">
        <x:v>Stage01</x:v>
      </x:c>
      <x:c r="B525" t="str">
        <x:v>WAVE_26</x:v>
      </x:c>
      <x:c r="C525" s="409" t="n">
        <x:v>253.37</x:v>
      </x:c>
      <x:c r="D525" s="410" t="n">
        <x:v>12</x:v>
      </x:c>
      <x:c r="E525" t="str">
        <x:v>RIGHT_04</x:v>
      </x:c>
      <x:c r="F525" t="str">
        <x:v>GoblinRanged</x:v>
      </x:c>
      <x:c r="G525" s="410" t="n">
        <x:v>22</x:v>
      </x:c>
    </x:row>
    <x:row r="526">
      <x:c r="A526" t="str">
        <x:v>Stage01</x:v>
      </x:c>
      <x:c r="B526" t="str">
        <x:v>WAVE_26</x:v>
      </x:c>
      <x:c r="C526" s="409" t="n">
        <x:v>253.58</x:v>
      </x:c>
      <x:c r="D526" s="410" t="n">
        <x:v>13</x:v>
      </x:c>
      <x:c r="E526" t="str">
        <x:v>BOTTOM_05</x:v>
      </x:c>
      <x:c r="F526" t="str">
        <x:v>GoblinMelee</x:v>
      </x:c>
      <x:c r="G526" s="410" t="n">
        <x:v>22</x:v>
      </x:c>
    </x:row>
    <x:row r="527">
      <x:c r="A527" t="str">
        <x:v>Stage01</x:v>
      </x:c>
      <x:c r="B527" t="str">
        <x:v>WAVE_26</x:v>
      </x:c>
      <x:c r="C527" s="409" t="n">
        <x:v>253.8</x:v>
      </x:c>
      <x:c r="D527" s="410" t="n">
        <x:v>14</x:v>
      </x:c>
      <x:c r="E527" t="str">
        <x:v>LEFT_06</x:v>
      </x:c>
      <x:c r="F527" t="str">
        <x:v>FlyingEye</x:v>
      </x:c>
      <x:c r="G527" s="410" t="n">
        <x:v>22</x:v>
      </x:c>
    </x:row>
    <x:row r="528">
      <x:c r="A528" t="str">
        <x:v>Stage01</x:v>
      </x:c>
      <x:c r="B528" t="str">
        <x:v>WAVE_26</x:v>
      </x:c>
      <x:c r="C528" s="409" t="n">
        <x:v>254.01</x:v>
      </x:c>
      <x:c r="D528" s="410" t="n">
        <x:v>15</x:v>
      </x:c>
      <x:c r="E528" t="str">
        <x:v>TOP_08</x:v>
      </x:c>
      <x:c r="F528" t="str">
        <x:v>ShieldSkeleton</x:v>
      </x:c>
      <x:c r="G528" s="410" t="n">
        <x:v>22</x:v>
      </x:c>
    </x:row>
    <x:row r="529">
      <x:c r="A529" t="str">
        <x:v>Stage01</x:v>
      </x:c>
      <x:c r="B529" t="str">
        <x:v>WAVE_26</x:v>
      </x:c>
      <x:c r="C529" s="409" t="n">
        <x:v>254.23</x:v>
      </x:c>
      <x:c r="D529" s="410" t="n">
        <x:v>16</x:v>
      </x:c>
      <x:c r="E529" t="str">
        <x:v>RIGHT_01</x:v>
      </x:c>
      <x:c r="F529" t="str">
        <x:v>GoblinMelee</x:v>
      </x:c>
      <x:c r="G529" s="410" t="n">
        <x:v>22</x:v>
      </x:c>
    </x:row>
    <x:row r="530">
      <x:c r="A530" t="str">
        <x:v>Stage01</x:v>
      </x:c>
      <x:c r="B530" t="str">
        <x:v>WAVE_26</x:v>
      </x:c>
      <x:c r="C530" s="409" t="n">
        <x:v>254.44</x:v>
      </x:c>
      <x:c r="D530" s="410" t="n">
        <x:v>17</x:v>
      </x:c>
      <x:c r="E530" t="str">
        <x:v>BOTTOM_02</x:v>
      </x:c>
      <x:c r="F530" t="str">
        <x:v>GoblinRanged</x:v>
      </x:c>
      <x:c r="G530" s="410" t="n">
        <x:v>22</x:v>
      </x:c>
    </x:row>
    <x:row r="531">
      <x:c r="A531" t="str">
        <x:v>Stage01</x:v>
      </x:c>
      <x:c r="B531" t="str">
        <x:v>WAVE_26</x:v>
      </x:c>
      <x:c r="C531" s="409" t="n">
        <x:v>254.66</x:v>
      </x:c>
      <x:c r="D531" s="410" t="n">
        <x:v>18</x:v>
      </x:c>
      <x:c r="E531" t="str">
        <x:v>LEFT_03</x:v>
      </x:c>
      <x:c r="F531" t="str">
        <x:v>GoblinMelee</x:v>
      </x:c>
      <x:c r="G531" s="410" t="n">
        <x:v>21</x:v>
      </x:c>
    </x:row>
    <x:row r="532">
      <x:c r="A532" t="str">
        <x:v>Stage01</x:v>
      </x:c>
      <x:c r="B532" t="str">
        <x:v>WAVE_26</x:v>
      </x:c>
      <x:c r="C532" s="409" t="n">
        <x:v>254.87</x:v>
      </x:c>
      <x:c r="D532" s="410" t="n">
        <x:v>19</x:v>
      </x:c>
      <x:c r="E532" t="str">
        <x:v>TOP_05</x:v>
      </x:c>
      <x:c r="F532" t="str">
        <x:v>GoblinMelee</x:v>
      </x:c>
      <x:c r="G532" s="410" t="n">
        <x:v>22</x:v>
      </x:c>
    </x:row>
    <x:row r="533">
      <x:c r="A533" t="str">
        <x:v>Stage01</x:v>
      </x:c>
      <x:c r="B533" t="str">
        <x:v>WAVE_26</x:v>
      </x:c>
      <x:c r="C533" s="409" t="n">
        <x:v>255.09</x:v>
      </x:c>
      <x:c r="D533" s="410" t="n">
        <x:v>20</x:v>
      </x:c>
      <x:c r="E533" t="str">
        <x:v>RIGHT_06</x:v>
      </x:c>
      <x:c r="F533" t="str">
        <x:v>GoblinMelee</x:v>
      </x:c>
      <x:c r="G533" s="410" t="n">
        <x:v>22</x:v>
      </x:c>
    </x:row>
    <x:row r="534">
      <x:c r="A534" t="str">
        <x:v>Stage01</x:v>
      </x:c>
      <x:c r="B534" t="str">
        <x:v>WAVE_26</x:v>
      </x:c>
      <x:c r="C534" s="409" t="n">
        <x:v>255.3</x:v>
      </x:c>
      <x:c r="D534" s="410" t="n">
        <x:v>21</x:v>
      </x:c>
      <x:c r="E534" t="str">
        <x:v>BOTTOM_07</x:v>
      </x:c>
      <x:c r="F534" t="str">
        <x:v>GoblinRanged</x:v>
      </x:c>
      <x:c r="G534" s="410" t="n">
        <x:v>22</x:v>
      </x:c>
    </x:row>
    <x:row r="535">
      <x:c r="A535" t="str">
        <x:v>Stage01</x:v>
      </x:c>
      <x:c r="B535" t="str">
        <x:v>WAVE_26</x:v>
      </x:c>
      <x:c r="C535" s="409" t="n">
        <x:v>255.52</x:v>
      </x:c>
      <x:c r="D535" s="410" t="n">
        <x:v>22</x:v>
      </x:c>
      <x:c r="E535" t="str">
        <x:v>LEFT_08</x:v>
      </x:c>
      <x:c r="F535" t="str">
        <x:v>GoblinMelee</x:v>
      </x:c>
      <x:c r="G535" s="410" t="n">
        <x:v>22</x:v>
      </x:c>
    </x:row>
    <x:row r="536">
      <x:c r="A536" t="str">
        <x:v>Stage01</x:v>
      </x:c>
      <x:c r="B536" t="str">
        <x:v>WAVE_26</x:v>
      </x:c>
      <x:c r="C536" s="409" t="n">
        <x:v>255.73</x:v>
      </x:c>
      <x:c r="D536" s="410" t="n">
        <x:v>23</x:v>
      </x:c>
      <x:c r="E536" t="str">
        <x:v>TOP_02</x:v>
      </x:c>
      <x:c r="F536" t="str">
        <x:v>GoblinMelee</x:v>
      </x:c>
      <x:c r="G536" s="410" t="n">
        <x:v>22</x:v>
      </x:c>
    </x:row>
    <x:row r="537">
      <x:c r="A537" t="str">
        <x:v>Stage01</x:v>
      </x:c>
      <x:c r="B537" t="str">
        <x:v>WAVE_26</x:v>
      </x:c>
      <x:c r="C537" s="409" t="n">
        <x:v>255.95</x:v>
      </x:c>
      <x:c r="D537" s="410" t="n">
        <x:v>24</x:v>
      </x:c>
      <x:c r="E537" t="str">
        <x:v>RIGHT_03</x:v>
      </x:c>
      <x:c r="F537" t="str">
        <x:v>GoblinMelee</x:v>
      </x:c>
      <x:c r="G537" s="410" t="n">
        <x:v>21</x:v>
      </x:c>
    </x:row>
    <x:row r="538">
      <x:c r="A538" t="str">
        <x:v>Stage01</x:v>
      </x:c>
      <x:c r="B538" t="str">
        <x:v>WAVE_26</x:v>
      </x:c>
      <x:c r="C538" s="409" t="n">
        <x:v>256.16</x:v>
      </x:c>
      <x:c r="D538" s="410" t="n">
        <x:v>25</x:v>
      </x:c>
      <x:c r="E538" t="str">
        <x:v>BOTTOM_04</x:v>
      </x:c>
      <x:c r="F538" t="str">
        <x:v>GoblinRanged</x:v>
      </x:c>
      <x:c r="G538" s="410" t="n">
        <x:v>22</x:v>
      </x:c>
    </x:row>
    <x:row r="539">
      <x:c r="A539" t="str">
        <x:v>Stage01</x:v>
      </x:c>
      <x:c r="B539" t="str">
        <x:v>WAVE_26</x:v>
      </x:c>
      <x:c r="C539" s="409" t="n">
        <x:v>256.38</x:v>
      </x:c>
      <x:c r="D539" s="410" t="n">
        <x:v>26</x:v>
      </x:c>
      <x:c r="E539" t="str">
        <x:v>LEFT_05</x:v>
      </x:c>
      <x:c r="F539" t="str">
        <x:v>GoblinMelee</x:v>
      </x:c>
      <x:c r="G539" s="410" t="n">
        <x:v>22</x:v>
      </x:c>
    </x:row>
    <x:row r="540">
      <x:c r="A540" t="str">
        <x:v>Stage01</x:v>
      </x:c>
      <x:c r="B540" t="str">
        <x:v>WAVE_26</x:v>
      </x:c>
      <x:c r="C540" s="409" t="n">
        <x:v>256.59</x:v>
      </x:c>
      <x:c r="D540" s="410" t="n">
        <x:v>27</x:v>
      </x:c>
      <x:c r="E540" t="str">
        <x:v>TOP_07</x:v>
      </x:c>
      <x:c r="F540" t="str">
        <x:v>ShieldSkeleton</x:v>
      </x:c>
      <x:c r="G540" s="410" t="n">
        <x:v>22</x:v>
      </x:c>
    </x:row>
    <x:row r="541">
      <x:c r="A541" t="str">
        <x:v>Stage01</x:v>
      </x:c>
      <x:c r="B541" t="str">
        <x:v>WAVE_26</x:v>
      </x:c>
      <x:c r="C541" s="409" t="n">
        <x:v>256.81</x:v>
      </x:c>
      <x:c r="D541" s="410" t="n">
        <x:v>28</x:v>
      </x:c>
      <x:c r="E541" t="str">
        <x:v>RIGHT_08</x:v>
      </x:c>
      <x:c r="F541" t="str">
        <x:v>GoblinMelee</x:v>
      </x:c>
      <x:c r="G541" s="410" t="n">
        <x:v>22</x:v>
      </x:c>
    </x:row>
    <x:row r="542">
      <x:c r="A542" t="str">
        <x:v>Stage01</x:v>
      </x:c>
      <x:c r="B542" t="str">
        <x:v>WAVE_26</x:v>
      </x:c>
      <x:c r="C542" s="409" t="n">
        <x:v>257.02</x:v>
      </x:c>
      <x:c r="D542" s="410" t="n">
        <x:v>29</x:v>
      </x:c>
      <x:c r="E542" t="str">
        <x:v>BOTTOM_01</x:v>
      </x:c>
      <x:c r="F542" t="str">
        <x:v>FlyingEye</x:v>
      </x:c>
      <x:c r="G542" s="410" t="n">
        <x:v>22</x:v>
      </x:c>
    </x:row>
    <x:row r="543">
      <x:c r="A543" t="str">
        <x:v>Stage01</x:v>
      </x:c>
      <x:c r="B543" t="str">
        <x:v>WAVE_26</x:v>
      </x:c>
      <x:c r="C543" s="409" t="n">
        <x:v>257.24</x:v>
      </x:c>
      <x:c r="D543" s="410" t="n">
        <x:v>30</x:v>
      </x:c>
      <x:c r="E543" t="str">
        <x:v>LEFT_02</x:v>
      </x:c>
      <x:c r="F543" t="str">
        <x:v>GoblinRanged</x:v>
      </x:c>
      <x:c r="G543" s="410" t="n">
        <x:v>22</x:v>
      </x:c>
    </x:row>
    <x:row r="544">
      <x:c r="A544" t="str">
        <x:v>Stage01</x:v>
      </x:c>
      <x:c r="B544" t="str">
        <x:v>WAVE_26</x:v>
      </x:c>
      <x:c r="C544" s="409" t="n">
        <x:v>257.45</x:v>
      </x:c>
      <x:c r="D544" s="410" t="n">
        <x:v>31</x:v>
      </x:c>
      <x:c r="E544" t="str">
        <x:v>TOP_04</x:v>
      </x:c>
      <x:c r="F544" t="str">
        <x:v>GoblinMelee</x:v>
      </x:c>
      <x:c r="G544" s="410" t="n">
        <x:v>21</x:v>
      </x:c>
    </x:row>
    <x:row r="545">
      <x:c r="A545" t="str">
        <x:v>Stage01</x:v>
      </x:c>
      <x:c r="B545" t="str">
        <x:v>WAVE_26</x:v>
      </x:c>
      <x:c r="C545" s="409" t="n">
        <x:v>257.67</x:v>
      </x:c>
      <x:c r="D545" s="410" t="n">
        <x:v>32</x:v>
      </x:c>
      <x:c r="E545" t="str">
        <x:v>RIGHT_05</x:v>
      </x:c>
      <x:c r="F545" t="str">
        <x:v>GoblinMelee</x:v>
      </x:c>
      <x:c r="G545" s="410" t="n">
        <x:v>22</x:v>
      </x:c>
    </x:row>
    <x:row r="546">
      <x:c r="A546" t="str">
        <x:v>Stage01</x:v>
      </x:c>
      <x:c r="B546" t="str">
        <x:v>WAVE_26</x:v>
      </x:c>
      <x:c r="C546" s="409" t="n">
        <x:v>257.88</x:v>
      </x:c>
      <x:c r="D546" s="410" t="n">
        <x:v>33</x:v>
      </x:c>
      <x:c r="E546" t="str">
        <x:v>BOTTOM_06</x:v>
      </x:c>
      <x:c r="F546" t="str">
        <x:v>GoblinMelee</x:v>
      </x:c>
      <x:c r="G546" s="410" t="n">
        <x:v>22</x:v>
      </x:c>
    </x:row>
    <x:row r="547">
      <x:c r="A547" t="str">
        <x:v>Stage01</x:v>
      </x:c>
      <x:c r="B547" t="str">
        <x:v>WAVE_26</x:v>
      </x:c>
      <x:c r="C547" s="409" t="n">
        <x:v>258.1</x:v>
      </x:c>
      <x:c r="D547" s="410" t="n">
        <x:v>34</x:v>
      </x:c>
      <x:c r="E547" t="str">
        <x:v>LEFT_07</x:v>
      </x:c>
      <x:c r="F547" t="str">
        <x:v>GoblinRanged</x:v>
      </x:c>
      <x:c r="G547" s="410" t="n">
        <x:v>22</x:v>
      </x:c>
    </x:row>
    <x:row r="548">
      <x:c r="A548" t="str">
        <x:v>Stage01</x:v>
      </x:c>
      <x:c r="B548" t="str">
        <x:v>WAVE_26</x:v>
      </x:c>
      <x:c r="C548" s="409" t="n">
        <x:v>258.31</x:v>
      </x:c>
      <x:c r="D548" s="410" t="n">
        <x:v>35</x:v>
      </x:c>
      <x:c r="E548" t="str">
        <x:v>TOP_01</x:v>
      </x:c>
      <x:c r="F548" t="str">
        <x:v>GoblinMelee</x:v>
      </x:c>
      <x:c r="G548" s="410" t="n">
        <x:v>22</x:v>
      </x:c>
    </x:row>
    <x:row r="549">
      <x:c r="A549" t="str">
        <x:v>Stage01</x:v>
      </x:c>
      <x:c r="B549" t="str">
        <x:v>WAVE_26</x:v>
      </x:c>
      <x:c r="C549" s="409" t="n">
        <x:v>258.52</x:v>
      </x:c>
      <x:c r="D549" s="410" t="n">
        <x:v>36</x:v>
      </x:c>
      <x:c r="E549" t="str">
        <x:v>RIGHT_02</x:v>
      </x:c>
      <x:c r="F549" t="str">
        <x:v>GoblinMelee</x:v>
      </x:c>
      <x:c r="G549" s="410" t="n">
        <x:v>22</x:v>
      </x:c>
    </x:row>
    <x:row r="550">
      <x:c r="A550" t="str">
        <x:v>Stage01</x:v>
      </x:c>
      <x:c r="B550" t="str">
        <x:v>WAVE_26</x:v>
      </x:c>
      <x:c r="C550" s="409" t="n">
        <x:v>258.74</x:v>
      </x:c>
      <x:c r="D550" s="410" t="n">
        <x:v>37</x:v>
      </x:c>
      <x:c r="E550" t="str">
        <x:v>BOTTOM_03</x:v>
      </x:c>
      <x:c r="F550" t="str">
        <x:v>ShieldSkeleton</x:v>
      </x:c>
      <x:c r="G550" s="410" t="n">
        <x:v>22</x:v>
      </x:c>
    </x:row>
    <x:row r="551">
      <x:c r="A551" t="str">
        <x:v>Stage01</x:v>
      </x:c>
      <x:c r="B551" t="str">
        <x:v>WAVE_26</x:v>
      </x:c>
      <x:c r="C551" s="409" t="n">
        <x:v>258.96</x:v>
      </x:c>
      <x:c r="D551" s="410" t="n">
        <x:v>38</x:v>
      </x:c>
      <x:c r="E551" t="str">
        <x:v>LEFT_04</x:v>
      </x:c>
      <x:c r="F551" t="str">
        <x:v>GoblinMelee</x:v>
      </x:c>
      <x:c r="G551" s="410" t="n">
        <x:v>21</x:v>
      </x:c>
    </x:row>
    <x:row r="552">
      <x:c r="A552" t="str">
        <x:v>Stage01</x:v>
      </x:c>
      <x:c r="B552" t="str">
        <x:v>WAVE_26</x:v>
      </x:c>
      <x:c r="C552" s="409" t="n">
        <x:v>259.17</x:v>
      </x:c>
      <x:c r="D552" s="410" t="n">
        <x:v>39</x:v>
      </x:c>
      <x:c r="E552" t="str">
        <x:v>TOP_06</x:v>
      </x:c>
      <x:c r="F552" t="str">
        <x:v>GoblinMelee</x:v>
      </x:c>
      <x:c r="G552" s="410" t="n">
        <x:v>22</x:v>
      </x:c>
    </x:row>
    <x:row r="553">
      <x:c r="A553" t="str">
        <x:v>Stage01</x:v>
      </x:c>
      <x:c r="B553" t="str">
        <x:v>WAVE_26</x:v>
      </x:c>
      <x:c r="C553" s="409" t="n">
        <x:v>259.39</x:v>
      </x:c>
      <x:c r="D553" s="410" t="n">
        <x:v>40</x:v>
      </x:c>
      <x:c r="E553" t="str">
        <x:v>RIGHT_07</x:v>
      </x:c>
      <x:c r="F553" t="str">
        <x:v>GoblinRanged</x:v>
      </x:c>
      <x:c r="G553" s="410" t="n">
        <x:v>22</x:v>
      </x:c>
    </x:row>
    <x:row r="554">
      <x:c r="A554" t="str">
        <x:v>Stage01</x:v>
      </x:c>
      <x:c r="B554" t="str">
        <x:v>WAVE_26</x:v>
      </x:c>
      <x:c r="C554" s="409" t="n">
        <x:v>259.6</x:v>
      </x:c>
      <x:c r="D554" s="410" t="n">
        <x:v>41</x:v>
      </x:c>
      <x:c r="E554" t="str">
        <x:v>BOTTOM_08</x:v>
      </x:c>
      <x:c r="F554" t="str">
        <x:v>GoblinMelee</x:v>
      </x:c>
      <x:c r="G554" s="410" t="n">
        <x:v>22</x:v>
      </x:c>
    </x:row>
    <x:row r="555">
      <x:c r="A555" t="str">
        <x:v>Stage01</x:v>
      </x:c>
      <x:c r="B555" t="str">
        <x:v>WAVE_27</x:v>
      </x:c>
      <x:c r="C555" s="409" t="n">
        <x:v>261</x:v>
      </x:c>
      <x:c r="D555" s="410" t="n">
        <x:v>1</x:v>
      </x:c>
      <x:c r="E555" t="str">
        <x:v>BOTTOM_03</x:v>
      </x:c>
      <x:c r="F555" t="str">
        <x:v>GoblinMelee</x:v>
      </x:c>
      <x:c r="G555" s="410" t="n">
        <x:v>23</x:v>
      </x:c>
    </x:row>
    <x:row r="556">
      <x:c r="A556" t="str">
        <x:v>Stage01</x:v>
      </x:c>
      <x:c r="B556" t="str">
        <x:v>WAVE_27</x:v>
      </x:c>
      <x:c r="C556" s="409" t="n">
        <x:v>261.2</x:v>
      </x:c>
      <x:c r="D556" s="410" t="n">
        <x:v>2</x:v>
      </x:c>
      <x:c r="E556" t="str">
        <x:v>LEFT_04</x:v>
      </x:c>
      <x:c r="F556" t="str">
        <x:v>GoblinRanged</x:v>
      </x:c>
      <x:c r="G556" s="410" t="n">
        <x:v>23</x:v>
      </x:c>
    </x:row>
    <x:row r="557">
      <x:c r="A557" t="str">
        <x:v>Stage01</x:v>
      </x:c>
      <x:c r="B557" t="str">
        <x:v>WAVE_27</x:v>
      </x:c>
      <x:c r="C557" s="409" t="n">
        <x:v>261.41</x:v>
      </x:c>
      <x:c r="D557" s="410" t="n">
        <x:v>3</x:v>
      </x:c>
      <x:c r="E557" t="str">
        <x:v>TOP_06</x:v>
      </x:c>
      <x:c r="F557" t="str">
        <x:v>GoblinMelee</x:v>
      </x:c>
      <x:c r="G557" s="410" t="n">
        <x:v>23</x:v>
      </x:c>
    </x:row>
    <x:row r="558">
      <x:c r="A558" t="str">
        <x:v>Stage01</x:v>
      </x:c>
      <x:c r="B558" t="str">
        <x:v>WAVE_27</x:v>
      </x:c>
      <x:c r="C558" s="409" t="n">
        <x:v>261.61</x:v>
      </x:c>
      <x:c r="D558" s="410" t="n">
        <x:v>4</x:v>
      </x:c>
      <x:c r="E558" t="str">
        <x:v>RIGHT_07</x:v>
      </x:c>
      <x:c r="F558" t="str">
        <x:v>GoblinMelee</x:v>
      </x:c>
      <x:c r="G558" s="410" t="n">
        <x:v>23</x:v>
      </x:c>
    </x:row>
    <x:row r="559">
      <x:c r="A559" t="str">
        <x:v>Stage01</x:v>
      </x:c>
      <x:c r="B559" t="str">
        <x:v>WAVE_27</x:v>
      </x:c>
      <x:c r="C559" s="409" t="n">
        <x:v>261.82</x:v>
      </x:c>
      <x:c r="D559" s="410" t="n">
        <x:v>5</x:v>
      </x:c>
      <x:c r="E559" t="str">
        <x:v>BOTTOM_08</x:v>
      </x:c>
      <x:c r="F559" t="str">
        <x:v>ShieldSkeleton</x:v>
      </x:c>
      <x:c r="G559" s="410" t="n">
        <x:v>22</x:v>
      </x:c>
    </x:row>
    <x:row r="560">
      <x:c r="A560" t="str">
        <x:v>Stage01</x:v>
      </x:c>
      <x:c r="B560" t="str">
        <x:v>WAVE_27</x:v>
      </x:c>
      <x:c r="C560" s="409" t="n">
        <x:v>262.02</x:v>
      </x:c>
      <x:c r="D560" s="410" t="n">
        <x:v>6</x:v>
      </x:c>
      <x:c r="E560" t="str">
        <x:v>LEFT_01</x:v>
      </x:c>
      <x:c r="F560" t="str">
        <x:v>GoblinMelee</x:v>
      </x:c>
      <x:c r="G560" s="410" t="n">
        <x:v>23</x:v>
      </x:c>
    </x:row>
    <x:row r="561">
      <x:c r="A561" t="str">
        <x:v>Stage01</x:v>
      </x:c>
      <x:c r="B561" t="str">
        <x:v>WAVE_27</x:v>
      </x:c>
      <x:c r="C561" s="409" t="n">
        <x:v>262.23</x:v>
      </x:c>
      <x:c r="D561" s="410" t="n">
        <x:v>7</x:v>
      </x:c>
      <x:c r="E561" t="str">
        <x:v>TOP_03</x:v>
      </x:c>
      <x:c r="F561" t="str">
        <x:v>GoblinMelee</x:v>
      </x:c>
      <x:c r="G561" s="410" t="n">
        <x:v>23</x:v>
      </x:c>
    </x:row>
    <x:row r="562">
      <x:c r="A562" t="str">
        <x:v>Stage01</x:v>
      </x:c>
      <x:c r="B562" t="str">
        <x:v>WAVE_27</x:v>
      </x:c>
      <x:c r="C562" s="409" t="n">
        <x:v>262.43</x:v>
      </x:c>
      <x:c r="D562" s="410" t="n">
        <x:v>8</x:v>
      </x:c>
      <x:c r="E562" t="str">
        <x:v>RIGHT_04</x:v>
      </x:c>
      <x:c r="F562" t="str">
        <x:v>GoblinRanged</x:v>
      </x:c>
      <x:c r="G562" s="410" t="n">
        <x:v>23</x:v>
      </x:c>
    </x:row>
    <x:row r="563">
      <x:c r="A563" t="str">
        <x:v>Stage01</x:v>
      </x:c>
      <x:c r="B563" t="str">
        <x:v>WAVE_27</x:v>
      </x:c>
      <x:c r="C563" s="409" t="n">
        <x:v>262.64</x:v>
      </x:c>
      <x:c r="D563" s="410" t="n">
        <x:v>9</x:v>
      </x:c>
      <x:c r="E563" t="str">
        <x:v>BOTTOM_05</x:v>
      </x:c>
      <x:c r="F563" t="str">
        <x:v>GoblinMelee</x:v>
      </x:c>
      <x:c r="G563" s="410" t="n">
        <x:v>23</x:v>
      </x:c>
    </x:row>
    <x:row r="564">
      <x:c r="A564" t="str">
        <x:v>Stage01</x:v>
      </x:c>
      <x:c r="B564" t="str">
        <x:v>WAVE_27</x:v>
      </x:c>
      <x:c r="C564" s="409" t="n">
        <x:v>262.84</x:v>
      </x:c>
      <x:c r="D564" s="410" t="n">
        <x:v>10</x:v>
      </x:c>
      <x:c r="E564" t="str">
        <x:v>LEFT_06</x:v>
      </x:c>
      <x:c r="F564" t="str">
        <x:v>GoblinMelee</x:v>
      </x:c>
      <x:c r="G564" s="410" t="n">
        <x:v>23</x:v>
      </x:c>
    </x:row>
    <x:row r="565">
      <x:c r="A565" t="str">
        <x:v>Stage01</x:v>
      </x:c>
      <x:c r="B565" t="str">
        <x:v>WAVE_27</x:v>
      </x:c>
      <x:c r="C565" s="409" t="n">
        <x:v>263.05</x:v>
      </x:c>
      <x:c r="D565" s="410" t="n">
        <x:v>11</x:v>
      </x:c>
      <x:c r="E565" t="str">
        <x:v>TOP_08</x:v>
      </x:c>
      <x:c r="F565" t="str">
        <x:v>GoblinRanged</x:v>
      </x:c>
      <x:c r="G565" s="410" t="n">
        <x:v>23</x:v>
      </x:c>
    </x:row>
    <x:row r="566">
      <x:c r="A566" t="str">
        <x:v>Stage01</x:v>
      </x:c>
      <x:c r="B566" t="str">
        <x:v>WAVE_27</x:v>
      </x:c>
      <x:c r="C566" s="409" t="n">
        <x:v>263.25</x:v>
      </x:c>
      <x:c r="D566" s="410" t="n">
        <x:v>12</x:v>
      </x:c>
      <x:c r="E566" t="str">
        <x:v>RIGHT_01</x:v>
      </x:c>
      <x:c r="F566" t="str">
        <x:v>GoblinMelee</x:v>
      </x:c>
      <x:c r="G566" s="410" t="n">
        <x:v>23</x:v>
      </x:c>
    </x:row>
    <x:row r="567">
      <x:c r="A567" t="str">
        <x:v>Stage01</x:v>
      </x:c>
      <x:c r="B567" t="str">
        <x:v>WAVE_27</x:v>
      </x:c>
      <x:c r="C567" s="409" t="n">
        <x:v>263.46</x:v>
      </x:c>
      <x:c r="D567" s="410" t="n">
        <x:v>13</x:v>
      </x:c>
      <x:c r="E567" t="str">
        <x:v>BOTTOM_02</x:v>
      </x:c>
      <x:c r="F567" t="str">
        <x:v>GoblinMelee</x:v>
      </x:c>
      <x:c r="G567" s="410" t="n">
        <x:v>22</x:v>
      </x:c>
    </x:row>
    <x:row r="568">
      <x:c r="A568" t="str">
        <x:v>Stage01</x:v>
      </x:c>
      <x:c r="B568" t="str">
        <x:v>WAVE_27</x:v>
      </x:c>
      <x:c r="C568" s="409" t="n">
        <x:v>263.66</x:v>
      </x:c>
      <x:c r="D568" s="410" t="n">
        <x:v>14</x:v>
      </x:c>
      <x:c r="E568" t="str">
        <x:v>LEFT_03</x:v>
      </x:c>
      <x:c r="F568" t="str">
        <x:v>FlyingEye</x:v>
      </x:c>
      <x:c r="G568" s="410" t="n">
        <x:v>23</x:v>
      </x:c>
    </x:row>
    <x:row r="569">
      <x:c r="A569" t="str">
        <x:v>Stage01</x:v>
      </x:c>
      <x:c r="B569" t="str">
        <x:v>WAVE_27</x:v>
      </x:c>
      <x:c r="C569" s="409" t="n">
        <x:v>263.87</x:v>
      </x:c>
      <x:c r="D569" s="410" t="n">
        <x:v>15</x:v>
      </x:c>
      <x:c r="E569" t="str">
        <x:v>TOP_05</x:v>
      </x:c>
      <x:c r="F569" t="str">
        <x:v>GoblinRanged</x:v>
      </x:c>
      <x:c r="G569" s="410" t="n">
        <x:v>23</x:v>
      </x:c>
    </x:row>
    <x:row r="570">
      <x:c r="A570" t="str">
        <x:v>Stage01</x:v>
      </x:c>
      <x:c r="B570" t="str">
        <x:v>WAVE_27</x:v>
      </x:c>
      <x:c r="C570" s="409" t="n">
        <x:v>264.07</x:v>
      </x:c>
      <x:c r="D570" s="410" t="n">
        <x:v>16</x:v>
      </x:c>
      <x:c r="E570" t="str">
        <x:v>RIGHT_06</x:v>
      </x:c>
      <x:c r="F570" t="str">
        <x:v>GoblinMelee</x:v>
      </x:c>
      <x:c r="G570" s="410" t="n">
        <x:v>23</x:v>
      </x:c>
    </x:row>
    <x:row r="571">
      <x:c r="A571" t="str">
        <x:v>Stage01</x:v>
      </x:c>
      <x:c r="B571" t="str">
        <x:v>WAVE_27</x:v>
      </x:c>
      <x:c r="C571" s="409" t="n">
        <x:v>264.28</x:v>
      </x:c>
      <x:c r="D571" s="410" t="n">
        <x:v>17</x:v>
      </x:c>
      <x:c r="E571" t="str">
        <x:v>BOTTOM_07</x:v>
      </x:c>
      <x:c r="F571" t="str">
        <x:v>ShieldSkeleton</x:v>
      </x:c>
      <x:c r="G571" s="410" t="n">
        <x:v>23</x:v>
      </x:c>
    </x:row>
    <x:row r="572">
      <x:c r="A572" t="str">
        <x:v>Stage01</x:v>
      </x:c>
      <x:c r="B572" t="str">
        <x:v>WAVE_27</x:v>
      </x:c>
      <x:c r="C572" s="409" t="n">
        <x:v>264.48</x:v>
      </x:c>
      <x:c r="D572" s="410" t="n">
        <x:v>18</x:v>
      </x:c>
      <x:c r="E572" t="str">
        <x:v>LEFT_08</x:v>
      </x:c>
      <x:c r="F572" t="str">
        <x:v>GoblinMelee</x:v>
      </x:c>
      <x:c r="G572" s="410" t="n">
        <x:v>23</x:v>
      </x:c>
    </x:row>
    <x:row r="573">
      <x:c r="A573" t="str">
        <x:v>Stage01</x:v>
      </x:c>
      <x:c r="B573" t="str">
        <x:v>WAVE_27</x:v>
      </x:c>
      <x:c r="C573" s="409" t="n">
        <x:v>264.69</x:v>
      </x:c>
      <x:c r="D573" s="410" t="n">
        <x:v>19</x:v>
      </x:c>
      <x:c r="E573" t="str">
        <x:v>TOP_02</x:v>
      </x:c>
      <x:c r="F573" t="str">
        <x:v>GoblinMelee</x:v>
      </x:c>
      <x:c r="G573" s="410" t="n">
        <x:v>23</x:v>
      </x:c>
    </x:row>
    <x:row r="574">
      <x:c r="A574" t="str">
        <x:v>Stage01</x:v>
      </x:c>
      <x:c r="B574" t="str">
        <x:v>WAVE_27</x:v>
      </x:c>
      <x:c r="C574" s="409" t="n">
        <x:v>264.89</x:v>
      </x:c>
      <x:c r="D574" s="410" t="n">
        <x:v>20</x:v>
      </x:c>
      <x:c r="E574" t="str">
        <x:v>RIGHT_03</x:v>
      </x:c>
      <x:c r="F574" t="str">
        <x:v>GoblinRanged</x:v>
      </x:c>
      <x:c r="G574" s="410" t="n">
        <x:v>23</x:v>
      </x:c>
    </x:row>
    <x:row r="575">
      <x:c r="A575" t="str">
        <x:v>Stage01</x:v>
      </x:c>
      <x:c r="B575" t="str">
        <x:v>WAVE_27</x:v>
      </x:c>
      <x:c r="C575" s="409" t="n">
        <x:v>265.1</x:v>
      </x:c>
      <x:c r="D575" s="410" t="n">
        <x:v>21</x:v>
      </x:c>
      <x:c r="E575" t="str">
        <x:v>BOTTOM_04</x:v>
      </x:c>
      <x:c r="F575" t="str">
        <x:v>GoblinMelee</x:v>
      </x:c>
      <x:c r="G575" s="410" t="n">
        <x:v>23</x:v>
      </x:c>
    </x:row>
    <x:row r="576">
      <x:c r="A576" t="str">
        <x:v>Stage01</x:v>
      </x:c>
      <x:c r="B576" t="str">
        <x:v>WAVE_27</x:v>
      </x:c>
      <x:c r="C576" s="409" t="n">
        <x:v>265.3</x:v>
      </x:c>
      <x:c r="D576" s="410" t="n">
        <x:v>22</x:v>
      </x:c>
      <x:c r="E576" t="str">
        <x:v>LEFT_05</x:v>
      </x:c>
      <x:c r="F576" t="str">
        <x:v>GoblinMelee</x:v>
      </x:c>
      <x:c r="G576" s="410" t="n">
        <x:v>22</x:v>
      </x:c>
    </x:row>
    <x:row r="577">
      <x:c r="A577" t="str">
        <x:v>Stage01</x:v>
      </x:c>
      <x:c r="B577" t="str">
        <x:v>WAVE_27</x:v>
      </x:c>
      <x:c r="C577" s="409" t="n">
        <x:v>265.5</x:v>
      </x:c>
      <x:c r="D577" s="410" t="n">
        <x:v>23</x:v>
      </x:c>
      <x:c r="E577" t="str">
        <x:v>TOP_07</x:v>
      </x:c>
      <x:c r="F577" t="str">
        <x:v>GoblinMelee</x:v>
      </x:c>
      <x:c r="G577" s="410" t="n">
        <x:v>23</x:v>
      </x:c>
    </x:row>
    <x:row r="578">
      <x:c r="A578" t="str">
        <x:v>Stage01</x:v>
      </x:c>
      <x:c r="B578" t="str">
        <x:v>WAVE_27</x:v>
      </x:c>
      <x:c r="C578" s="409" t="n">
        <x:v>265.71</x:v>
      </x:c>
      <x:c r="D578" s="410" t="n">
        <x:v>24</x:v>
      </x:c>
      <x:c r="E578" t="str">
        <x:v>RIGHT_08</x:v>
      </x:c>
      <x:c r="F578" t="str">
        <x:v>GoblinRanged</x:v>
      </x:c>
      <x:c r="G578" s="410" t="n">
        <x:v>23</x:v>
      </x:c>
    </x:row>
    <x:row r="579">
      <x:c r="A579" t="str">
        <x:v>Stage01</x:v>
      </x:c>
      <x:c r="B579" t="str">
        <x:v>WAVE_27</x:v>
      </x:c>
      <x:c r="C579" s="409" t="n">
        <x:v>265.91</x:v>
      </x:c>
      <x:c r="D579" s="410" t="n">
        <x:v>25</x:v>
      </x:c>
      <x:c r="E579" t="str">
        <x:v>BOTTOM_01</x:v>
      </x:c>
      <x:c r="F579" t="str">
        <x:v>GoblinMelee</x:v>
      </x:c>
      <x:c r="G579" s="410" t="n">
        <x:v>23</x:v>
      </x:c>
    </x:row>
    <x:row r="580">
      <x:c r="A580" t="str">
        <x:v>Stage01</x:v>
      </x:c>
      <x:c r="B580" t="str">
        <x:v>WAVE_27</x:v>
      </x:c>
      <x:c r="C580" s="409" t="n">
        <x:v>266.12</x:v>
      </x:c>
      <x:c r="D580" s="410" t="n">
        <x:v>26</x:v>
      </x:c>
      <x:c r="E580" t="str">
        <x:v>LEFT_02</x:v>
      </x:c>
      <x:c r="F580" t="str">
        <x:v>GoblinMelee</x:v>
      </x:c>
      <x:c r="G580" s="410" t="n">
        <x:v>23</x:v>
      </x:c>
    </x:row>
    <x:row r="581">
      <x:c r="A581" t="str">
        <x:v>Stage01</x:v>
      </x:c>
      <x:c r="B581" t="str">
        <x:v>WAVE_27</x:v>
      </x:c>
      <x:c r="C581" s="409" t="n">
        <x:v>266.32</x:v>
      </x:c>
      <x:c r="D581" s="410" t="n">
        <x:v>27</x:v>
      </x:c>
      <x:c r="E581" t="str">
        <x:v>TOP_04</x:v>
      </x:c>
      <x:c r="F581" t="str">
        <x:v>ShieldSkeleton</x:v>
      </x:c>
      <x:c r="G581" s="410" t="n">
        <x:v>23</x:v>
      </x:c>
    </x:row>
    <x:row r="582">
      <x:c r="A582" t="str">
        <x:v>Stage01</x:v>
      </x:c>
      <x:c r="B582" t="str">
        <x:v>WAVE_27</x:v>
      </x:c>
      <x:c r="C582" s="409" t="n">
        <x:v>266.53</x:v>
      </x:c>
      <x:c r="D582" s="410" t="n">
        <x:v>28</x:v>
      </x:c>
      <x:c r="E582" t="str">
        <x:v>RIGHT_05</x:v>
      </x:c>
      <x:c r="F582" t="str">
        <x:v>GoblinMelee</x:v>
      </x:c>
      <x:c r="G582" s="410" t="n">
        <x:v>23</x:v>
      </x:c>
    </x:row>
    <x:row r="583">
      <x:c r="A583" t="str">
        <x:v>Stage01</x:v>
      </x:c>
      <x:c r="B583" t="str">
        <x:v>WAVE_27</x:v>
      </x:c>
      <x:c r="C583" s="409" t="n">
        <x:v>266.73</x:v>
      </x:c>
      <x:c r="D583" s="410" t="n">
        <x:v>29</x:v>
      </x:c>
      <x:c r="E583" t="str">
        <x:v>BOTTOM_06</x:v>
      </x:c>
      <x:c r="F583" t="str">
        <x:v>GoblinRanged</x:v>
      </x:c>
      <x:c r="G583" s="410" t="n">
        <x:v>23</x:v>
      </x:c>
    </x:row>
    <x:row r="584">
      <x:c r="A584" t="str">
        <x:v>Stage01</x:v>
      </x:c>
      <x:c r="B584" t="str">
        <x:v>WAVE_27</x:v>
      </x:c>
      <x:c r="C584" s="409" t="n">
        <x:v>266.94</x:v>
      </x:c>
      <x:c r="D584" s="410" t="n">
        <x:v>30</x:v>
      </x:c>
      <x:c r="E584" t="str">
        <x:v>LEFT_07</x:v>
      </x:c>
      <x:c r="F584" t="str">
        <x:v>FlyingEye</x:v>
      </x:c>
      <x:c r="G584" s="410" t="n">
        <x:v>23</x:v>
      </x:c>
    </x:row>
    <x:row r="585">
      <x:c r="A585" t="str">
        <x:v>Stage01</x:v>
      </x:c>
      <x:c r="B585" t="str">
        <x:v>WAVE_27</x:v>
      </x:c>
      <x:c r="C585" s="409" t="n">
        <x:v>267.14</x:v>
      </x:c>
      <x:c r="D585" s="410" t="n">
        <x:v>31</x:v>
      </x:c>
      <x:c r="E585" t="str">
        <x:v>TOP_01</x:v>
      </x:c>
      <x:c r="F585" t="str">
        <x:v>GoblinMelee</x:v>
      </x:c>
      <x:c r="G585" s="410" t="n">
        <x:v>22</x:v>
      </x:c>
    </x:row>
    <x:row r="586">
      <x:c r="A586" t="str">
        <x:v>Stage01</x:v>
      </x:c>
      <x:c r="B586" t="str">
        <x:v>WAVE_27</x:v>
      </x:c>
      <x:c r="C586" s="409" t="n">
        <x:v>267.35</x:v>
      </x:c>
      <x:c r="D586" s="410" t="n">
        <x:v>32</x:v>
      </x:c>
      <x:c r="E586" t="str">
        <x:v>RIGHT_02</x:v>
      </x:c>
      <x:c r="F586" t="str">
        <x:v>GoblinMelee</x:v>
      </x:c>
      <x:c r="G586" s="410" t="n">
        <x:v>23</x:v>
      </x:c>
    </x:row>
    <x:row r="587">
      <x:c r="A587" t="str">
        <x:v>Stage01</x:v>
      </x:c>
      <x:c r="B587" t="str">
        <x:v>WAVE_27</x:v>
      </x:c>
      <x:c r="C587" s="409" t="n">
        <x:v>267.55</x:v>
      </x:c>
      <x:c r="D587" s="410" t="n">
        <x:v>33</x:v>
      </x:c>
      <x:c r="E587" t="str">
        <x:v>BOTTOM_03</x:v>
      </x:c>
      <x:c r="F587" t="str">
        <x:v>GoblinRanged</x:v>
      </x:c>
      <x:c r="G587" s="410" t="n">
        <x:v>23</x:v>
      </x:c>
    </x:row>
    <x:row r="588">
      <x:c r="A588" t="str">
        <x:v>Stage01</x:v>
      </x:c>
      <x:c r="B588" t="str">
        <x:v>WAVE_27</x:v>
      </x:c>
      <x:c r="C588" s="409" t="n">
        <x:v>267.76</x:v>
      </x:c>
      <x:c r="D588" s="410" t="n">
        <x:v>34</x:v>
      </x:c>
      <x:c r="E588" t="str">
        <x:v>LEFT_04</x:v>
      </x:c>
      <x:c r="F588" t="str">
        <x:v>GoblinMelee</x:v>
      </x:c>
      <x:c r="G588" s="410" t="n">
        <x:v>23</x:v>
      </x:c>
    </x:row>
    <x:row r="589">
      <x:c r="A589" t="str">
        <x:v>Stage01</x:v>
      </x:c>
      <x:c r="B589" t="str">
        <x:v>WAVE_27</x:v>
      </x:c>
      <x:c r="C589" s="409" t="n">
        <x:v>267.96</x:v>
      </x:c>
      <x:c r="D589" s="410" t="n">
        <x:v>35</x:v>
      </x:c>
      <x:c r="E589" t="str">
        <x:v>TOP_06</x:v>
      </x:c>
      <x:c r="F589" t="str">
        <x:v>GoblinMelee</x:v>
      </x:c>
      <x:c r="G589" s="410" t="n">
        <x:v>23</x:v>
      </x:c>
    </x:row>
    <x:row r="590">
      <x:c r="A590" t="str">
        <x:v>Stage01</x:v>
      </x:c>
      <x:c r="B590" t="str">
        <x:v>WAVE_27</x:v>
      </x:c>
      <x:c r="C590" s="409" t="n">
        <x:v>268.17</x:v>
      </x:c>
      <x:c r="D590" s="410" t="n">
        <x:v>36</x:v>
      </x:c>
      <x:c r="E590" t="str">
        <x:v>RIGHT_07</x:v>
      </x:c>
      <x:c r="F590" t="str">
        <x:v>GoblinRanged</x:v>
      </x:c>
      <x:c r="G590" s="410" t="n">
        <x:v>23</x:v>
      </x:c>
    </x:row>
    <x:row r="591">
      <x:c r="A591" t="str">
        <x:v>Stage01</x:v>
      </x:c>
      <x:c r="B591" t="str">
        <x:v>WAVE_27</x:v>
      </x:c>
      <x:c r="C591" s="409" t="n">
        <x:v>268.37</x:v>
      </x:c>
      <x:c r="D591" s="410" t="n">
        <x:v>37</x:v>
      </x:c>
      <x:c r="E591" t="str">
        <x:v>BOTTOM_08</x:v>
      </x:c>
      <x:c r="F591" t="str">
        <x:v>GoblinMelee</x:v>
      </x:c>
      <x:c r="G591" s="410" t="n">
        <x:v>23</x:v>
      </x:c>
    </x:row>
    <x:row r="592">
      <x:c r="A592" t="str">
        <x:v>Stage01</x:v>
      </x:c>
      <x:c r="B592" t="str">
        <x:v>WAVE_27</x:v>
      </x:c>
      <x:c r="C592" s="409" t="n">
        <x:v>268.58</x:v>
      </x:c>
      <x:c r="D592" s="410" t="n">
        <x:v>38</x:v>
      </x:c>
      <x:c r="E592" t="str">
        <x:v>LEFT_01</x:v>
      </x:c>
      <x:c r="F592" t="str">
        <x:v>GoblinMelee</x:v>
      </x:c>
      <x:c r="G592" s="410" t="n">
        <x:v>23</x:v>
      </x:c>
    </x:row>
    <x:row r="593">
      <x:c r="A593" t="str">
        <x:v>Stage01</x:v>
      </x:c>
      <x:c r="B593" t="str">
        <x:v>WAVE_27</x:v>
      </x:c>
      <x:c r="C593" s="409" t="n">
        <x:v>268.78</x:v>
      </x:c>
      <x:c r="D593" s="410" t="n">
        <x:v>39</x:v>
      </x:c>
      <x:c r="E593" t="str">
        <x:v>TOP_03</x:v>
      </x:c>
      <x:c r="F593" t="str">
        <x:v>ShieldSkeleton</x:v>
      </x:c>
      <x:c r="G593" s="410" t="n">
        <x:v>22</x:v>
      </x:c>
    </x:row>
    <x:row r="594">
      <x:c r="A594" t="str">
        <x:v>Stage01</x:v>
      </x:c>
      <x:c r="B594" t="str">
        <x:v>WAVE_27</x:v>
      </x:c>
      <x:c r="C594" s="409" t="n">
        <x:v>268.99</x:v>
      </x:c>
      <x:c r="D594" s="410" t="n">
        <x:v>40</x:v>
      </x:c>
      <x:c r="E594" t="str">
        <x:v>RIGHT_04</x:v>
      </x:c>
      <x:c r="F594" t="str">
        <x:v>GoblinMelee</x:v>
      </x:c>
      <x:c r="G594" s="410" t="n">
        <x:v>23</x:v>
      </x:c>
    </x:row>
    <x:row r="595">
      <x:c r="A595" t="str">
        <x:v>Stage01</x:v>
      </x:c>
      <x:c r="B595" t="str">
        <x:v>WAVE_27</x:v>
      </x:c>
      <x:c r="C595" s="409" t="n">
        <x:v>269.19</x:v>
      </x:c>
      <x:c r="D595" s="410" t="n">
        <x:v>41</x:v>
      </x:c>
      <x:c r="E595" t="str">
        <x:v>BOTTOM_05</x:v>
      </x:c>
      <x:c r="F595" t="str">
        <x:v>GoblinMelee</x:v>
      </x:c>
      <x:c r="G595" s="410" t="n">
        <x:v>23</x:v>
      </x:c>
    </x:row>
    <x:row r="596">
      <x:c r="A596" t="str">
        <x:v>Stage01</x:v>
      </x:c>
      <x:c r="B596" t="str">
        <x:v>WAVE_27</x:v>
      </x:c>
      <x:c r="C596" s="409" t="n">
        <x:v>269.4</x:v>
      </x:c>
      <x:c r="D596" s="410" t="n">
        <x:v>42</x:v>
      </x:c>
      <x:c r="E596" t="str">
        <x:v>LEFT_06</x:v>
      </x:c>
      <x:c r="F596" t="str">
        <x:v>GoblinRanged</x:v>
      </x:c>
      <x:c r="G596" s="410" t="n">
        <x:v>23</x:v>
      </x:c>
    </x:row>
    <x:row r="597">
      <x:c r="A597" t="str">
        <x:v>Stage01</x:v>
      </x:c>
      <x:c r="B597" t="str">
        <x:v>WAVE_27</x:v>
      </x:c>
      <x:c r="C597" s="409" t="n">
        <x:v>269.6</x:v>
      </x:c>
      <x:c r="D597" s="410" t="n">
        <x:v>43</x:v>
      </x:c>
      <x:c r="E597" t="str">
        <x:v>TOP_08</x:v>
      </x:c>
      <x:c r="F597" t="str">
        <x:v>GoblinMelee</x:v>
      </x:c>
      <x:c r="G597" s="410" t="n">
        <x:v>23</x:v>
      </x:c>
    </x:row>
    <x:row r="598">
      <x:c r="A598" t="str">
        <x:v>Stage01</x:v>
      </x:c>
      <x:c r="B598" t="str">
        <x:v>WAVE_28</x:v>
      </x:c>
      <x:c r="C598" s="409" t="n">
        <x:v>271</x:v>
      </x:c>
      <x:c r="D598" s="410" t="n">
        <x:v>1</x:v>
      </x:c>
      <x:c r="E598" t="str">
        <x:v>TOP_03</x:v>
      </x:c>
      <x:c r="F598" t="str">
        <x:v>GoblinMelee</x:v>
      </x:c>
      <x:c r="G598" s="410" t="n">
        <x:v>23</x:v>
      </x:c>
    </x:row>
    <x:row r="599">
      <x:c r="A599" t="str">
        <x:v>Stage01</x:v>
      </x:c>
      <x:c r="B599" t="str">
        <x:v>WAVE_28</x:v>
      </x:c>
      <x:c r="C599" s="409" t="n">
        <x:v>271.2</x:v>
      </x:c>
      <x:c r="D599" s="410" t="n">
        <x:v>2</x:v>
      </x:c>
      <x:c r="E599" t="str">
        <x:v>RIGHT_04</x:v>
      </x:c>
      <x:c r="F599" t="str">
        <x:v>GoblinRanged</x:v>
      </x:c>
      <x:c r="G599" s="410" t="n">
        <x:v>23</x:v>
      </x:c>
    </x:row>
    <x:row r="600">
      <x:c r="A600" t="str">
        <x:v>Stage01</x:v>
      </x:c>
      <x:c r="B600" t="str">
        <x:v>WAVE_28</x:v>
      </x:c>
      <x:c r="C600" s="409" t="n">
        <x:v>271.39</x:v>
      </x:c>
      <x:c r="D600" s="410" t="n">
        <x:v>3</x:v>
      </x:c>
      <x:c r="E600" t="str">
        <x:v>BOTTOM_05</x:v>
      </x:c>
      <x:c r="F600" t="str">
        <x:v>GoblinMelee</x:v>
      </x:c>
      <x:c r="G600" s="410" t="n">
        <x:v>23</x:v>
      </x:c>
    </x:row>
    <x:row r="601">
      <x:c r="A601" t="str">
        <x:v>Stage01</x:v>
      </x:c>
      <x:c r="B601" t="str">
        <x:v>WAVE_28</x:v>
      </x:c>
      <x:c r="C601" s="409" t="n">
        <x:v>271.59</x:v>
      </x:c>
      <x:c r="D601" s="410" t="n">
        <x:v>4</x:v>
      </x:c>
      <x:c r="E601" t="str">
        <x:v>LEFT_06</x:v>
      </x:c>
      <x:c r="F601" t="str">
        <x:v>GoblinMelee</x:v>
      </x:c>
      <x:c r="G601" s="410" t="n">
        <x:v>23</x:v>
      </x:c>
    </x:row>
    <x:row r="602">
      <x:c r="A602" t="str">
        <x:v>Stage01</x:v>
      </x:c>
      <x:c r="B602" t="str">
        <x:v>WAVE_28</x:v>
      </x:c>
      <x:c r="C602" s="409" t="n">
        <x:v>271.78</x:v>
      </x:c>
      <x:c r="D602" s="410" t="n">
        <x:v>5</x:v>
      </x:c>
      <x:c r="E602" t="str">
        <x:v>TOP_08</x:v>
      </x:c>
      <x:c r="F602" t="str">
        <x:v>ShieldSkeleton</x:v>
      </x:c>
      <x:c r="G602" s="410" t="n">
        <x:v>23</x:v>
      </x:c>
    </x:row>
    <x:row r="603">
      <x:c r="A603" t="str">
        <x:v>Stage01</x:v>
      </x:c>
      <x:c r="B603" t="str">
        <x:v>WAVE_28</x:v>
      </x:c>
      <x:c r="C603" s="409" t="n">
        <x:v>271.98</x:v>
      </x:c>
      <x:c r="D603" s="410" t="n">
        <x:v>6</x:v>
      </x:c>
      <x:c r="E603" t="str">
        <x:v>RIGHT_01</x:v>
      </x:c>
      <x:c r="F603" t="str">
        <x:v>GoblinMelee</x:v>
      </x:c>
      <x:c r="G603" s="410" t="n">
        <x:v>22</x:v>
      </x:c>
    </x:row>
    <x:row r="604">
      <x:c r="A604" t="str">
        <x:v>Stage01</x:v>
      </x:c>
      <x:c r="B604" t="str">
        <x:v>WAVE_28</x:v>
      </x:c>
      <x:c r="C604" s="409" t="n">
        <x:v>272.17</x:v>
      </x:c>
      <x:c r="D604" s="410" t="n">
        <x:v>7</x:v>
      </x:c>
      <x:c r="E604" t="str">
        <x:v>BOTTOM_02</x:v>
      </x:c>
      <x:c r="F604" t="str">
        <x:v>GoblinRanged</x:v>
      </x:c>
      <x:c r="G604" s="410" t="n">
        <x:v>23</x:v>
      </x:c>
    </x:row>
    <x:row r="605">
      <x:c r="A605" t="str">
        <x:v>Stage01</x:v>
      </x:c>
      <x:c r="B605" t="str">
        <x:v>WAVE_28</x:v>
      </x:c>
      <x:c r="C605" s="409" t="n">
        <x:v>272.37</x:v>
      </x:c>
      <x:c r="D605" s="410" t="n">
        <x:v>8</x:v>
      </x:c>
      <x:c r="E605" t="str">
        <x:v>LEFT_03</x:v>
      </x:c>
      <x:c r="F605" t="str">
        <x:v>GoblinMelee</x:v>
      </x:c>
      <x:c r="G605" s="410" t="n">
        <x:v>23</x:v>
      </x:c>
    </x:row>
    <x:row r="606">
      <x:c r="A606" t="str">
        <x:v>Stage01</x:v>
      </x:c>
      <x:c r="B606" t="str">
        <x:v>WAVE_28</x:v>
      </x:c>
      <x:c r="C606" s="409" t="n">
        <x:v>272.56</x:v>
      </x:c>
      <x:c r="D606" s="410" t="n">
        <x:v>9</x:v>
      </x:c>
      <x:c r="E606" t="str">
        <x:v>TOP_05</x:v>
      </x:c>
      <x:c r="F606" t="str">
        <x:v>GoblinMelee</x:v>
      </x:c>
      <x:c r="G606" s="410" t="n">
        <x:v>23</x:v>
      </x:c>
    </x:row>
    <x:row r="607">
      <x:c r="A607" t="str">
        <x:v>Stage01</x:v>
      </x:c>
      <x:c r="B607" t="str">
        <x:v>WAVE_28</x:v>
      </x:c>
      <x:c r="C607" s="409" t="n">
        <x:v>272.76</x:v>
      </x:c>
      <x:c r="D607" s="410" t="n">
        <x:v>10</x:v>
      </x:c>
      <x:c r="E607" t="str">
        <x:v>RIGHT_06</x:v>
      </x:c>
      <x:c r="F607" t="str">
        <x:v>GoblinMelee</x:v>
      </x:c>
      <x:c r="G607" s="410" t="n">
        <x:v>23</x:v>
      </x:c>
    </x:row>
    <x:row r="608">
      <x:c r="A608" t="str">
        <x:v>Stage01</x:v>
      </x:c>
      <x:c r="B608" t="str">
        <x:v>WAVE_28</x:v>
      </x:c>
      <x:c r="C608" s="409" t="n">
        <x:v>272.95</x:v>
      </x:c>
      <x:c r="D608" s="410" t="n">
        <x:v>11</x:v>
      </x:c>
      <x:c r="E608" t="str">
        <x:v>BOTTOM_07</x:v>
      </x:c>
      <x:c r="F608" t="str">
        <x:v>GoblinRanged</x:v>
      </x:c>
      <x:c r="G608" s="410" t="n">
        <x:v>23</x:v>
      </x:c>
    </x:row>
    <x:row r="609">
      <x:c r="A609" t="str">
        <x:v>Stage01</x:v>
      </x:c>
      <x:c r="B609" t="str">
        <x:v>WAVE_28</x:v>
      </x:c>
      <x:c r="C609" s="409" t="n">
        <x:v>273.15</x:v>
      </x:c>
      <x:c r="D609" s="410" t="n">
        <x:v>12</x:v>
      </x:c>
      <x:c r="E609" t="str">
        <x:v>LEFT_08</x:v>
      </x:c>
      <x:c r="F609" t="str">
        <x:v>GoblinMelee</x:v>
      </x:c>
      <x:c r="G609" s="410" t="n">
        <x:v>23</x:v>
      </x:c>
    </x:row>
    <x:row r="610">
      <x:c r="A610" t="str">
        <x:v>Stage01</x:v>
      </x:c>
      <x:c r="B610" t="str">
        <x:v>WAVE_28</x:v>
      </x:c>
      <x:c r="C610" s="409" t="n">
        <x:v>273.35</x:v>
      </x:c>
      <x:c r="D610" s="410" t="n">
        <x:v>13</x:v>
      </x:c>
      <x:c r="E610" t="str">
        <x:v>TOP_02</x:v>
      </x:c>
      <x:c r="F610" t="str">
        <x:v>GoblinMelee</x:v>
      </x:c>
      <x:c r="G610" s="410" t="n">
        <x:v>23</x:v>
      </x:c>
    </x:row>
    <x:row r="611">
      <x:c r="A611" t="str">
        <x:v>Stage01</x:v>
      </x:c>
      <x:c r="B611" t="str">
        <x:v>WAVE_28</x:v>
      </x:c>
      <x:c r="C611" s="409" t="n">
        <x:v>273.54</x:v>
      </x:c>
      <x:c r="D611" s="410" t="n">
        <x:v>14</x:v>
      </x:c>
      <x:c r="E611" t="str">
        <x:v>RIGHT_03</x:v>
      </x:c>
      <x:c r="F611" t="str">
        <x:v>GoblinRanged</x:v>
      </x:c>
      <x:c r="G611" s="410" t="n">
        <x:v>23</x:v>
      </x:c>
    </x:row>
    <x:row r="612">
      <x:c r="A612" t="str">
        <x:v>Stage01</x:v>
      </x:c>
      <x:c r="B612" t="str">
        <x:v>WAVE_28</x:v>
      </x:c>
      <x:c r="C612" s="409" t="n">
        <x:v>273.74</x:v>
      </x:c>
      <x:c r="D612" s="410" t="n">
        <x:v>15</x:v>
      </x:c>
      <x:c r="E612" t="str">
        <x:v>BOTTOM_04</x:v>
      </x:c>
      <x:c r="F612" t="str">
        <x:v>FlyingEye</x:v>
      </x:c>
      <x:c r="G612" s="410" t="n">
        <x:v>23</x:v>
      </x:c>
    </x:row>
    <x:row r="613">
      <x:c r="A613" t="str">
        <x:v>Stage01</x:v>
      </x:c>
      <x:c r="B613" t="str">
        <x:v>WAVE_28</x:v>
      </x:c>
      <x:c r="C613" s="409" t="n">
        <x:v>273.93</x:v>
      </x:c>
      <x:c r="D613" s="410" t="n">
        <x:v>16</x:v>
      </x:c>
      <x:c r="E613" t="str">
        <x:v>LEFT_05</x:v>
      </x:c>
      <x:c r="F613" t="str">
        <x:v>GoblinMelee</x:v>
      </x:c>
      <x:c r="G613" s="410" t="n">
        <x:v>23</x:v>
      </x:c>
    </x:row>
    <x:row r="614">
      <x:c r="A614" t="str">
        <x:v>Stage01</x:v>
      </x:c>
      <x:c r="B614" t="str">
        <x:v>WAVE_28</x:v>
      </x:c>
      <x:c r="C614" s="409" t="n">
        <x:v>274.13</x:v>
      </x:c>
      <x:c r="D614" s="410" t="n">
        <x:v>17</x:v>
      </x:c>
      <x:c r="E614" t="str">
        <x:v>TOP_07</x:v>
      </x:c>
      <x:c r="F614" t="str">
        <x:v>ShieldSkeleton</x:v>
      </x:c>
      <x:c r="G614" s="410" t="n">
        <x:v>22</x:v>
      </x:c>
    </x:row>
    <x:row r="615">
      <x:c r="A615" t="str">
        <x:v>Stage01</x:v>
      </x:c>
      <x:c r="B615" t="str">
        <x:v>WAVE_28</x:v>
      </x:c>
      <x:c r="C615" s="409" t="n">
        <x:v>274.32</x:v>
      </x:c>
      <x:c r="D615" s="410" t="n">
        <x:v>18</x:v>
      </x:c>
      <x:c r="E615" t="str">
        <x:v>RIGHT_08</x:v>
      </x:c>
      <x:c r="F615" t="str">
        <x:v>GoblinMelee</x:v>
      </x:c>
      <x:c r="G615" s="410" t="n">
        <x:v>23</x:v>
      </x:c>
    </x:row>
    <x:row r="616">
      <x:c r="A616" t="str">
        <x:v>Stage01</x:v>
      </x:c>
      <x:c r="B616" t="str">
        <x:v>WAVE_28</x:v>
      </x:c>
      <x:c r="C616" s="409" t="n">
        <x:v>274.52</x:v>
      </x:c>
      <x:c r="D616" s="410" t="n">
        <x:v>19</x:v>
      </x:c>
      <x:c r="E616" t="str">
        <x:v>BOTTOM_01</x:v>
      </x:c>
      <x:c r="F616" t="str">
        <x:v>GoblinMelee</x:v>
      </x:c>
      <x:c r="G616" s="410" t="n">
        <x:v>23</x:v>
      </x:c>
    </x:row>
    <x:row r="617">
      <x:c r="A617" t="str">
        <x:v>Stage01</x:v>
      </x:c>
      <x:c r="B617" t="str">
        <x:v>WAVE_28</x:v>
      </x:c>
      <x:c r="C617" s="409" t="n">
        <x:v>274.71</x:v>
      </x:c>
      <x:c r="D617" s="410" t="n">
        <x:v>20</x:v>
      </x:c>
      <x:c r="E617" t="str">
        <x:v>LEFT_02</x:v>
      </x:c>
      <x:c r="F617" t="str">
        <x:v>GoblinRanged</x:v>
      </x:c>
      <x:c r="G617" s="410" t="n">
        <x:v>23</x:v>
      </x:c>
    </x:row>
    <x:row r="618">
      <x:c r="A618" t="str">
        <x:v>Stage01</x:v>
      </x:c>
      <x:c r="B618" t="str">
        <x:v>WAVE_28</x:v>
      </x:c>
      <x:c r="C618" s="409" t="n">
        <x:v>274.91</x:v>
      </x:c>
      <x:c r="D618" s="410" t="n">
        <x:v>21</x:v>
      </x:c>
      <x:c r="E618" t="str">
        <x:v>TOP_04</x:v>
      </x:c>
      <x:c r="F618" t="str">
        <x:v>GoblinMelee</x:v>
      </x:c>
      <x:c r="G618" s="410" t="n">
        <x:v>23</x:v>
      </x:c>
    </x:row>
    <x:row r="619">
      <x:c r="A619" t="str">
        <x:v>Stage01</x:v>
      </x:c>
      <x:c r="B619" t="str">
        <x:v>WAVE_28</x:v>
      </x:c>
      <x:c r="C619" s="409" t="n">
        <x:v>275.1</x:v>
      </x:c>
      <x:c r="D619" s="410" t="n">
        <x:v>22</x:v>
      </x:c>
      <x:c r="E619" t="str">
        <x:v>RIGHT_05</x:v>
      </x:c>
      <x:c r="F619" t="str">
        <x:v>GoblinMelee</x:v>
      </x:c>
      <x:c r="G619" s="410" t="n">
        <x:v>23</x:v>
      </x:c>
    </x:row>
    <x:row r="620">
      <x:c r="A620" t="str">
        <x:v>Stage01</x:v>
      </x:c>
      <x:c r="B620" t="str">
        <x:v>WAVE_28</x:v>
      </x:c>
      <x:c r="C620" s="409" t="n">
        <x:v>275.3</x:v>
      </x:c>
      <x:c r="D620" s="410" t="n">
        <x:v>23</x:v>
      </x:c>
      <x:c r="E620" t="str">
        <x:v>BOTTOM_06</x:v>
      </x:c>
      <x:c r="F620" t="str">
        <x:v>GoblinRanged</x:v>
      </x:c>
      <x:c r="G620" s="410" t="n">
        <x:v>23</x:v>
      </x:c>
    </x:row>
    <x:row r="621">
      <x:c r="A621" t="str">
        <x:v>Stage01</x:v>
      </x:c>
      <x:c r="B621" t="str">
        <x:v>WAVE_28</x:v>
      </x:c>
      <x:c r="C621" s="409" t="n">
        <x:v>275.5</x:v>
      </x:c>
      <x:c r="D621" s="410" t="n">
        <x:v>24</x:v>
      </x:c>
      <x:c r="E621" t="str">
        <x:v>LEFT_07</x:v>
      </x:c>
      <x:c r="F621" t="str">
        <x:v>GoblinMelee</x:v>
      </x:c>
      <x:c r="G621" s="410" t="n">
        <x:v>23</x:v>
      </x:c>
    </x:row>
    <x:row r="622">
      <x:c r="A622" t="str">
        <x:v>Stage01</x:v>
      </x:c>
      <x:c r="B622" t="str">
        <x:v>WAVE_28</x:v>
      </x:c>
      <x:c r="C622" s="409" t="n">
        <x:v>275.69</x:v>
      </x:c>
      <x:c r="D622" s="410" t="n">
        <x:v>25</x:v>
      </x:c>
      <x:c r="E622" t="str">
        <x:v>TOP_01</x:v>
      </x:c>
      <x:c r="F622" t="str">
        <x:v>GoblinMelee</x:v>
      </x:c>
      <x:c r="G622" s="410" t="n">
        <x:v>23</x:v>
      </x:c>
    </x:row>
    <x:row r="623">
      <x:c r="A623" t="str">
        <x:v>Stage01</x:v>
      </x:c>
      <x:c r="B623" t="str">
        <x:v>WAVE_28</x:v>
      </x:c>
      <x:c r="C623" s="409" t="n">
        <x:v>275.89</x:v>
      </x:c>
      <x:c r="D623" s="410" t="n">
        <x:v>26</x:v>
      </x:c>
      <x:c r="E623" t="str">
        <x:v>RIGHT_02</x:v>
      </x:c>
      <x:c r="F623" t="str">
        <x:v>GoblinRanged</x:v>
      </x:c>
      <x:c r="G623" s="410" t="n">
        <x:v>23</x:v>
      </x:c>
    </x:row>
    <x:row r="624">
      <x:c r="A624" t="str">
        <x:v>Stage01</x:v>
      </x:c>
      <x:c r="B624" t="str">
        <x:v>WAVE_28</x:v>
      </x:c>
      <x:c r="C624" s="409" t="n">
        <x:v>276.08</x:v>
      </x:c>
      <x:c r="D624" s="410" t="n">
        <x:v>27</x:v>
      </x:c>
      <x:c r="E624" t="str">
        <x:v>BOTTOM_03</x:v>
      </x:c>
      <x:c r="F624" t="str">
        <x:v>GoblinMelee</x:v>
      </x:c>
      <x:c r="G624" s="410" t="n">
        <x:v>23</x:v>
      </x:c>
    </x:row>
    <x:row r="625">
      <x:c r="A625" t="str">
        <x:v>Stage01</x:v>
      </x:c>
      <x:c r="B625" t="str">
        <x:v>WAVE_28</x:v>
      </x:c>
      <x:c r="C625" s="409" t="n">
        <x:v>276.28</x:v>
      </x:c>
      <x:c r="D625" s="410" t="n">
        <x:v>28</x:v>
      </x:c>
      <x:c r="E625" t="str">
        <x:v>LEFT_04</x:v>
      </x:c>
      <x:c r="F625" t="str">
        <x:v>GoblinMelee</x:v>
      </x:c>
      <x:c r="G625" s="410" t="n">
        <x:v>23</x:v>
      </x:c>
    </x:row>
    <x:row r="626">
      <x:c r="A626" t="str">
        <x:v>Stage01</x:v>
      </x:c>
      <x:c r="B626" t="str">
        <x:v>WAVE_28</x:v>
      </x:c>
      <x:c r="C626" s="409" t="n">
        <x:v>276.47</x:v>
      </x:c>
      <x:c r="D626" s="410" t="n">
        <x:v>29</x:v>
      </x:c>
      <x:c r="E626" t="str">
        <x:v>TOP_06</x:v>
      </x:c>
      <x:c r="F626" t="str">
        <x:v>ShieldSkeleton</x:v>
      </x:c>
      <x:c r="G626" s="410" t="n">
        <x:v>22</x:v>
      </x:c>
    </x:row>
    <x:row r="627">
      <x:c r="A627" t="str">
        <x:v>Stage01</x:v>
      </x:c>
      <x:c r="B627" t="str">
        <x:v>WAVE_28</x:v>
      </x:c>
      <x:c r="C627" s="409" t="n">
        <x:v>276.67</x:v>
      </x:c>
      <x:c r="D627" s="410" t="n">
        <x:v>30</x:v>
      </x:c>
      <x:c r="E627" t="str">
        <x:v>RIGHT_07</x:v>
      </x:c>
      <x:c r="F627" t="str">
        <x:v>FlyingEye</x:v>
      </x:c>
      <x:c r="G627" s="410" t="n">
        <x:v>23</x:v>
      </x:c>
    </x:row>
    <x:row r="628">
      <x:c r="A628" t="str">
        <x:v>Stage01</x:v>
      </x:c>
      <x:c r="B628" t="str">
        <x:v>WAVE_28</x:v>
      </x:c>
      <x:c r="C628" s="409" t="n">
        <x:v>276.86</x:v>
      </x:c>
      <x:c r="D628" s="410" t="n">
        <x:v>31</x:v>
      </x:c>
      <x:c r="E628" t="str">
        <x:v>BOTTOM_08</x:v>
      </x:c>
      <x:c r="F628" t="str">
        <x:v>GoblinMelee</x:v>
      </x:c>
      <x:c r="G628" s="410" t="n">
        <x:v>23</x:v>
      </x:c>
    </x:row>
    <x:row r="629">
      <x:c r="A629" t="str">
        <x:v>Stage01</x:v>
      </x:c>
      <x:c r="B629" t="str">
        <x:v>WAVE_28</x:v>
      </x:c>
      <x:c r="C629" s="409" t="n">
        <x:v>277.06</x:v>
      </x:c>
      <x:c r="D629" s="410" t="n">
        <x:v>32</x:v>
      </x:c>
      <x:c r="E629" t="str">
        <x:v>LEFT_01</x:v>
      </x:c>
      <x:c r="F629" t="str">
        <x:v>GoblinRanged</x:v>
      </x:c>
      <x:c r="G629" s="410" t="n">
        <x:v>23</x:v>
      </x:c>
    </x:row>
    <x:row r="630">
      <x:c r="A630" t="str">
        <x:v>Stage01</x:v>
      </x:c>
      <x:c r="B630" t="str">
        <x:v>WAVE_28</x:v>
      </x:c>
      <x:c r="C630" s="409" t="n">
        <x:v>277.25</x:v>
      </x:c>
      <x:c r="D630" s="410" t="n">
        <x:v>33</x:v>
      </x:c>
      <x:c r="E630" t="str">
        <x:v>TOP_03</x:v>
      </x:c>
      <x:c r="F630" t="str">
        <x:v>GoblinMelee</x:v>
      </x:c>
      <x:c r="G630" s="410" t="n">
        <x:v>23</x:v>
      </x:c>
    </x:row>
    <x:row r="631">
      <x:c r="A631" t="str">
        <x:v>Stage01</x:v>
      </x:c>
      <x:c r="B631" t="str">
        <x:v>WAVE_28</x:v>
      </x:c>
      <x:c r="C631" s="409" t="n">
        <x:v>277.45</x:v>
      </x:c>
      <x:c r="D631" s="410" t="n">
        <x:v>34</x:v>
      </x:c>
      <x:c r="E631" t="str">
        <x:v>RIGHT_04</x:v>
      </x:c>
      <x:c r="F631" t="str">
        <x:v>GoblinMelee</x:v>
      </x:c>
      <x:c r="G631" s="410" t="n">
        <x:v>23</x:v>
      </x:c>
    </x:row>
    <x:row r="632">
      <x:c r="A632" t="str">
        <x:v>Stage01</x:v>
      </x:c>
      <x:c r="B632" t="str">
        <x:v>WAVE_28</x:v>
      </x:c>
      <x:c r="C632" s="409" t="n">
        <x:v>277.65</x:v>
      </x:c>
      <x:c r="D632" s="410" t="n">
        <x:v>35</x:v>
      </x:c>
      <x:c r="E632" t="str">
        <x:v>BOTTOM_05</x:v>
      </x:c>
      <x:c r="F632" t="str">
        <x:v>GoblinRanged</x:v>
      </x:c>
      <x:c r="G632" s="410" t="n">
        <x:v>23</x:v>
      </x:c>
    </x:row>
    <x:row r="633">
      <x:c r="A633" t="str">
        <x:v>Stage01</x:v>
      </x:c>
      <x:c r="B633" t="str">
        <x:v>WAVE_28</x:v>
      </x:c>
      <x:c r="C633" s="409" t="n">
        <x:v>277.84</x:v>
      </x:c>
      <x:c r="D633" s="410" t="n">
        <x:v>36</x:v>
      </x:c>
      <x:c r="E633" t="str">
        <x:v>LEFT_06</x:v>
      </x:c>
      <x:c r="F633" t="str">
        <x:v>GoblinMelee</x:v>
      </x:c>
      <x:c r="G633" s="410" t="n">
        <x:v>23</x:v>
      </x:c>
    </x:row>
    <x:row r="634">
      <x:c r="A634" t="str">
        <x:v>Stage01</x:v>
      </x:c>
      <x:c r="B634" t="str">
        <x:v>WAVE_28</x:v>
      </x:c>
      <x:c r="C634" s="409" t="n">
        <x:v>278.04</x:v>
      </x:c>
      <x:c r="D634" s="410" t="n">
        <x:v>37</x:v>
      </x:c>
      <x:c r="E634" t="str">
        <x:v>TOP_08</x:v>
      </x:c>
      <x:c r="F634" t="str">
        <x:v>GoblinMelee</x:v>
      </x:c>
      <x:c r="G634" s="410" t="n">
        <x:v>23</x:v>
      </x:c>
    </x:row>
    <x:row r="635">
      <x:c r="A635" t="str">
        <x:v>Stage01</x:v>
      </x:c>
      <x:c r="B635" t="str">
        <x:v>WAVE_28</x:v>
      </x:c>
      <x:c r="C635" s="409" t="n">
        <x:v>278.23</x:v>
      </x:c>
      <x:c r="D635" s="410" t="n">
        <x:v>38</x:v>
      </x:c>
      <x:c r="E635" t="str">
        <x:v>RIGHT_01</x:v>
      </x:c>
      <x:c r="F635" t="str">
        <x:v>ShieldSkeleton</x:v>
      </x:c>
      <x:c r="G635" s="410" t="n">
        <x:v>23</x:v>
      </x:c>
    </x:row>
    <x:row r="636">
      <x:c r="A636" t="str">
        <x:v>Stage01</x:v>
      </x:c>
      <x:c r="B636" t="str">
        <x:v>WAVE_28</x:v>
      </x:c>
      <x:c r="C636" s="409" t="n">
        <x:v>278.43</x:v>
      </x:c>
      <x:c r="D636" s="410" t="n">
        <x:v>39</x:v>
      </x:c>
      <x:c r="E636" t="str">
        <x:v>BOTTOM_02</x:v>
      </x:c>
      <x:c r="F636" t="str">
        <x:v>GoblinMelee</x:v>
      </x:c>
      <x:c r="G636" s="410" t="n">
        <x:v>23</x:v>
      </x:c>
    </x:row>
    <x:row r="637">
      <x:c r="A637" t="str">
        <x:v>Stage01</x:v>
      </x:c>
      <x:c r="B637" t="str">
        <x:v>WAVE_28</x:v>
      </x:c>
      <x:c r="C637" s="409" t="n">
        <x:v>278.62</x:v>
      </x:c>
      <x:c r="D637" s="410" t="n">
        <x:v>40</x:v>
      </x:c>
      <x:c r="E637" t="str">
        <x:v>LEFT_03</x:v>
      </x:c>
      <x:c r="F637" t="str">
        <x:v>GoblinRanged</x:v>
      </x:c>
      <x:c r="G637" s="410" t="n">
        <x:v>22</x:v>
      </x:c>
    </x:row>
    <x:row r="638">
      <x:c r="A638" t="str">
        <x:v>Stage01</x:v>
      </x:c>
      <x:c r="B638" t="str">
        <x:v>WAVE_28</x:v>
      </x:c>
      <x:c r="C638" s="409" t="n">
        <x:v>278.82</x:v>
      </x:c>
      <x:c r="D638" s="410" t="n">
        <x:v>41</x:v>
      </x:c>
      <x:c r="E638" t="str">
        <x:v>TOP_05</x:v>
      </x:c>
      <x:c r="F638" t="str">
        <x:v>GoblinMelee</x:v>
      </x:c>
      <x:c r="G638" s="410" t="n">
        <x:v>23</x:v>
      </x:c>
    </x:row>
    <x:row r="639">
      <x:c r="A639" t="str">
        <x:v>Stage01</x:v>
      </x:c>
      <x:c r="B639" t="str">
        <x:v>WAVE_28</x:v>
      </x:c>
      <x:c r="C639" s="409" t="n">
        <x:v>279.01</x:v>
      </x:c>
      <x:c r="D639" s="410" t="n">
        <x:v>42</x:v>
      </x:c>
      <x:c r="E639" t="str">
        <x:v>RIGHT_06</x:v>
      </x:c>
      <x:c r="F639" t="str">
        <x:v>GoblinMelee</x:v>
      </x:c>
      <x:c r="G639" s="410" t="n">
        <x:v>23</x:v>
      </x:c>
    </x:row>
    <x:row r="640">
      <x:c r="A640" t="str">
        <x:v>Stage01</x:v>
      </x:c>
      <x:c r="B640" t="str">
        <x:v>WAVE_28</x:v>
      </x:c>
      <x:c r="C640" s="409" t="n">
        <x:v>279.21</x:v>
      </x:c>
      <x:c r="D640" s="410" t="n">
        <x:v>43</x:v>
      </x:c>
      <x:c r="E640" t="str">
        <x:v>BOTTOM_07</x:v>
      </x:c>
      <x:c r="F640" t="str">
        <x:v>GoblinMelee</x:v>
      </x:c>
      <x:c r="G640" s="410" t="n">
        <x:v>23</x:v>
      </x:c>
    </x:row>
    <x:row r="641">
      <x:c r="A641" t="str">
        <x:v>Stage01</x:v>
      </x:c>
      <x:c r="B641" t="str">
        <x:v>WAVE_28</x:v>
      </x:c>
      <x:c r="C641" s="409" t="n">
        <x:v>279.4</x:v>
      </x:c>
      <x:c r="D641" s="410" t="n">
        <x:v>44</x:v>
      </x:c>
      <x:c r="E641" t="str">
        <x:v>LEFT_08</x:v>
      </x:c>
      <x:c r="F641" t="str">
        <x:v>GoblinRanged</x:v>
      </x:c>
      <x:c r="G641" s="410" t="n">
        <x:v>23</x:v>
      </x:c>
    </x:row>
    <x:row r="642">
      <x:c r="A642" t="str">
        <x:v>Stage01</x:v>
      </x:c>
      <x:c r="B642" t="str">
        <x:v>WAVE_28</x:v>
      </x:c>
      <x:c r="C642" s="409" t="n">
        <x:v>279.6</x:v>
      </x:c>
      <x:c r="D642" s="410" t="n">
        <x:v>45</x:v>
      </x:c>
      <x:c r="E642" t="str">
        <x:v>TOP_02</x:v>
      </x:c>
      <x:c r="F642" t="str">
        <x:v>FlyingEye</x:v>
      </x:c>
      <x:c r="G642" s="410" t="n">
        <x:v>23</x:v>
      </x:c>
    </x:row>
    <x:row r="643">
      <x:c r="A643" t="str">
        <x:v>Stage01</x:v>
      </x:c>
      <x:c r="B643" t="str">
        <x:v>WAVE_29</x:v>
      </x:c>
      <x:c r="C643" s="409" t="n">
        <x:v>281</x:v>
      </x:c>
      <x:c r="D643" s="410" t="n">
        <x:v>1</x:v>
      </x:c>
      <x:c r="E643" t="str">
        <x:v>TOP_05</x:v>
      </x:c>
      <x:c r="F643" t="str">
        <x:v>GoblinMelee</x:v>
      </x:c>
      <x:c r="G643" s="410" t="n">
        <x:v>24</x:v>
      </x:c>
    </x:row>
    <x:row r="644">
      <x:c r="A644" t="str">
        <x:v>Stage01</x:v>
      </x:c>
      <x:c r="B644" t="str">
        <x:v>WAVE_29</x:v>
      </x:c>
      <x:c r="C644" s="409" t="n">
        <x:v>281.19</x:v>
      </x:c>
      <x:c r="D644" s="410" t="n">
        <x:v>2</x:v>
      </x:c>
      <x:c r="E644" t="str">
        <x:v>RIGHT_06</x:v>
      </x:c>
      <x:c r="F644" t="str">
        <x:v>GoblinRanged</x:v>
      </x:c>
      <x:c r="G644" s="410" t="n">
        <x:v>24</x:v>
      </x:c>
    </x:row>
    <x:row r="645">
      <x:c r="A645" t="str">
        <x:v>Stage01</x:v>
      </x:c>
      <x:c r="B645" t="str">
        <x:v>WAVE_29</x:v>
      </x:c>
      <x:c r="C645" s="409" t="n">
        <x:v>281.37</x:v>
      </x:c>
      <x:c r="D645" s="410" t="n">
        <x:v>3</x:v>
      </x:c>
      <x:c r="E645" t="str">
        <x:v>BOTTOM_07</x:v>
      </x:c>
      <x:c r="F645" t="str">
        <x:v>GoblinMelee</x:v>
      </x:c>
      <x:c r="G645" s="410" t="n">
        <x:v>24</x:v>
      </x:c>
    </x:row>
    <x:row r="646">
      <x:c r="A646" t="str">
        <x:v>Stage01</x:v>
      </x:c>
      <x:c r="B646" t="str">
        <x:v>WAVE_29</x:v>
      </x:c>
      <x:c r="C646" s="409" t="n">
        <x:v>281.56</x:v>
      </x:c>
      <x:c r="D646" s="410" t="n">
        <x:v>4</x:v>
      </x:c>
      <x:c r="E646" t="str">
        <x:v>LEFT_08</x:v>
      </x:c>
      <x:c r="F646" t="str">
        <x:v>GoblinMelee</x:v>
      </x:c>
      <x:c r="G646" s="410" t="n">
        <x:v>24</x:v>
      </x:c>
    </x:row>
    <x:row r="647">
      <x:c r="A647" t="str">
        <x:v>Stage01</x:v>
      </x:c>
      <x:c r="B647" t="str">
        <x:v>WAVE_29</x:v>
      </x:c>
      <x:c r="C647" s="409" t="n">
        <x:v>281.75</x:v>
      </x:c>
      <x:c r="D647" s="410" t="n">
        <x:v>5</x:v>
      </x:c>
      <x:c r="E647" t="str">
        <x:v>TOP_02</x:v>
      </x:c>
      <x:c r="F647" t="str">
        <x:v>ShieldSkeleton</x:v>
      </x:c>
      <x:c r="G647" s="410" t="n">
        <x:v>24</x:v>
      </x:c>
    </x:row>
    <x:row r="648">
      <x:c r="A648" t="str">
        <x:v>Stage01</x:v>
      </x:c>
      <x:c r="B648" t="str">
        <x:v>WAVE_29</x:v>
      </x:c>
      <x:c r="C648" s="409" t="n">
        <x:v>281.93</x:v>
      </x:c>
      <x:c r="D648" s="410" t="n">
        <x:v>6</x:v>
      </x:c>
      <x:c r="E648" t="str">
        <x:v>RIGHT_03</x:v>
      </x:c>
      <x:c r="F648" t="str">
        <x:v>GoblinMelee</x:v>
      </x:c>
      <x:c r="G648" s="410" t="n">
        <x:v>24</x:v>
      </x:c>
    </x:row>
    <x:row r="649">
      <x:c r="A649" t="str">
        <x:v>Stage01</x:v>
      </x:c>
      <x:c r="B649" t="str">
        <x:v>WAVE_29</x:v>
      </x:c>
      <x:c r="C649" s="409" t="n">
        <x:v>282.12</x:v>
      </x:c>
      <x:c r="D649" s="410" t="n">
        <x:v>7</x:v>
      </x:c>
      <x:c r="E649" t="str">
        <x:v>BOTTOM_04</x:v>
      </x:c>
      <x:c r="F649" t="str">
        <x:v>GoblinRanged</x:v>
      </x:c>
      <x:c r="G649" s="410" t="n">
        <x:v>24</x:v>
      </x:c>
    </x:row>
    <x:row r="650">
      <x:c r="A650" t="str">
        <x:v>Stage01</x:v>
      </x:c>
      <x:c r="B650" t="str">
        <x:v>WAVE_29</x:v>
      </x:c>
      <x:c r="C650" s="409" t="n">
        <x:v>282.31</x:v>
      </x:c>
      <x:c r="D650" s="410" t="n">
        <x:v>8</x:v>
      </x:c>
      <x:c r="E650" t="str">
        <x:v>LEFT_05</x:v>
      </x:c>
      <x:c r="F650" t="str">
        <x:v>GoblinMelee</x:v>
      </x:c>
      <x:c r="G650" s="410" t="n">
        <x:v>24</x:v>
      </x:c>
    </x:row>
    <x:row r="651">
      <x:c r="A651" t="str">
        <x:v>Stage01</x:v>
      </x:c>
      <x:c r="B651" t="str">
        <x:v>WAVE_29</x:v>
      </x:c>
      <x:c r="C651" s="409" t="n">
        <x:v>282.5</x:v>
      </x:c>
      <x:c r="D651" s="410" t="n">
        <x:v>9</x:v>
      </x:c>
      <x:c r="E651" t="str">
        <x:v>TOP_07</x:v>
      </x:c>
      <x:c r="F651" t="str">
        <x:v>GoblinMelee</x:v>
      </x:c>
      <x:c r="G651" s="410" t="n">
        <x:v>24</x:v>
      </x:c>
    </x:row>
    <x:row r="652">
      <x:c r="A652" t="str">
        <x:v>Stage01</x:v>
      </x:c>
      <x:c r="B652" t="str">
        <x:v>WAVE_29</x:v>
      </x:c>
      <x:c r="C652" s="409" t="n">
        <x:v>282.68</x:v>
      </x:c>
      <x:c r="D652" s="410" t="n">
        <x:v>10</x:v>
      </x:c>
      <x:c r="E652" t="str">
        <x:v>RIGHT_08</x:v>
      </x:c>
      <x:c r="F652" t="str">
        <x:v>GoblinMelee</x:v>
      </x:c>
      <x:c r="G652" s="410" t="n">
        <x:v>24</x:v>
      </x:c>
    </x:row>
    <x:row r="653">
      <x:c r="A653" t="str">
        <x:v>Stage01</x:v>
      </x:c>
      <x:c r="B653" t="str">
        <x:v>WAVE_29</x:v>
      </x:c>
      <x:c r="C653" s="409" t="n">
        <x:v>282.87</x:v>
      </x:c>
      <x:c r="D653" s="410" t="n">
        <x:v>11</x:v>
      </x:c>
      <x:c r="E653" t="str">
        <x:v>BOTTOM_01</x:v>
      </x:c>
      <x:c r="F653" t="str">
        <x:v>GoblinRanged</x:v>
      </x:c>
      <x:c r="G653" s="410" t="n">
        <x:v>24</x:v>
      </x:c>
    </x:row>
    <x:row r="654">
      <x:c r="A654" t="str">
        <x:v>Stage01</x:v>
      </x:c>
      <x:c r="B654" t="str">
        <x:v>WAVE_29</x:v>
      </x:c>
      <x:c r="C654" s="409" t="n">
        <x:v>283.06</x:v>
      </x:c>
      <x:c r="D654" s="410" t="n">
        <x:v>12</x:v>
      </x:c>
      <x:c r="E654" t="str">
        <x:v>LEFT_02</x:v>
      </x:c>
      <x:c r="F654" t="str">
        <x:v>GoblinMelee</x:v>
      </x:c>
      <x:c r="G654" s="410" t="n">
        <x:v>23</x:v>
      </x:c>
    </x:row>
    <x:row r="655">
      <x:c r="A655" t="str">
        <x:v>Stage01</x:v>
      </x:c>
      <x:c r="B655" t="str">
        <x:v>WAVE_29</x:v>
      </x:c>
      <x:c r="C655" s="409" t="n">
        <x:v>283.24</x:v>
      </x:c>
      <x:c r="D655" s="410" t="n">
        <x:v>13</x:v>
      </x:c>
      <x:c r="E655" t="str">
        <x:v>TOP_04</x:v>
      </x:c>
      <x:c r="F655" t="str">
        <x:v>GoblinMelee</x:v>
      </x:c>
      <x:c r="G655" s="410" t="n">
        <x:v>24</x:v>
      </x:c>
    </x:row>
    <x:row r="656">
      <x:c r="A656" t="str">
        <x:v>Stage01</x:v>
      </x:c>
      <x:c r="B656" t="str">
        <x:v>WAVE_29</x:v>
      </x:c>
      <x:c r="C656" s="409" t="n">
        <x:v>283.43</x:v>
      </x:c>
      <x:c r="D656" s="410" t="n">
        <x:v>14</x:v>
      </x:c>
      <x:c r="E656" t="str">
        <x:v>RIGHT_05</x:v>
      </x:c>
      <x:c r="F656" t="str">
        <x:v>ShieldSkeleton</x:v>
      </x:c>
      <x:c r="G656" s="410" t="n">
        <x:v>24</x:v>
      </x:c>
    </x:row>
    <x:row r="657">
      <x:c r="A657" t="str">
        <x:v>Stage01</x:v>
      </x:c>
      <x:c r="B657" t="str">
        <x:v>WAVE_29</x:v>
      </x:c>
      <x:c r="C657" s="409" t="n">
        <x:v>283.62</x:v>
      </x:c>
      <x:c r="D657" s="410" t="n">
        <x:v>15</x:v>
      </x:c>
      <x:c r="E657" t="str">
        <x:v>BOTTOM_06</x:v>
      </x:c>
      <x:c r="F657" t="str">
        <x:v>FlyingEye</x:v>
      </x:c>
      <x:c r="G657" s="410" t="n">
        <x:v>24</x:v>
      </x:c>
    </x:row>
    <x:row r="658">
      <x:c r="A658" t="str">
        <x:v>Stage01</x:v>
      </x:c>
      <x:c r="B658" t="str">
        <x:v>WAVE_29</x:v>
      </x:c>
      <x:c r="C658" s="409" t="n">
        <x:v>283.8</x:v>
      </x:c>
      <x:c r="D658" s="410" t="n">
        <x:v>16</x:v>
      </x:c>
      <x:c r="E658" t="str">
        <x:v>LEFT_07</x:v>
      </x:c>
      <x:c r="F658" t="str">
        <x:v>GoblinRanged</x:v>
      </x:c>
      <x:c r="G658" s="410" t="n">
        <x:v>24</x:v>
      </x:c>
    </x:row>
    <x:row r="659">
      <x:c r="A659" t="str">
        <x:v>Stage01</x:v>
      </x:c>
      <x:c r="B659" t="str">
        <x:v>WAVE_29</x:v>
      </x:c>
      <x:c r="C659" s="409" t="n">
        <x:v>283.99</x:v>
      </x:c>
      <x:c r="D659" s="410" t="n">
        <x:v>17</x:v>
      </x:c>
      <x:c r="E659" t="str">
        <x:v>TOP_01</x:v>
      </x:c>
      <x:c r="F659" t="str">
        <x:v>GoblinMelee</x:v>
      </x:c>
      <x:c r="G659" s="410" t="n">
        <x:v>24</x:v>
      </x:c>
    </x:row>
    <x:row r="660">
      <x:c r="A660" t="str">
        <x:v>Stage01</x:v>
      </x:c>
      <x:c r="B660" t="str">
        <x:v>WAVE_29</x:v>
      </x:c>
      <x:c r="C660" s="409" t="n">
        <x:v>284.18</x:v>
      </x:c>
      <x:c r="D660" s="410" t="n">
        <x:v>18</x:v>
      </x:c>
      <x:c r="E660" t="str">
        <x:v>RIGHT_02</x:v>
      </x:c>
      <x:c r="F660" t="str">
        <x:v>GoblinMelee</x:v>
      </x:c>
      <x:c r="G660" s="410" t="n">
        <x:v>24</x:v>
      </x:c>
    </x:row>
    <x:row r="661">
      <x:c r="A661" t="str">
        <x:v>Stage01</x:v>
      </x:c>
      <x:c r="B661" t="str">
        <x:v>WAVE_29</x:v>
      </x:c>
      <x:c r="C661" s="409" t="n">
        <x:v>284.37</x:v>
      </x:c>
      <x:c r="D661" s="410" t="n">
        <x:v>19</x:v>
      </x:c>
      <x:c r="E661" t="str">
        <x:v>BOTTOM_03</x:v>
      </x:c>
      <x:c r="F661" t="str">
        <x:v>GoblinMelee</x:v>
      </x:c>
      <x:c r="G661" s="410" t="n">
        <x:v>24</x:v>
      </x:c>
    </x:row>
    <x:row r="662">
      <x:c r="A662" t="str">
        <x:v>Stage01</x:v>
      </x:c>
      <x:c r="B662" t="str">
        <x:v>WAVE_29</x:v>
      </x:c>
      <x:c r="C662" s="409" t="n">
        <x:v>284.55</x:v>
      </x:c>
      <x:c r="D662" s="410" t="n">
        <x:v>20</x:v>
      </x:c>
      <x:c r="E662" t="str">
        <x:v>LEFT_04</x:v>
      </x:c>
      <x:c r="F662" t="str">
        <x:v>GoblinRanged</x:v>
      </x:c>
      <x:c r="G662" s="410" t="n">
        <x:v>24</x:v>
      </x:c>
    </x:row>
    <x:row r="663">
      <x:c r="A663" t="str">
        <x:v>Stage01</x:v>
      </x:c>
      <x:c r="B663" t="str">
        <x:v>WAVE_29</x:v>
      </x:c>
      <x:c r="C663" s="409" t="n">
        <x:v>284.74</x:v>
      </x:c>
      <x:c r="D663" s="410" t="n">
        <x:v>21</x:v>
      </x:c>
      <x:c r="E663" t="str">
        <x:v>TOP_06</x:v>
      </x:c>
      <x:c r="F663" t="str">
        <x:v>GoblinMelee</x:v>
      </x:c>
      <x:c r="G663" s="410" t="n">
        <x:v>24</x:v>
      </x:c>
    </x:row>
    <x:row r="664">
      <x:c r="A664" t="str">
        <x:v>Stage01</x:v>
      </x:c>
      <x:c r="B664" t="str">
        <x:v>WAVE_29</x:v>
      </x:c>
      <x:c r="C664" s="409" t="n">
        <x:v>284.93</x:v>
      </x:c>
      <x:c r="D664" s="410" t="n">
        <x:v>22</x:v>
      </x:c>
      <x:c r="E664" t="str">
        <x:v>RIGHT_07</x:v>
      </x:c>
      <x:c r="F664" t="str">
        <x:v>GoblinMelee</x:v>
      </x:c>
      <x:c r="G664" s="410" t="n">
        <x:v>24</x:v>
      </x:c>
    </x:row>
    <x:row r="665">
      <x:c r="A665" t="str">
        <x:v>Stage01</x:v>
      </x:c>
      <x:c r="B665" t="str">
        <x:v>WAVE_29</x:v>
      </x:c>
      <x:c r="C665" s="409" t="n">
        <x:v>285.11</x:v>
      </x:c>
      <x:c r="D665" s="410" t="n">
        <x:v>23</x:v>
      </x:c>
      <x:c r="E665" t="str">
        <x:v>BOTTOM_08</x:v>
      </x:c>
      <x:c r="F665" t="str">
        <x:v>ShieldSkeleton</x:v>
      </x:c>
      <x:c r="G665" s="410" t="n">
        <x:v>24</x:v>
      </x:c>
    </x:row>
    <x:row r="666">
      <x:c r="A666" t="str">
        <x:v>Stage01</x:v>
      </x:c>
      <x:c r="B666" t="str">
        <x:v>WAVE_29</x:v>
      </x:c>
      <x:c r="C666" s="409" t="n">
        <x:v>285.3</x:v>
      </x:c>
      <x:c r="D666" s="410" t="n">
        <x:v>24</x:v>
      </x:c>
      <x:c r="E666" t="str">
        <x:v>LEFT_01</x:v>
      </x:c>
      <x:c r="F666" t="str">
        <x:v>GoblinMelee</x:v>
      </x:c>
      <x:c r="G666" s="410" t="n">
        <x:v>24</x:v>
      </x:c>
    </x:row>
    <x:row r="667">
      <x:c r="A667" t="str">
        <x:v>Stage01</x:v>
      </x:c>
      <x:c r="B667" t="str">
        <x:v>WAVE_29</x:v>
      </x:c>
      <x:c r="C667" s="409" t="n">
        <x:v>285.49</x:v>
      </x:c>
      <x:c r="D667" s="410" t="n">
        <x:v>25</x:v>
      </x:c>
      <x:c r="E667" t="str">
        <x:v>TOP_03</x:v>
      </x:c>
      <x:c r="F667" t="str">
        <x:v>GoblinRanged</x:v>
      </x:c>
      <x:c r="G667" s="410" t="n">
        <x:v>24</x:v>
      </x:c>
    </x:row>
    <x:row r="668">
      <x:c r="A668" t="str">
        <x:v>Stage01</x:v>
      </x:c>
      <x:c r="B668" t="str">
        <x:v>WAVE_29</x:v>
      </x:c>
      <x:c r="C668" s="409" t="n">
        <x:v>285.67</x:v>
      </x:c>
      <x:c r="D668" s="410" t="n">
        <x:v>26</x:v>
      </x:c>
      <x:c r="E668" t="str">
        <x:v>RIGHT_04</x:v>
      </x:c>
      <x:c r="F668" t="str">
        <x:v>GoblinMelee</x:v>
      </x:c>
      <x:c r="G668" s="410" t="n">
        <x:v>24</x:v>
      </x:c>
    </x:row>
    <x:row r="669">
      <x:c r="A669" t="str">
        <x:v>Stage01</x:v>
      </x:c>
      <x:c r="B669" t="str">
        <x:v>WAVE_29</x:v>
      </x:c>
      <x:c r="C669" s="409" t="n">
        <x:v>285.86</x:v>
      </x:c>
      <x:c r="D669" s="410" t="n">
        <x:v>27</x:v>
      </x:c>
      <x:c r="E669" t="str">
        <x:v>BOTTOM_05</x:v>
      </x:c>
      <x:c r="F669" t="str">
        <x:v>GoblinMelee</x:v>
      </x:c>
      <x:c r="G669" s="410" t="n">
        <x:v>24</x:v>
      </x:c>
    </x:row>
    <x:row r="670">
      <x:c r="A670" t="str">
        <x:v>Stage01</x:v>
      </x:c>
      <x:c r="B670" t="str">
        <x:v>WAVE_29</x:v>
      </x:c>
      <x:c r="C670" s="409" t="n">
        <x:v>286.05</x:v>
      </x:c>
      <x:c r="D670" s="410" t="n">
        <x:v>28</x:v>
      </x:c>
      <x:c r="E670" t="str">
        <x:v>LEFT_06</x:v>
      </x:c>
      <x:c r="F670" t="str">
        <x:v>GoblinRanged</x:v>
      </x:c>
      <x:c r="G670" s="410" t="n">
        <x:v>24</x:v>
      </x:c>
    </x:row>
    <x:row r="671">
      <x:c r="A671" t="str">
        <x:v>Stage01</x:v>
      </x:c>
      <x:c r="B671" t="str">
        <x:v>WAVE_29</x:v>
      </x:c>
      <x:c r="C671" s="409" t="n">
        <x:v>286.23</x:v>
      </x:c>
      <x:c r="D671" s="410" t="n">
        <x:v>29</x:v>
      </x:c>
      <x:c r="E671" t="str">
        <x:v>TOP_08</x:v>
      </x:c>
      <x:c r="F671" t="str">
        <x:v>GoblinMelee</x:v>
      </x:c>
      <x:c r="G671" s="410" t="n">
        <x:v>24</x:v>
      </x:c>
    </x:row>
    <x:row r="672">
      <x:c r="A672" t="str">
        <x:v>Stage01</x:v>
      </x:c>
      <x:c r="B672" t="str">
        <x:v>WAVE_29</x:v>
      </x:c>
      <x:c r="C672" s="409" t="n">
        <x:v>286.42</x:v>
      </x:c>
      <x:c r="D672" s="410" t="n">
        <x:v>30</x:v>
      </x:c>
      <x:c r="E672" t="str">
        <x:v>RIGHT_01</x:v>
      </x:c>
      <x:c r="F672" t="str">
        <x:v>FlyingEye</x:v>
      </x:c>
      <x:c r="G672" s="410" t="n">
        <x:v>24</x:v>
      </x:c>
    </x:row>
    <x:row r="673">
      <x:c r="A673" t="str">
        <x:v>Stage01</x:v>
      </x:c>
      <x:c r="B673" t="str">
        <x:v>WAVE_29</x:v>
      </x:c>
      <x:c r="C673" s="409" t="n">
        <x:v>286.61</x:v>
      </x:c>
      <x:c r="D673" s="410" t="n">
        <x:v>31</x:v>
      </x:c>
      <x:c r="E673" t="str">
        <x:v>BOTTOM_02</x:v>
      </x:c>
      <x:c r="F673" t="str">
        <x:v>GoblinMelee</x:v>
      </x:c>
      <x:c r="G673" s="410" t="n">
        <x:v>24</x:v>
      </x:c>
    </x:row>
    <x:row r="674">
      <x:c r="A674" t="str">
        <x:v>Stage01</x:v>
      </x:c>
      <x:c r="B674" t="str">
        <x:v>WAVE_29</x:v>
      </x:c>
      <x:c r="C674" s="409" t="n">
        <x:v>286.8</x:v>
      </x:c>
      <x:c r="D674" s="410" t="n">
        <x:v>32</x:v>
      </x:c>
      <x:c r="E674" t="str">
        <x:v>LEFT_03</x:v>
      </x:c>
      <x:c r="F674" t="str">
        <x:v>GoblinRanged</x:v>
      </x:c>
      <x:c r="G674" s="410" t="n">
        <x:v>24</x:v>
      </x:c>
    </x:row>
    <x:row r="675">
      <x:c r="A675" t="str">
        <x:v>Stage01</x:v>
      </x:c>
      <x:c r="B675" t="str">
        <x:v>WAVE_29</x:v>
      </x:c>
      <x:c r="C675" s="409" t="n">
        <x:v>286.98</x:v>
      </x:c>
      <x:c r="D675" s="410" t="n">
        <x:v>33</x:v>
      </x:c>
      <x:c r="E675" t="str">
        <x:v>TOP_05</x:v>
      </x:c>
      <x:c r="F675" t="str">
        <x:v>GoblinMelee</x:v>
      </x:c>
      <x:c r="G675" s="410" t="n">
        <x:v>24</x:v>
      </x:c>
    </x:row>
    <x:row r="676">
      <x:c r="A676" t="str">
        <x:v>Stage01</x:v>
      </x:c>
      <x:c r="B676" t="str">
        <x:v>WAVE_29</x:v>
      </x:c>
      <x:c r="C676" s="409" t="n">
        <x:v>287.17</x:v>
      </x:c>
      <x:c r="D676" s="410" t="n">
        <x:v>34</x:v>
      </x:c>
      <x:c r="E676" t="str">
        <x:v>RIGHT_06</x:v>
      </x:c>
      <x:c r="F676" t="str">
        <x:v>ShieldSkeleton</x:v>
      </x:c>
      <x:c r="G676" s="410" t="n">
        <x:v>24</x:v>
      </x:c>
    </x:row>
    <x:row r="677">
      <x:c r="A677" t="str">
        <x:v>Stage01</x:v>
      </x:c>
      <x:c r="B677" t="str">
        <x:v>WAVE_29</x:v>
      </x:c>
      <x:c r="C677" s="409" t="n">
        <x:v>287.36</x:v>
      </x:c>
      <x:c r="D677" s="410" t="n">
        <x:v>35</x:v>
      </x:c>
      <x:c r="E677" t="str">
        <x:v>BOTTOM_07</x:v>
      </x:c>
      <x:c r="F677" t="str">
        <x:v>GoblinMelee</x:v>
      </x:c>
      <x:c r="G677" s="410" t="n">
        <x:v>24</x:v>
      </x:c>
    </x:row>
    <x:row r="678">
      <x:c r="A678" t="str">
        <x:v>Stage01</x:v>
      </x:c>
      <x:c r="B678" t="str">
        <x:v>WAVE_29</x:v>
      </x:c>
      <x:c r="C678" s="409" t="n">
        <x:v>287.54</x:v>
      </x:c>
      <x:c r="D678" s="410" t="n">
        <x:v>36</x:v>
      </x:c>
      <x:c r="E678" t="str">
        <x:v>LEFT_08</x:v>
      </x:c>
      <x:c r="F678" t="str">
        <x:v>GoblinMelee</x:v>
      </x:c>
      <x:c r="G678" s="410" t="n">
        <x:v>23</x:v>
      </x:c>
    </x:row>
    <x:row r="679">
      <x:c r="A679" t="str">
        <x:v>Stage01</x:v>
      </x:c>
      <x:c r="B679" t="str">
        <x:v>WAVE_29</x:v>
      </x:c>
      <x:c r="C679" s="409" t="n">
        <x:v>287.73</x:v>
      </x:c>
      <x:c r="D679" s="410" t="n">
        <x:v>37</x:v>
      </x:c>
      <x:c r="E679" t="str">
        <x:v>TOP_02</x:v>
      </x:c>
      <x:c r="F679" t="str">
        <x:v>GoblinRanged</x:v>
      </x:c>
      <x:c r="G679" s="410" t="n">
        <x:v>24</x:v>
      </x:c>
    </x:row>
    <x:row r="680">
      <x:c r="A680" t="str">
        <x:v>Stage01</x:v>
      </x:c>
      <x:c r="B680" t="str">
        <x:v>WAVE_29</x:v>
      </x:c>
      <x:c r="C680" s="409" t="n">
        <x:v>287.92</x:v>
      </x:c>
      <x:c r="D680" s="410" t="n">
        <x:v>38</x:v>
      </x:c>
      <x:c r="E680" t="str">
        <x:v>RIGHT_03</x:v>
      </x:c>
      <x:c r="F680" t="str">
        <x:v>GoblinMelee</x:v>
      </x:c>
      <x:c r="G680" s="410" t="n">
        <x:v>24</x:v>
      </x:c>
    </x:row>
    <x:row r="681">
      <x:c r="A681" t="str">
        <x:v>Stage01</x:v>
      </x:c>
      <x:c r="B681" t="str">
        <x:v>WAVE_29</x:v>
      </x:c>
      <x:c r="C681" s="409" t="n">
        <x:v>288.1</x:v>
      </x:c>
      <x:c r="D681" s="410" t="n">
        <x:v>39</x:v>
      </x:c>
      <x:c r="E681" t="str">
        <x:v>BOTTOM_04</x:v>
      </x:c>
      <x:c r="F681" t="str">
        <x:v>GoblinMelee</x:v>
      </x:c>
      <x:c r="G681" s="410" t="n">
        <x:v>24</x:v>
      </x:c>
    </x:row>
    <x:row r="682">
      <x:c r="A682" t="str">
        <x:v>Stage01</x:v>
      </x:c>
      <x:c r="B682" t="str">
        <x:v>WAVE_29</x:v>
      </x:c>
      <x:c r="C682" s="409" t="n">
        <x:v>288.29</x:v>
      </x:c>
      <x:c r="D682" s="410" t="n">
        <x:v>40</x:v>
      </x:c>
      <x:c r="E682" t="str">
        <x:v>LEFT_05</x:v>
      </x:c>
      <x:c r="F682" t="str">
        <x:v>GoblinMelee</x:v>
      </x:c>
      <x:c r="G682" s="410" t="n">
        <x:v>24</x:v>
      </x:c>
    </x:row>
    <x:row r="683">
      <x:c r="A683" t="str">
        <x:v>Stage01</x:v>
      </x:c>
      <x:c r="B683" t="str">
        <x:v>WAVE_29</x:v>
      </x:c>
      <x:c r="C683" s="409" t="n">
        <x:v>288.48</x:v>
      </x:c>
      <x:c r="D683" s="410" t="n">
        <x:v>41</x:v>
      </x:c>
      <x:c r="E683" t="str">
        <x:v>TOP_07</x:v>
      </x:c>
      <x:c r="F683" t="str">
        <x:v>GoblinRanged</x:v>
      </x:c>
      <x:c r="G683" s="410" t="n">
        <x:v>24</x:v>
      </x:c>
    </x:row>
    <x:row r="684">
      <x:c r="A684" t="str">
        <x:v>Stage01</x:v>
      </x:c>
      <x:c r="B684" t="str">
        <x:v>WAVE_29</x:v>
      </x:c>
      <x:c r="C684" s="409" t="n">
        <x:v>288.67</x:v>
      </x:c>
      <x:c r="D684" s="410" t="n">
        <x:v>42</x:v>
      </x:c>
      <x:c r="E684" t="str">
        <x:v>RIGHT_08</x:v>
      </x:c>
      <x:c r="F684" t="str">
        <x:v>GoblinMelee</x:v>
      </x:c>
      <x:c r="G684" s="410" t="n">
        <x:v>24</x:v>
      </x:c>
    </x:row>
    <x:row r="685">
      <x:c r="A685" t="str">
        <x:v>Stage01</x:v>
      </x:c>
      <x:c r="B685" t="str">
        <x:v>WAVE_29</x:v>
      </x:c>
      <x:c r="C685" s="409" t="n">
        <x:v>288.85</x:v>
      </x:c>
      <x:c r="D685" s="410" t="n">
        <x:v>43</x:v>
      </x:c>
      <x:c r="E685" t="str">
        <x:v>BOTTOM_01</x:v>
      </x:c>
      <x:c r="F685" t="str">
        <x:v>ShieldSkeleton</x:v>
      </x:c>
      <x:c r="G685" s="410" t="n">
        <x:v>24</x:v>
      </x:c>
    </x:row>
    <x:row r="686">
      <x:c r="A686" t="str">
        <x:v>Stage01</x:v>
      </x:c>
      <x:c r="B686" t="str">
        <x:v>WAVE_29</x:v>
      </x:c>
      <x:c r="C686" s="409" t="n">
        <x:v>289.04</x:v>
      </x:c>
      <x:c r="D686" s="410" t="n">
        <x:v>44</x:v>
      </x:c>
      <x:c r="E686" t="str">
        <x:v>LEFT_02</x:v>
      </x:c>
      <x:c r="F686" t="str">
        <x:v>GoblinMelee</x:v>
      </x:c>
      <x:c r="G686" s="410" t="n">
        <x:v>24</x:v>
      </x:c>
    </x:row>
    <x:row r="687">
      <x:c r="A687" t="str">
        <x:v>Stage01</x:v>
      </x:c>
      <x:c r="B687" t="str">
        <x:v>WAVE_29</x:v>
      </x:c>
      <x:c r="C687" s="409" t="n">
        <x:v>289.23</x:v>
      </x:c>
      <x:c r="D687" s="410" t="n">
        <x:v>45</x:v>
      </x:c>
      <x:c r="E687" t="str">
        <x:v>TOP_04</x:v>
      </x:c>
      <x:c r="F687" t="str">
        <x:v>FlyingEye</x:v>
      </x:c>
      <x:c r="G687" s="410" t="n">
        <x:v>24</x:v>
      </x:c>
    </x:row>
    <x:row r="688">
      <x:c r="A688" t="str">
        <x:v>Stage01</x:v>
      </x:c>
      <x:c r="B688" t="str">
        <x:v>WAVE_29</x:v>
      </x:c>
      <x:c r="C688" s="409" t="n">
        <x:v>289.41</x:v>
      </x:c>
      <x:c r="D688" s="410" t="n">
        <x:v>46</x:v>
      </x:c>
      <x:c r="E688" t="str">
        <x:v>RIGHT_05</x:v>
      </x:c>
      <x:c r="F688" t="str">
        <x:v>GoblinRanged</x:v>
      </x:c>
      <x:c r="G688" s="410" t="n">
        <x:v>24</x:v>
      </x:c>
    </x:row>
    <x:row r="689">
      <x:c r="A689" t="str">
        <x:v>Stage01</x:v>
      </x:c>
      <x:c r="B689" t="str">
        <x:v>WAVE_29</x:v>
      </x:c>
      <x:c r="C689" s="409" t="n">
        <x:v>289.6</x:v>
      </x:c>
      <x:c r="D689" s="410" t="n">
        <x:v>47</x:v>
      </x:c>
      <x:c r="E689" t="str">
        <x:v>BOTTOM_06</x:v>
      </x:c>
      <x:c r="F689" t="str">
        <x:v>GoblinMelee</x:v>
      </x:c>
      <x:c r="G689" s="410" t="n">
        <x:v>24</x:v>
      </x:c>
    </x:row>
    <x:row r="690">
      <x:c r="A690" t="str">
        <x:v>Stage01</x:v>
      </x:c>
      <x:c r="B690" t="str">
        <x:v>WAVE_30</x:v>
      </x:c>
      <x:c r="C690" s="409" t="n">
        <x:v>291</x:v>
      </x:c>
      <x:c r="D690" s="410" t="n">
        <x:v>1</x:v>
      </x:c>
      <x:c r="E690" t="str">
        <x:v>BOTTOM_01</x:v>
      </x:c>
      <x:c r="F690" t="str">
        <x:v>GoblinMelee</x:v>
      </x:c>
      <x:c r="G690" s="410" t="n">
        <x:v>25</x:v>
      </x:c>
    </x:row>
    <x:row r="691">
      <x:c r="A691" t="str">
        <x:v>Stage01</x:v>
      </x:c>
      <x:c r="B691" t="str">
        <x:v>WAVE_30</x:v>
      </x:c>
      <x:c r="C691" s="409" t="n">
        <x:v>291.18</x:v>
      </x:c>
      <x:c r="D691" s="410" t="n">
        <x:v>2</x:v>
      </x:c>
      <x:c r="E691" t="str">
        <x:v>LEFT_02</x:v>
      </x:c>
      <x:c r="F691" t="str">
        <x:v>GoblinRanged</x:v>
      </x:c>
      <x:c r="G691" s="410" t="n">
        <x:v>25</x:v>
      </x:c>
    </x:row>
    <x:row r="692">
      <x:c r="A692" t="str">
        <x:v>Stage01</x:v>
      </x:c>
      <x:c r="B692" t="str">
        <x:v>WAVE_30</x:v>
      </x:c>
      <x:c r="C692" s="409" t="n">
        <x:v>291.37</x:v>
      </x:c>
      <x:c r="D692" s="410" t="n">
        <x:v>3</x:v>
      </x:c>
      <x:c r="E692" t="str">
        <x:v>TOP_04</x:v>
      </x:c>
      <x:c r="F692" t="str">
        <x:v>GoblinMelee</x:v>
      </x:c>
      <x:c r="G692" s="410" t="n">
        <x:v>25</x:v>
      </x:c>
    </x:row>
    <x:row r="693">
      <x:c r="A693" t="str">
        <x:v>Stage01</x:v>
      </x:c>
      <x:c r="B693" t="str">
        <x:v>WAVE_30</x:v>
      </x:c>
      <x:c r="C693" s="409" t="n">
        <x:v>291.55</x:v>
      </x:c>
      <x:c r="D693" s="410" t="n">
        <x:v>4</x:v>
      </x:c>
      <x:c r="E693" t="str">
        <x:v>RIGHT_05</x:v>
      </x:c>
      <x:c r="F693" t="str">
        <x:v>GoblinMelee</x:v>
      </x:c>
      <x:c r="G693" s="410" t="n">
        <x:v>25</x:v>
      </x:c>
    </x:row>
    <x:row r="694">
      <x:c r="A694" t="str">
        <x:v>Stage01</x:v>
      </x:c>
      <x:c r="B694" t="str">
        <x:v>WAVE_30</x:v>
      </x:c>
      <x:c r="C694" s="409" t="n">
        <x:v>291.73</x:v>
      </x:c>
      <x:c r="D694" s="410" t="n">
        <x:v>5</x:v>
      </x:c>
      <x:c r="E694" t="str">
        <x:v>BOTTOM_06</x:v>
      </x:c>
      <x:c r="F694" t="str">
        <x:v>ShieldSkeleton</x:v>
      </x:c>
      <x:c r="G694" s="410" t="n">
        <x:v>25</x:v>
      </x:c>
    </x:row>
    <x:row r="695">
      <x:c r="A695" t="str">
        <x:v>Stage01</x:v>
      </x:c>
      <x:c r="B695" t="str">
        <x:v>WAVE_30</x:v>
      </x:c>
      <x:c r="C695" s="409" t="n">
        <x:v>291.91</x:v>
      </x:c>
      <x:c r="D695" s="410" t="n">
        <x:v>6</x:v>
      </x:c>
      <x:c r="E695" t="str">
        <x:v>LEFT_07</x:v>
      </x:c>
      <x:c r="F695" t="str">
        <x:v>GoblinMelee</x:v>
      </x:c>
      <x:c r="G695" s="410" t="n">
        <x:v>25</x:v>
      </x:c>
    </x:row>
    <x:row r="696">
      <x:c r="A696" t="str">
        <x:v>Stage01</x:v>
      </x:c>
      <x:c r="B696" t="str">
        <x:v>WAVE_30</x:v>
      </x:c>
      <x:c r="C696" s="409" t="n">
        <x:v>292.1</x:v>
      </x:c>
      <x:c r="D696" s="410" t="n">
        <x:v>7</x:v>
      </x:c>
      <x:c r="E696" t="str">
        <x:v>TOP_01</x:v>
      </x:c>
      <x:c r="F696" t="str">
        <x:v>GoblinMelee</x:v>
      </x:c>
      <x:c r="G696" s="410" t="n">
        <x:v>25</x:v>
      </x:c>
    </x:row>
    <x:row r="697">
      <x:c r="A697" t="str">
        <x:v>Stage01</x:v>
      </x:c>
      <x:c r="B697" t="str">
        <x:v>WAVE_30</x:v>
      </x:c>
      <x:c r="C697" s="409" t="n">
        <x:v>292.28</x:v>
      </x:c>
      <x:c r="D697" s="410" t="n">
        <x:v>8</x:v>
      </x:c>
      <x:c r="E697" t="str">
        <x:v>RIGHT_02</x:v>
      </x:c>
      <x:c r="F697" t="str">
        <x:v>GoblinRanged</x:v>
      </x:c>
      <x:c r="G697" s="410" t="n">
        <x:v>25</x:v>
      </x:c>
    </x:row>
    <x:row r="698">
      <x:c r="A698" t="str">
        <x:v>Stage01</x:v>
      </x:c>
      <x:c r="B698" t="str">
        <x:v>WAVE_30</x:v>
      </x:c>
      <x:c r="C698" s="409" t="n">
        <x:v>292.46</x:v>
      </x:c>
      <x:c r="D698" s="410" t="n">
        <x:v>9</x:v>
      </x:c>
      <x:c r="E698" t="str">
        <x:v>BOTTOM_03</x:v>
      </x:c>
      <x:c r="F698" t="str">
        <x:v>GoblinMelee</x:v>
      </x:c>
      <x:c r="G698" s="410" t="n">
        <x:v>25</x:v>
      </x:c>
    </x:row>
    <x:row r="699">
      <x:c r="A699" t="str">
        <x:v>Stage01</x:v>
      </x:c>
      <x:c r="B699" t="str">
        <x:v>WAVE_30</x:v>
      </x:c>
      <x:c r="C699" s="409" t="n">
        <x:v>292.65</x:v>
      </x:c>
      <x:c r="D699" s="410" t="n">
        <x:v>10</x:v>
      </x:c>
      <x:c r="E699" t="str">
        <x:v>LEFT_04</x:v>
      </x:c>
      <x:c r="F699" t="str">
        <x:v>GoblinMelee</x:v>
      </x:c>
      <x:c r="G699" s="410" t="n">
        <x:v>25</x:v>
      </x:c>
    </x:row>
    <x:row r="700">
      <x:c r="A700" t="str">
        <x:v>Stage01</x:v>
      </x:c>
      <x:c r="B700" t="str">
        <x:v>WAVE_30</x:v>
      </x:c>
      <x:c r="C700" s="409" t="n">
        <x:v>292.83</x:v>
      </x:c>
      <x:c r="D700" s="410" t="n">
        <x:v>11</x:v>
      </x:c>
      <x:c r="E700" t="str">
        <x:v>TOP_06</x:v>
      </x:c>
      <x:c r="F700" t="str">
        <x:v>GoblinRanged</x:v>
      </x:c>
      <x:c r="G700" s="410" t="n">
        <x:v>25</x:v>
      </x:c>
    </x:row>
    <x:row r="701">
      <x:c r="A701" t="str">
        <x:v>Stage01</x:v>
      </x:c>
      <x:c r="B701" t="str">
        <x:v>WAVE_30</x:v>
      </x:c>
      <x:c r="C701" s="409" t="n">
        <x:v>293.01</x:v>
      </x:c>
      <x:c r="D701" s="410" t="n">
        <x:v>12</x:v>
      </x:c>
      <x:c r="E701" t="str">
        <x:v>RIGHT_07</x:v>
      </x:c>
      <x:c r="F701" t="str">
        <x:v>GoblinMelee</x:v>
      </x:c>
      <x:c r="G701" s="410" t="n">
        <x:v>25</x:v>
      </x:c>
    </x:row>
    <x:row r="702">
      <x:c r="A702" t="str">
        <x:v>Stage01</x:v>
      </x:c>
      <x:c r="B702" t="str">
        <x:v>WAVE_30</x:v>
      </x:c>
      <x:c r="C702" s="409" t="n">
        <x:v>293.2</x:v>
      </x:c>
      <x:c r="D702" s="410" t="n">
        <x:v>13</x:v>
      </x:c>
      <x:c r="E702" t="str">
        <x:v>BOTTOM_08</x:v>
      </x:c>
      <x:c r="F702" t="str">
        <x:v>GoblinMelee</x:v>
      </x:c>
      <x:c r="G702" s="410" t="n">
        <x:v>25</x:v>
      </x:c>
    </x:row>
    <x:row r="703">
      <x:c r="A703" t="str">
        <x:v>Stage01</x:v>
      </x:c>
      <x:c r="B703" t="str">
        <x:v>WAVE_30</x:v>
      </x:c>
      <x:c r="C703" s="409" t="n">
        <x:v>293.38</x:v>
      </x:c>
      <x:c r="D703" s="410" t="n">
        <x:v>14</x:v>
      </x:c>
      <x:c r="E703" t="str">
        <x:v>LEFT_01</x:v>
      </x:c>
      <x:c r="F703" t="str">
        <x:v>ShieldSkeleton</x:v>
      </x:c>
      <x:c r="G703" s="410" t="n">
        <x:v>25</x:v>
      </x:c>
    </x:row>
    <x:row r="704">
      <x:c r="A704" t="str">
        <x:v>Stage01</x:v>
      </x:c>
      <x:c r="B704" t="str">
        <x:v>WAVE_30</x:v>
      </x:c>
      <x:c r="C704" s="409" t="n">
        <x:v>293.56</x:v>
      </x:c>
      <x:c r="D704" s="410" t="n">
        <x:v>15</x:v>
      </x:c>
      <x:c r="E704" t="str">
        <x:v>TOP_03</x:v>
      </x:c>
      <x:c r="F704" t="str">
        <x:v>FlyingEye</x:v>
      </x:c>
      <x:c r="G704" s="410" t="n">
        <x:v>25</x:v>
      </x:c>
    </x:row>
    <x:row r="705">
      <x:c r="A705" t="str">
        <x:v>Stage01</x:v>
      </x:c>
      <x:c r="B705" t="str">
        <x:v>WAVE_30</x:v>
      </x:c>
      <x:c r="C705" s="409" t="n">
        <x:v>293.74</x:v>
      </x:c>
      <x:c r="D705" s="410" t="n">
        <x:v>16</x:v>
      </x:c>
      <x:c r="E705" t="str">
        <x:v>RIGHT_04</x:v>
      </x:c>
      <x:c r="F705" t="str">
        <x:v>GoblinRanged</x:v>
      </x:c>
      <x:c r="G705" s="410" t="n">
        <x:v>25</x:v>
      </x:c>
    </x:row>
    <x:row r="706">
      <x:c r="A706" t="str">
        <x:v>Stage01</x:v>
      </x:c>
      <x:c r="B706" t="str">
        <x:v>WAVE_30</x:v>
      </x:c>
      <x:c r="C706" s="409" t="n">
        <x:v>293.93</x:v>
      </x:c>
      <x:c r="D706" s="410" t="n">
        <x:v>17</x:v>
      </x:c>
      <x:c r="E706" t="str">
        <x:v>BOTTOM_05</x:v>
      </x:c>
      <x:c r="F706" t="str">
        <x:v>GoblinMelee</x:v>
      </x:c>
      <x:c r="G706" s="410" t="n">
        <x:v>25</x:v>
      </x:c>
    </x:row>
    <x:row r="707">
      <x:c r="A707" t="str">
        <x:v>Stage01</x:v>
      </x:c>
      <x:c r="B707" t="str">
        <x:v>WAVE_30</x:v>
      </x:c>
      <x:c r="C707" s="409" t="n">
        <x:v>294.11</x:v>
      </x:c>
      <x:c r="D707" s="410" t="n">
        <x:v>18</x:v>
      </x:c>
      <x:c r="E707" t="str">
        <x:v>LEFT_06</x:v>
      </x:c>
      <x:c r="F707" t="str">
        <x:v>GoblinMelee</x:v>
      </x:c>
      <x:c r="G707" s="410" t="n">
        <x:v>25</x:v>
      </x:c>
    </x:row>
    <x:row r="708">
      <x:c r="A708" t="str">
        <x:v>Stage01</x:v>
      </x:c>
      <x:c r="B708" t="str">
        <x:v>WAVE_30</x:v>
      </x:c>
      <x:c r="C708" s="409" t="n">
        <x:v>294.29</x:v>
      </x:c>
      <x:c r="D708" s="410" t="n">
        <x:v>19</x:v>
      </x:c>
      <x:c r="E708" t="str">
        <x:v>TOP_08</x:v>
      </x:c>
      <x:c r="F708" t="str">
        <x:v>GoblinMelee</x:v>
      </x:c>
      <x:c r="G708" s="410" t="n">
        <x:v>25</x:v>
      </x:c>
    </x:row>
    <x:row r="709">
      <x:c r="A709" t="str">
        <x:v>Stage01</x:v>
      </x:c>
      <x:c r="B709" t="str">
        <x:v>WAVE_30</x:v>
      </x:c>
      <x:c r="C709" s="409" t="n">
        <x:v>294.48</x:v>
      </x:c>
      <x:c r="D709" s="410" t="n">
        <x:v>20</x:v>
      </x:c>
      <x:c r="E709" t="str">
        <x:v>RIGHT_01</x:v>
      </x:c>
      <x:c r="F709" t="str">
        <x:v>GoblinRanged</x:v>
      </x:c>
      <x:c r="G709" s="410" t="n">
        <x:v>25</x:v>
      </x:c>
    </x:row>
    <x:row r="710">
      <x:c r="A710" t="str">
        <x:v>Stage01</x:v>
      </x:c>
      <x:c r="B710" t="str">
        <x:v>WAVE_30</x:v>
      </x:c>
      <x:c r="C710" s="409" t="n">
        <x:v>294.66</x:v>
      </x:c>
      <x:c r="D710" s="410" t="n">
        <x:v>21</x:v>
      </x:c>
      <x:c r="E710" t="str">
        <x:v>BOTTOM_02</x:v>
      </x:c>
      <x:c r="F710" t="str">
        <x:v>GoblinMelee</x:v>
      </x:c>
      <x:c r="G710" s="410" t="n">
        <x:v>25</x:v>
      </x:c>
    </x:row>
    <x:row r="711">
      <x:c r="A711" t="str">
        <x:v>Stage01</x:v>
      </x:c>
      <x:c r="B711" t="str">
        <x:v>WAVE_30</x:v>
      </x:c>
      <x:c r="C711" s="409" t="n">
        <x:v>294.84</x:v>
      </x:c>
      <x:c r="D711" s="410" t="n">
        <x:v>22</x:v>
      </x:c>
      <x:c r="E711" t="str">
        <x:v>LEFT_03</x:v>
      </x:c>
      <x:c r="F711" t="str">
        <x:v>GoblinMelee</x:v>
      </x:c>
      <x:c r="G711" s="410" t="n">
        <x:v>25</x:v>
      </x:c>
    </x:row>
    <x:row r="712">
      <x:c r="A712" t="str">
        <x:v>Stage01</x:v>
      </x:c>
      <x:c r="B712" t="str">
        <x:v>WAVE_30</x:v>
      </x:c>
      <x:c r="C712" s="409" t="n">
        <x:v>295.03</x:v>
      </x:c>
      <x:c r="D712" s="410" t="n">
        <x:v>23</x:v>
      </x:c>
      <x:c r="E712" t="str">
        <x:v>TOP_05</x:v>
      </x:c>
      <x:c r="F712" t="str">
        <x:v>ShieldSkeleton</x:v>
      </x:c>
      <x:c r="G712" s="410" t="n">
        <x:v>25</x:v>
      </x:c>
    </x:row>
    <x:row r="713">
      <x:c r="A713" t="str">
        <x:v>Stage01</x:v>
      </x:c>
      <x:c r="B713" t="str">
        <x:v>WAVE_30</x:v>
      </x:c>
      <x:c r="C713" s="409" t="n">
        <x:v>295.21</x:v>
      </x:c>
      <x:c r="D713" s="410" t="n">
        <x:v>24</x:v>
      </x:c>
      <x:c r="E713" t="str">
        <x:v>RIGHT_06</x:v>
      </x:c>
      <x:c r="F713" t="str">
        <x:v>GoblinMelee</x:v>
      </x:c>
      <x:c r="G713" s="410" t="n">
        <x:v>24</x:v>
      </x:c>
    </x:row>
    <x:row r="714">
      <x:c r="A714" t="str">
        <x:v>Stage01</x:v>
      </x:c>
      <x:c r="B714" t="str">
        <x:v>WAVE_30</x:v>
      </x:c>
      <x:c r="C714" s="409" t="n">
        <x:v>295.39</x:v>
      </x:c>
      <x:c r="D714" s="410" t="n">
        <x:v>25</x:v>
      </x:c>
      <x:c r="E714" t="str">
        <x:v>BOTTOM_07</x:v>
      </x:c>
      <x:c r="F714" t="str">
        <x:v>GoblinRanged</x:v>
      </x:c>
      <x:c r="G714" s="410" t="n">
        <x:v>25</x:v>
      </x:c>
    </x:row>
    <x:row r="715">
      <x:c r="A715" t="str">
        <x:v>Stage01</x:v>
      </x:c>
      <x:c r="B715" t="str">
        <x:v>WAVE_30</x:v>
      </x:c>
      <x:c r="C715" s="409" t="n">
        <x:v>295.57</x:v>
      </x:c>
      <x:c r="D715" s="410" t="n">
        <x:v>26</x:v>
      </x:c>
      <x:c r="E715" t="str">
        <x:v>LEFT_08</x:v>
      </x:c>
      <x:c r="F715" t="str">
        <x:v>GoblinMelee</x:v>
      </x:c>
      <x:c r="G715" s="410" t="n">
        <x:v>25</x:v>
      </x:c>
    </x:row>
    <x:row r="716">
      <x:c r="A716" t="str">
        <x:v>Stage01</x:v>
      </x:c>
      <x:c r="B716" t="str">
        <x:v>WAVE_30</x:v>
      </x:c>
      <x:c r="C716" s="409" t="n">
        <x:v>295.76</x:v>
      </x:c>
      <x:c r="D716" s="410" t="n">
        <x:v>27</x:v>
      </x:c>
      <x:c r="E716" t="str">
        <x:v>TOP_02</x:v>
      </x:c>
      <x:c r="F716" t="str">
        <x:v>GoblinMelee</x:v>
      </x:c>
      <x:c r="G716" s="410" t="n">
        <x:v>25</x:v>
      </x:c>
    </x:row>
    <x:row r="717">
      <x:c r="A717" t="str">
        <x:v>Stage01</x:v>
      </x:c>
      <x:c r="B717" t="str">
        <x:v>WAVE_30</x:v>
      </x:c>
      <x:c r="C717" s="409" t="n">
        <x:v>295.94</x:v>
      </x:c>
      <x:c r="D717" s="410" t="n">
        <x:v>28</x:v>
      </x:c>
      <x:c r="E717" t="str">
        <x:v>RIGHT_03</x:v>
      </x:c>
      <x:c r="F717" t="str">
        <x:v>GoblinMelee</x:v>
      </x:c>
      <x:c r="G717" s="410" t="n">
        <x:v>25</x:v>
      </x:c>
    </x:row>
    <x:row r="718">
      <x:c r="A718" t="str">
        <x:v>Stage01</x:v>
      </x:c>
      <x:c r="B718" t="str">
        <x:v>WAVE_30</x:v>
      </x:c>
      <x:c r="C718" s="409" t="n">
        <x:v>296.12</x:v>
      </x:c>
      <x:c r="D718" s="410" t="n">
        <x:v>29</x:v>
      </x:c>
      <x:c r="E718" t="str">
        <x:v>BOTTOM_04</x:v>
      </x:c>
      <x:c r="F718" t="str">
        <x:v>GoblinRanged</x:v>
      </x:c>
      <x:c r="G718" s="410" t="n">
        <x:v>25</x:v>
      </x:c>
    </x:row>
    <x:row r="719">
      <x:c r="A719" t="str">
        <x:v>Stage01</x:v>
      </x:c>
      <x:c r="B719" t="str">
        <x:v>WAVE_30</x:v>
      </x:c>
      <x:c r="C719" s="409" t="n">
        <x:v>296.31</x:v>
      </x:c>
      <x:c r="D719" s="410" t="n">
        <x:v>30</x:v>
      </x:c>
      <x:c r="E719" t="str">
        <x:v>LEFT_05</x:v>
      </x:c>
      <x:c r="F719" t="str">
        <x:v>FlyingEye</x:v>
      </x:c>
      <x:c r="G719" s="410" t="n">
        <x:v>25</x:v>
      </x:c>
    </x:row>
    <x:row r="720">
      <x:c r="A720" t="str">
        <x:v>Stage01</x:v>
      </x:c>
      <x:c r="B720" t="str">
        <x:v>WAVE_30</x:v>
      </x:c>
      <x:c r="C720" s="409" t="n">
        <x:v>296.49</x:v>
      </x:c>
      <x:c r="D720" s="410" t="n">
        <x:v>31</x:v>
      </x:c>
      <x:c r="E720" t="str">
        <x:v>TOP_07</x:v>
      </x:c>
      <x:c r="F720" t="str">
        <x:v>GoblinMelee</x:v>
      </x:c>
      <x:c r="G720" s="410" t="n">
        <x:v>25</x:v>
      </x:c>
    </x:row>
    <x:row r="721">
      <x:c r="A721" t="str">
        <x:v>Stage01</x:v>
      </x:c>
      <x:c r="B721" t="str">
        <x:v>WAVE_30</x:v>
      </x:c>
      <x:c r="C721" s="409" t="n">
        <x:v>296.67</x:v>
      </x:c>
      <x:c r="D721" s="410" t="n">
        <x:v>32</x:v>
      </x:c>
      <x:c r="E721" t="str">
        <x:v>RIGHT_08</x:v>
      </x:c>
      <x:c r="F721" t="str">
        <x:v>ShieldSkeleton</x:v>
      </x:c>
      <x:c r="G721" s="410" t="n">
        <x:v>25</x:v>
      </x:c>
    </x:row>
    <x:row r="722">
      <x:c r="A722" t="str">
        <x:v>Stage01</x:v>
      </x:c>
      <x:c r="B722" t="str">
        <x:v>WAVE_30</x:v>
      </x:c>
      <x:c r="C722" s="409" t="n">
        <x:v>296.86</x:v>
      </x:c>
      <x:c r="D722" s="410" t="n">
        <x:v>33</x:v>
      </x:c>
      <x:c r="E722" t="str">
        <x:v>BOTTOM_01</x:v>
      </x:c>
      <x:c r="F722" t="str">
        <x:v>GoblinMelee</x:v>
      </x:c>
      <x:c r="G722" s="410" t="n">
        <x:v>25</x:v>
      </x:c>
    </x:row>
    <x:row r="723">
      <x:c r="A723" t="str">
        <x:v>Stage01</x:v>
      </x:c>
      <x:c r="B723" t="str">
        <x:v>WAVE_30</x:v>
      </x:c>
      <x:c r="C723" s="409" t="n">
        <x:v>297.04</x:v>
      </x:c>
      <x:c r="D723" s="410" t="n">
        <x:v>34</x:v>
      </x:c>
      <x:c r="E723" t="str">
        <x:v>LEFT_02</x:v>
      </x:c>
      <x:c r="F723" t="str">
        <x:v>GoblinRanged</x:v>
      </x:c>
      <x:c r="G723" s="410" t="n">
        <x:v>25</x:v>
      </x:c>
    </x:row>
    <x:row r="724">
      <x:c r="A724" t="str">
        <x:v>Stage01</x:v>
      </x:c>
      <x:c r="B724" t="str">
        <x:v>WAVE_30</x:v>
      </x:c>
      <x:c r="C724" s="409" t="n">
        <x:v>297.22</x:v>
      </x:c>
      <x:c r="D724" s="410" t="n">
        <x:v>35</x:v>
      </x:c>
      <x:c r="E724" t="str">
        <x:v>TOP_04</x:v>
      </x:c>
      <x:c r="F724" t="str">
        <x:v>GoblinMelee</x:v>
      </x:c>
      <x:c r="G724" s="410" t="n">
        <x:v>25</x:v>
      </x:c>
    </x:row>
    <x:row r="725">
      <x:c r="A725" t="str">
        <x:v>Stage01</x:v>
      </x:c>
      <x:c r="B725" t="str">
        <x:v>WAVE_30</x:v>
      </x:c>
      <x:c r="C725" s="409" t="n">
        <x:v>297.4</x:v>
      </x:c>
      <x:c r="D725" s="410" t="n">
        <x:v>36</x:v>
      </x:c>
      <x:c r="E725" t="str">
        <x:v>RIGHT_05</x:v>
      </x:c>
      <x:c r="F725" t="str">
        <x:v>GoblinMelee</x:v>
      </x:c>
      <x:c r="G725" s="410" t="n">
        <x:v>25</x:v>
      </x:c>
    </x:row>
    <x:row r="726">
      <x:c r="A726" t="str">
        <x:v>Stage01</x:v>
      </x:c>
      <x:c r="B726" t="str">
        <x:v>WAVE_30</x:v>
      </x:c>
      <x:c r="C726" s="409" t="n">
        <x:v>297.59</x:v>
      </x:c>
      <x:c r="D726" s="410" t="n">
        <x:v>37</x:v>
      </x:c>
      <x:c r="E726" t="str">
        <x:v>BOTTOM_06</x:v>
      </x:c>
      <x:c r="F726" t="str">
        <x:v>GoblinMelee</x:v>
      </x:c>
      <x:c r="G726" s="410" t="n">
        <x:v>25</x:v>
      </x:c>
    </x:row>
    <x:row r="727">
      <x:c r="A727" t="str">
        <x:v>Stage01</x:v>
      </x:c>
      <x:c r="B727" t="str">
        <x:v>WAVE_30</x:v>
      </x:c>
      <x:c r="C727" s="409" t="n">
        <x:v>297.77</x:v>
      </x:c>
      <x:c r="D727" s="410" t="n">
        <x:v>38</x:v>
      </x:c>
      <x:c r="E727" t="str">
        <x:v>LEFT_07</x:v>
      </x:c>
      <x:c r="F727" t="str">
        <x:v>GoblinRanged</x:v>
      </x:c>
      <x:c r="G727" s="410" t="n">
        <x:v>25</x:v>
      </x:c>
    </x:row>
    <x:row r="728">
      <x:c r="A728" t="str">
        <x:v>Stage01</x:v>
      </x:c>
      <x:c r="B728" t="str">
        <x:v>WAVE_30</x:v>
      </x:c>
      <x:c r="C728" s="409" t="n">
        <x:v>297.95</x:v>
      </x:c>
      <x:c r="D728" s="410" t="n">
        <x:v>39</x:v>
      </x:c>
      <x:c r="E728" t="str">
        <x:v>TOP_01</x:v>
      </x:c>
      <x:c r="F728" t="str">
        <x:v>GoblinMelee</x:v>
      </x:c>
      <x:c r="G728" s="410" t="n">
        <x:v>25</x:v>
      </x:c>
    </x:row>
    <x:row r="729">
      <x:c r="A729" t="str">
        <x:v>Stage01</x:v>
      </x:c>
      <x:c r="B729" t="str">
        <x:v>WAVE_30</x:v>
      </x:c>
      <x:c r="C729" s="409" t="n">
        <x:v>298.14</x:v>
      </x:c>
      <x:c r="D729" s="410" t="n">
        <x:v>40</x:v>
      </x:c>
      <x:c r="E729" t="str">
        <x:v>RIGHT_02</x:v>
      </x:c>
      <x:c r="F729" t="str">
        <x:v>GoblinMelee</x:v>
      </x:c>
      <x:c r="G729" s="410" t="n">
        <x:v>25</x:v>
      </x:c>
    </x:row>
    <x:row r="730">
      <x:c r="A730" t="str">
        <x:v>Stage01</x:v>
      </x:c>
      <x:c r="B730" t="str">
        <x:v>WAVE_30</x:v>
      </x:c>
      <x:c r="C730" s="409" t="n">
        <x:v>298.32</x:v>
      </x:c>
      <x:c r="D730" s="410" t="n">
        <x:v>41</x:v>
      </x:c>
      <x:c r="E730" t="str">
        <x:v>BOTTOM_03</x:v>
      </x:c>
      <x:c r="F730" t="str">
        <x:v>GoblinRanged</x:v>
      </x:c>
      <x:c r="G730" s="410" t="n">
        <x:v>25</x:v>
      </x:c>
    </x:row>
    <x:row r="731">
      <x:c r="A731" t="str">
        <x:v>Stage01</x:v>
      </x:c>
      <x:c r="B731" t="str">
        <x:v>WAVE_30</x:v>
      </x:c>
      <x:c r="C731" s="409" t="n">
        <x:v>298.5</x:v>
      </x:c>
      <x:c r="D731" s="410" t="n">
        <x:v>42</x:v>
      </x:c>
      <x:c r="E731" t="str">
        <x:v>LEFT_04</x:v>
      </x:c>
      <x:c r="F731" t="str">
        <x:v>GoblinMelee</x:v>
      </x:c>
      <x:c r="G731" s="410" t="n">
        <x:v>25</x:v>
      </x:c>
    </x:row>
    <x:row r="732">
      <x:c r="A732" t="str">
        <x:v>Stage01</x:v>
      </x:c>
      <x:c r="B732" t="str">
        <x:v>WAVE_30</x:v>
      </x:c>
      <x:c r="C732" s="409" t="n">
        <x:v>298.69</x:v>
      </x:c>
      <x:c r="D732" s="410" t="n">
        <x:v>43</x:v>
      </x:c>
      <x:c r="E732" t="str">
        <x:v>TOP_06</x:v>
      </x:c>
      <x:c r="F732" t="str">
        <x:v>GoblinMelee</x:v>
      </x:c>
      <x:c r="G732" s="410" t="n">
        <x:v>25</x:v>
      </x:c>
    </x:row>
    <x:row r="733">
      <x:c r="A733" t="str">
        <x:v>Stage01</x:v>
      </x:c>
      <x:c r="B733" t="str">
        <x:v>WAVE_30</x:v>
      </x:c>
      <x:c r="C733" s="409" t="n">
        <x:v>298.87</x:v>
      </x:c>
      <x:c r="D733" s="410" t="n">
        <x:v>44</x:v>
      </x:c>
      <x:c r="E733" t="str">
        <x:v>RIGHT_07</x:v>
      </x:c>
      <x:c r="F733" t="str">
        <x:v>ShieldSkeleton</x:v>
      </x:c>
      <x:c r="G733" s="410" t="n">
        <x:v>25</x:v>
      </x:c>
    </x:row>
    <x:row r="734">
      <x:c r="A734" t="str">
        <x:v>Stage01</x:v>
      </x:c>
      <x:c r="B734" t="str">
        <x:v>WAVE_30</x:v>
      </x:c>
      <x:c r="C734" s="409" t="n">
        <x:v>299.05</x:v>
      </x:c>
      <x:c r="D734" s="410" t="n">
        <x:v>45</x:v>
      </x:c>
      <x:c r="E734" t="str">
        <x:v>BOTTOM_08</x:v>
      </x:c>
      <x:c r="F734" t="str">
        <x:v>FlyingEye</x:v>
      </x:c>
      <x:c r="G734" s="410" t="n">
        <x:v>25</x:v>
      </x:c>
    </x:row>
    <x:row r="735">
      <x:c r="A735" t="str">
        <x:v>Stage01</x:v>
      </x:c>
      <x:c r="B735" t="str">
        <x:v>WAVE_30</x:v>
      </x:c>
      <x:c r="C735" s="409" t="n">
        <x:v>299.23</x:v>
      </x:c>
      <x:c r="D735" s="410" t="n">
        <x:v>46</x:v>
      </x:c>
      <x:c r="E735" t="str">
        <x:v>LEFT_01</x:v>
      </x:c>
      <x:c r="F735" t="str">
        <x:v>GoblinMelee</x:v>
      </x:c>
      <x:c r="G735" s="410" t="n">
        <x:v>25</x:v>
      </x:c>
    </x:row>
    <x:row r="736">
      <x:c r="A736" t="str">
        <x:v>Stage01</x:v>
      </x:c>
      <x:c r="B736" t="str">
        <x:v>WAVE_30</x:v>
      </x:c>
      <x:c r="C736" s="409" t="n">
        <x:v>299.42</x:v>
      </x:c>
      <x:c r="D736" s="410" t="n">
        <x:v>47</x:v>
      </x:c>
      <x:c r="E736" t="str">
        <x:v>TOP_03</x:v>
      </x:c>
      <x:c r="F736" t="str">
        <x:v>GoblinRanged</x:v>
      </x:c>
      <x:c r="G736" s="410" t="n">
        <x:v>25</x:v>
      </x:c>
    </x:row>
    <x:row r="737">
      <x:c r="A737" t="str">
        <x:v>Stage01</x:v>
      </x:c>
      <x:c r="B737" t="str">
        <x:v>WAVE_30</x:v>
      </x:c>
      <x:c r="C737" s="409" t="n">
        <x:v>299.6</x:v>
      </x:c>
      <x:c r="D737" s="410" t="n">
        <x:v>48</x:v>
      </x:c>
      <x:c r="E737" t="str">
        <x:v>RIGHT_04</x:v>
      </x:c>
      <x:c r="F737" t="str">
        <x:v>GoblinMelee</x:v>
      </x:c>
      <x:c r="G737" s="410" t="n">
        <x:v>25</x:v>
      </x:c>
    </x:row>
    <x:row r="738">
      <x:c r="A738" t="str">
        <x:v>Stage01</x:v>
      </x:c>
      <x:c r="B738" t="str">
        <x:v>WAVE_31</x:v>
      </x:c>
      <x:c r="C738" s="409" t="n">
        <x:v>301</x:v>
      </x:c>
      <x:c r="D738" s="410" t="n">
        <x:v>1</x:v>
      </x:c>
      <x:c r="E738" t="str">
        <x:v>RIGHT_07</x:v>
      </x:c>
      <x:c r="F738" t="str">
        <x:v>GoblinMelee</x:v>
      </x:c>
      <x:c r="G738" s="410" t="n">
        <x:v>26</x:v>
      </x:c>
    </x:row>
    <x:row r="739">
      <x:c r="A739" t="str">
        <x:v>Stage01</x:v>
      </x:c>
      <x:c r="B739" t="str">
        <x:v>WAVE_31</x:v>
      </x:c>
      <x:c r="C739" s="409" t="n">
        <x:v>301.18</x:v>
      </x:c>
      <x:c r="D739" s="410" t="n">
        <x:v>2</x:v>
      </x:c>
      <x:c r="E739" t="str">
        <x:v>BOTTOM_08</x:v>
      </x:c>
      <x:c r="F739" t="str">
        <x:v>GoblinRanged</x:v>
      </x:c>
      <x:c r="G739" s="410" t="n">
        <x:v>26</x:v>
      </x:c>
    </x:row>
    <x:row r="740">
      <x:c r="A740" t="str">
        <x:v>Stage01</x:v>
      </x:c>
      <x:c r="B740" t="str">
        <x:v>WAVE_31</x:v>
      </x:c>
      <x:c r="C740" s="409" t="n">
        <x:v>301.35</x:v>
      </x:c>
      <x:c r="D740" s="410" t="n">
        <x:v>3</x:v>
      </x:c>
      <x:c r="E740" t="str">
        <x:v>LEFT_01</x:v>
      </x:c>
      <x:c r="F740" t="str">
        <x:v>GoblinMelee</x:v>
      </x:c>
      <x:c r="G740" s="410" t="n">
        <x:v>26</x:v>
      </x:c>
    </x:row>
    <x:row r="741">
      <x:c r="A741" t="str">
        <x:v>Stage01</x:v>
      </x:c>
      <x:c r="B741" t="str">
        <x:v>WAVE_31</x:v>
      </x:c>
      <x:c r="C741" s="409" t="n">
        <x:v>301.53</x:v>
      </x:c>
      <x:c r="D741" s="410" t="n">
        <x:v>4</x:v>
      </x:c>
      <x:c r="E741" t="str">
        <x:v>TOP_03</x:v>
      </x:c>
      <x:c r="F741" t="str">
        <x:v>GoblinMelee</x:v>
      </x:c>
      <x:c r="G741" s="410" t="n">
        <x:v>26</x:v>
      </x:c>
    </x:row>
    <x:row r="742">
      <x:c r="A742" t="str">
        <x:v>Stage01</x:v>
      </x:c>
      <x:c r="B742" t="str">
        <x:v>WAVE_31</x:v>
      </x:c>
      <x:c r="C742" s="409" t="n">
        <x:v>301.7</x:v>
      </x:c>
      <x:c r="D742" s="410" t="n">
        <x:v>5</x:v>
      </x:c>
      <x:c r="E742" t="str">
        <x:v>RIGHT_04</x:v>
      </x:c>
      <x:c r="F742" t="str">
        <x:v>ShieldSkeleton</x:v>
      </x:c>
      <x:c r="G742" s="410" t="n">
        <x:v>26</x:v>
      </x:c>
    </x:row>
    <x:row r="743">
      <x:c r="A743" t="str">
        <x:v>Stage01</x:v>
      </x:c>
      <x:c r="B743" t="str">
        <x:v>WAVE_31</x:v>
      </x:c>
      <x:c r="C743" s="409" t="n">
        <x:v>301.88</x:v>
      </x:c>
      <x:c r="D743" s="410" t="n">
        <x:v>6</x:v>
      </x:c>
      <x:c r="E743" t="str">
        <x:v>BOTTOM_05</x:v>
      </x:c>
      <x:c r="F743" t="str">
        <x:v>GoblinMelee</x:v>
      </x:c>
      <x:c r="G743" s="410" t="n">
        <x:v>26</x:v>
      </x:c>
    </x:row>
    <x:row r="744">
      <x:c r="A744" t="str">
        <x:v>Stage01</x:v>
      </x:c>
      <x:c r="B744" t="str">
        <x:v>WAVE_31</x:v>
      </x:c>
      <x:c r="C744" s="409" t="n">
        <x:v>302.05</x:v>
      </x:c>
      <x:c r="D744" s="410" t="n">
        <x:v>7</x:v>
      </x:c>
      <x:c r="E744" t="str">
        <x:v>LEFT_06</x:v>
      </x:c>
      <x:c r="F744" t="str">
        <x:v>GoblinRanged</x:v>
      </x:c>
      <x:c r="G744" s="410" t="n">
        <x:v>26</x:v>
      </x:c>
    </x:row>
    <x:row r="745">
      <x:c r="A745" t="str">
        <x:v>Stage01</x:v>
      </x:c>
      <x:c r="B745" t="str">
        <x:v>WAVE_31</x:v>
      </x:c>
      <x:c r="C745" s="409" t="n">
        <x:v>302.23</x:v>
      </x:c>
      <x:c r="D745" s="410" t="n">
        <x:v>8</x:v>
      </x:c>
      <x:c r="E745" t="str">
        <x:v>TOP_08</x:v>
      </x:c>
      <x:c r="F745" t="str">
        <x:v>GoblinMelee</x:v>
      </x:c>
      <x:c r="G745" s="410" t="n">
        <x:v>26</x:v>
      </x:c>
    </x:row>
    <x:row r="746">
      <x:c r="A746" t="str">
        <x:v>Stage01</x:v>
      </x:c>
      <x:c r="B746" t="str">
        <x:v>WAVE_31</x:v>
      </x:c>
      <x:c r="C746" s="409" t="n">
        <x:v>302.4</x:v>
      </x:c>
      <x:c r="D746" s="410" t="n">
        <x:v>9</x:v>
      </x:c>
      <x:c r="E746" t="str">
        <x:v>RIGHT_01</x:v>
      </x:c>
      <x:c r="F746" t="str">
        <x:v>GoblinMelee</x:v>
      </x:c>
      <x:c r="G746" s="410" t="n">
        <x:v>26</x:v>
      </x:c>
    </x:row>
    <x:row r="747">
      <x:c r="A747" t="str">
        <x:v>Stage01</x:v>
      </x:c>
      <x:c r="B747" t="str">
        <x:v>WAVE_31</x:v>
      </x:c>
      <x:c r="C747" s="409" t="n">
        <x:v>302.58</x:v>
      </x:c>
      <x:c r="D747" s="410" t="n">
        <x:v>10</x:v>
      </x:c>
      <x:c r="E747" t="str">
        <x:v>BOTTOM_02</x:v>
      </x:c>
      <x:c r="F747" t="str">
        <x:v>GoblinMelee</x:v>
      </x:c>
      <x:c r="G747" s="410" t="n">
        <x:v>26</x:v>
      </x:c>
    </x:row>
    <x:row r="748">
      <x:c r="A748" t="str">
        <x:v>Stage01</x:v>
      </x:c>
      <x:c r="B748" t="str">
        <x:v>WAVE_31</x:v>
      </x:c>
      <x:c r="C748" s="409" t="n">
        <x:v>302.76</x:v>
      </x:c>
      <x:c r="D748" s="410" t="n">
        <x:v>11</x:v>
      </x:c>
      <x:c r="E748" t="str">
        <x:v>LEFT_03</x:v>
      </x:c>
      <x:c r="F748" t="str">
        <x:v>GoblinRanged</x:v>
      </x:c>
      <x:c r="G748" s="410" t="n">
        <x:v>26</x:v>
      </x:c>
    </x:row>
    <x:row r="749">
      <x:c r="A749" t="str">
        <x:v>Stage01</x:v>
      </x:c>
      <x:c r="B749" t="str">
        <x:v>WAVE_31</x:v>
      </x:c>
      <x:c r="C749" s="409" t="n">
        <x:v>302.93</x:v>
      </x:c>
      <x:c r="D749" s="410" t="n">
        <x:v>12</x:v>
      </x:c>
      <x:c r="E749" t="str">
        <x:v>TOP_05</x:v>
      </x:c>
      <x:c r="F749" t="str">
        <x:v>GoblinMelee</x:v>
      </x:c>
      <x:c r="G749" s="410" t="n">
        <x:v>26</x:v>
      </x:c>
    </x:row>
    <x:row r="750">
      <x:c r="A750" t="str">
        <x:v>Stage01</x:v>
      </x:c>
      <x:c r="B750" t="str">
        <x:v>WAVE_31</x:v>
      </x:c>
      <x:c r="C750" s="409" t="n">
        <x:v>303.11</x:v>
      </x:c>
      <x:c r="D750" s="410" t="n">
        <x:v>13</x:v>
      </x:c>
      <x:c r="E750" t="str">
        <x:v>RIGHT_06</x:v>
      </x:c>
      <x:c r="F750" t="str">
        <x:v>GoblinMelee</x:v>
      </x:c>
      <x:c r="G750" s="410" t="n">
        <x:v>26</x:v>
      </x:c>
    </x:row>
    <x:row r="751">
      <x:c r="A751" t="str">
        <x:v>Stage01</x:v>
      </x:c>
      <x:c r="B751" t="str">
        <x:v>WAVE_31</x:v>
      </x:c>
      <x:c r="C751" s="409" t="n">
        <x:v>303.28</x:v>
      </x:c>
      <x:c r="D751" s="410" t="n">
        <x:v>14</x:v>
      </x:c>
      <x:c r="E751" t="str">
        <x:v>BOTTOM_07</x:v>
      </x:c>
      <x:c r="F751" t="str">
        <x:v>ShieldSkeleton</x:v>
      </x:c>
      <x:c r="G751" s="410" t="n">
        <x:v>26</x:v>
      </x:c>
    </x:row>
    <x:row r="752">
      <x:c r="A752" t="str">
        <x:v>Stage01</x:v>
      </x:c>
      <x:c r="B752" t="str">
        <x:v>WAVE_31</x:v>
      </x:c>
      <x:c r="C752" s="409" t="n">
        <x:v>303.46</x:v>
      </x:c>
      <x:c r="D752" s="410" t="n">
        <x:v>15</x:v>
      </x:c>
      <x:c r="E752" t="str">
        <x:v>LEFT_08</x:v>
      </x:c>
      <x:c r="F752" t="str">
        <x:v>FlyingEye</x:v>
      </x:c>
      <x:c r="G752" s="410" t="n">
        <x:v>26</x:v>
      </x:c>
    </x:row>
    <x:row r="753">
      <x:c r="A753" t="str">
        <x:v>Stage01</x:v>
      </x:c>
      <x:c r="B753" t="str">
        <x:v>WAVE_31</x:v>
      </x:c>
      <x:c r="C753" s="409" t="n">
        <x:v>303.63</x:v>
      </x:c>
      <x:c r="D753" s="410" t="n">
        <x:v>16</x:v>
      </x:c>
      <x:c r="E753" t="str">
        <x:v>TOP_02</x:v>
      </x:c>
      <x:c r="F753" t="str">
        <x:v>GoblinRanged</x:v>
      </x:c>
      <x:c r="G753" s="410" t="n">
        <x:v>26</x:v>
      </x:c>
    </x:row>
    <x:row r="754">
      <x:c r="A754" t="str">
        <x:v>Stage01</x:v>
      </x:c>
      <x:c r="B754" t="str">
        <x:v>WAVE_31</x:v>
      </x:c>
      <x:c r="C754" s="409" t="n">
        <x:v>303.81</x:v>
      </x:c>
      <x:c r="D754" s="410" t="n">
        <x:v>17</x:v>
      </x:c>
      <x:c r="E754" t="str">
        <x:v>RIGHT_03</x:v>
      </x:c>
      <x:c r="F754" t="str">
        <x:v>GoblinMelee</x:v>
      </x:c>
      <x:c r="G754" s="410" t="n">
        <x:v>26</x:v>
      </x:c>
    </x:row>
    <x:row r="755">
      <x:c r="A755" t="str">
        <x:v>Stage01</x:v>
      </x:c>
      <x:c r="B755" t="str">
        <x:v>WAVE_31</x:v>
      </x:c>
      <x:c r="C755" s="409" t="n">
        <x:v>303.98</x:v>
      </x:c>
      <x:c r="D755" s="410" t="n">
        <x:v>18</x:v>
      </x:c>
      <x:c r="E755" t="str">
        <x:v>BOTTOM_04</x:v>
      </x:c>
      <x:c r="F755" t="str">
        <x:v>GoblinMelee</x:v>
      </x:c>
      <x:c r="G755" s="410" t="n">
        <x:v>26</x:v>
      </x:c>
    </x:row>
    <x:row r="756">
      <x:c r="A756" t="str">
        <x:v>Stage01</x:v>
      </x:c>
      <x:c r="B756" t="str">
        <x:v>WAVE_31</x:v>
      </x:c>
      <x:c r="C756" s="409" t="n">
        <x:v>304.16</x:v>
      </x:c>
      <x:c r="D756" s="410" t="n">
        <x:v>19</x:v>
      </x:c>
      <x:c r="E756" t="str">
        <x:v>LEFT_05</x:v>
      </x:c>
      <x:c r="F756" t="str">
        <x:v>GoblinRanged</x:v>
      </x:c>
      <x:c r="G756" s="410" t="n">
        <x:v>26</x:v>
      </x:c>
    </x:row>
    <x:row r="757">
      <x:c r="A757" t="str">
        <x:v>Stage01</x:v>
      </x:c>
      <x:c r="B757" t="str">
        <x:v>WAVE_31</x:v>
      </x:c>
      <x:c r="C757" s="409" t="n">
        <x:v>304.33</x:v>
      </x:c>
      <x:c r="D757" s="410" t="n">
        <x:v>20</x:v>
      </x:c>
      <x:c r="E757" t="str">
        <x:v>TOP_07</x:v>
      </x:c>
      <x:c r="F757" t="str">
        <x:v>GoblinMelee</x:v>
      </x:c>
      <x:c r="G757" s="410" t="n">
        <x:v>26</x:v>
      </x:c>
    </x:row>
    <x:row r="758">
      <x:c r="A758" t="str">
        <x:v>Stage01</x:v>
      </x:c>
      <x:c r="B758" t="str">
        <x:v>WAVE_31</x:v>
      </x:c>
      <x:c r="C758" s="409" t="n">
        <x:v>304.51</x:v>
      </x:c>
      <x:c r="D758" s="410" t="n">
        <x:v>21</x:v>
      </x:c>
      <x:c r="E758" t="str">
        <x:v>RIGHT_08</x:v>
      </x:c>
      <x:c r="F758" t="str">
        <x:v>GoblinMelee</x:v>
      </x:c>
      <x:c r="G758" s="410" t="n">
        <x:v>26</x:v>
      </x:c>
    </x:row>
    <x:row r="759">
      <x:c r="A759" t="str">
        <x:v>Stage01</x:v>
      </x:c>
      <x:c r="B759" t="str">
        <x:v>WAVE_31</x:v>
      </x:c>
      <x:c r="C759" s="409" t="n">
        <x:v>304.69</x:v>
      </x:c>
      <x:c r="D759" s="410" t="n">
        <x:v>22</x:v>
      </x:c>
      <x:c r="E759" t="str">
        <x:v>BOTTOM_01</x:v>
      </x:c>
      <x:c r="F759" t="str">
        <x:v>GoblinMelee</x:v>
      </x:c>
      <x:c r="G759" s="410" t="n">
        <x:v>26</x:v>
      </x:c>
    </x:row>
    <x:row r="760">
      <x:c r="A760" t="str">
        <x:v>Stage01</x:v>
      </x:c>
      <x:c r="B760" t="str">
        <x:v>WAVE_31</x:v>
      </x:c>
      <x:c r="C760" s="409" t="n">
        <x:v>304.86</x:v>
      </x:c>
      <x:c r="D760" s="410" t="n">
        <x:v>23</x:v>
      </x:c>
      <x:c r="E760" t="str">
        <x:v>LEFT_02</x:v>
      </x:c>
      <x:c r="F760" t="str">
        <x:v>GoblinRanged</x:v>
      </x:c>
      <x:c r="G760" s="410" t="n">
        <x:v>26</x:v>
      </x:c>
    </x:row>
    <x:row r="761">
      <x:c r="A761" t="str">
        <x:v>Stage01</x:v>
      </x:c>
      <x:c r="B761" t="str">
        <x:v>WAVE_31</x:v>
      </x:c>
      <x:c r="C761" s="409" t="n">
        <x:v>305.04</x:v>
      </x:c>
      <x:c r="D761" s="410" t="n">
        <x:v>24</x:v>
      </x:c>
      <x:c r="E761" t="str">
        <x:v>TOP_04</x:v>
      </x:c>
      <x:c r="F761" t="str">
        <x:v>GoblinMelee</x:v>
      </x:c>
      <x:c r="G761" s="410" t="n">
        <x:v>26</x:v>
      </x:c>
    </x:row>
    <x:row r="762">
      <x:c r="A762" t="str">
        <x:v>Stage01</x:v>
      </x:c>
      <x:c r="B762" t="str">
        <x:v>WAVE_31</x:v>
      </x:c>
      <x:c r="C762" s="409" t="n">
        <x:v>305.21</x:v>
      </x:c>
      <x:c r="D762" s="410" t="n">
        <x:v>25</x:v>
      </x:c>
      <x:c r="E762" t="str">
        <x:v>RIGHT_05</x:v>
      </x:c>
      <x:c r="F762" t="str">
        <x:v>GoblinMelee</x:v>
      </x:c>
      <x:c r="G762" s="410" t="n">
        <x:v>26</x:v>
      </x:c>
    </x:row>
    <x:row r="763">
      <x:c r="A763" t="str">
        <x:v>Stage01</x:v>
      </x:c>
      <x:c r="B763" t="str">
        <x:v>WAVE_31</x:v>
      </x:c>
      <x:c r="C763" s="409" t="n">
        <x:v>305.39</x:v>
      </x:c>
      <x:c r="D763" s="410" t="n">
        <x:v>26</x:v>
      </x:c>
      <x:c r="E763" t="str">
        <x:v>BOTTOM_06</x:v>
      </x:c>
      <x:c r="F763" t="str">
        <x:v>ShieldSkeleton</x:v>
      </x:c>
      <x:c r="G763" s="410" t="n">
        <x:v>27</x:v>
      </x:c>
    </x:row>
    <x:row r="764">
      <x:c r="A764" t="str">
        <x:v>Stage01</x:v>
      </x:c>
      <x:c r="B764" t="str">
        <x:v>WAVE_31</x:v>
      </x:c>
      <x:c r="C764" s="409" t="n">
        <x:v>305.56</x:v>
      </x:c>
      <x:c r="D764" s="410" t="n">
        <x:v>27</x:v>
      </x:c>
      <x:c r="E764" t="str">
        <x:v>LEFT_07</x:v>
      </x:c>
      <x:c r="F764" t="str">
        <x:v>GoblinMelee</x:v>
      </x:c>
      <x:c r="G764" s="410" t="n">
        <x:v>26</x:v>
      </x:c>
    </x:row>
    <x:row r="765">
      <x:c r="A765" t="str">
        <x:v>Stage01</x:v>
      </x:c>
      <x:c r="B765" t="str">
        <x:v>WAVE_31</x:v>
      </x:c>
      <x:c r="C765" s="409" t="n">
        <x:v>305.74</x:v>
      </x:c>
      <x:c r="D765" s="410" t="n">
        <x:v>28</x:v>
      </x:c>
      <x:c r="E765" t="str">
        <x:v>TOP_01</x:v>
      </x:c>
      <x:c r="F765" t="str">
        <x:v>GoblinRanged</x:v>
      </x:c>
      <x:c r="G765" s="410" t="n">
        <x:v>26</x:v>
      </x:c>
    </x:row>
    <x:row r="766">
      <x:c r="A766" t="str">
        <x:v>Stage01</x:v>
      </x:c>
      <x:c r="B766" t="str">
        <x:v>WAVE_31</x:v>
      </x:c>
      <x:c r="C766" s="409" t="n">
        <x:v>305.91</x:v>
      </x:c>
      <x:c r="D766" s="410" t="n">
        <x:v>29</x:v>
      </x:c>
      <x:c r="E766" t="str">
        <x:v>RIGHT_02</x:v>
      </x:c>
      <x:c r="F766" t="str">
        <x:v>GoblinMelee</x:v>
      </x:c>
      <x:c r="G766" s="410" t="n">
        <x:v>26</x:v>
      </x:c>
    </x:row>
    <x:row r="767">
      <x:c r="A767" t="str">
        <x:v>Stage01</x:v>
      </x:c>
      <x:c r="B767" t="str">
        <x:v>WAVE_31</x:v>
      </x:c>
      <x:c r="C767" s="409" t="n">
        <x:v>306.09</x:v>
      </x:c>
      <x:c r="D767" s="410" t="n">
        <x:v>30</x:v>
      </x:c>
      <x:c r="E767" t="str">
        <x:v>BOTTOM_03</x:v>
      </x:c>
      <x:c r="F767" t="str">
        <x:v>FlyingEye</x:v>
      </x:c>
      <x:c r="G767" s="410" t="n">
        <x:v>26</x:v>
      </x:c>
    </x:row>
    <x:row r="768">
      <x:c r="A768" t="str">
        <x:v>Stage01</x:v>
      </x:c>
      <x:c r="B768" t="str">
        <x:v>WAVE_31</x:v>
      </x:c>
      <x:c r="C768" s="409" t="n">
        <x:v>306.27</x:v>
      </x:c>
      <x:c r="D768" s="410" t="n">
        <x:v>31</x:v>
      </x:c>
      <x:c r="E768" t="str">
        <x:v>LEFT_04</x:v>
      </x:c>
      <x:c r="F768" t="str">
        <x:v>GoblinMelee</x:v>
      </x:c>
      <x:c r="G768" s="410" t="n">
        <x:v>26</x:v>
      </x:c>
    </x:row>
    <x:row r="769">
      <x:c r="A769" t="str">
        <x:v>Stage01</x:v>
      </x:c>
      <x:c r="B769" t="str">
        <x:v>WAVE_31</x:v>
      </x:c>
      <x:c r="C769" s="409" t="n">
        <x:v>306.44</x:v>
      </x:c>
      <x:c r="D769" s="410" t="n">
        <x:v>32</x:v>
      </x:c>
      <x:c r="E769" t="str">
        <x:v>TOP_06</x:v>
      </x:c>
      <x:c r="F769" t="str">
        <x:v>GoblinRanged</x:v>
      </x:c>
      <x:c r="G769" s="410" t="n">
        <x:v>26</x:v>
      </x:c>
    </x:row>
    <x:row r="770">
      <x:c r="A770" t="str">
        <x:v>Stage01</x:v>
      </x:c>
      <x:c r="B770" t="str">
        <x:v>WAVE_31</x:v>
      </x:c>
      <x:c r="C770" s="409" t="n">
        <x:v>306.62</x:v>
      </x:c>
      <x:c r="D770" s="410" t="n">
        <x:v>33</x:v>
      </x:c>
      <x:c r="E770" t="str">
        <x:v>RIGHT_07</x:v>
      </x:c>
      <x:c r="F770" t="str">
        <x:v>GoblinMelee</x:v>
      </x:c>
      <x:c r="G770" s="410" t="n">
        <x:v>26</x:v>
      </x:c>
    </x:row>
    <x:row r="771">
      <x:c r="A771" t="str">
        <x:v>Stage01</x:v>
      </x:c>
      <x:c r="B771" t="str">
        <x:v>WAVE_31</x:v>
      </x:c>
      <x:c r="C771" s="409" t="n">
        <x:v>306.79</x:v>
      </x:c>
      <x:c r="D771" s="410" t="n">
        <x:v>34</x:v>
      </x:c>
      <x:c r="E771" t="str">
        <x:v>BOTTOM_08</x:v>
      </x:c>
      <x:c r="F771" t="str">
        <x:v>GoblinMelee</x:v>
      </x:c>
      <x:c r="G771" s="410" t="n">
        <x:v>26</x:v>
      </x:c>
    </x:row>
    <x:row r="772">
      <x:c r="A772" t="str">
        <x:v>Stage01</x:v>
      </x:c>
      <x:c r="B772" t="str">
        <x:v>WAVE_31</x:v>
      </x:c>
      <x:c r="C772" s="409" t="n">
        <x:v>306.97</x:v>
      </x:c>
      <x:c r="D772" s="410" t="n">
        <x:v>35</x:v>
      </x:c>
      <x:c r="E772" t="str">
        <x:v>LEFT_01</x:v>
      </x:c>
      <x:c r="F772" t="str">
        <x:v>ShieldSkeleton</x:v>
      </x:c>
      <x:c r="G772" s="410" t="n">
        <x:v>26</x:v>
      </x:c>
    </x:row>
    <x:row r="773">
      <x:c r="A773" t="str">
        <x:v>Stage01</x:v>
      </x:c>
      <x:c r="B773" t="str">
        <x:v>WAVE_31</x:v>
      </x:c>
      <x:c r="C773" s="409" t="n">
        <x:v>307.14</x:v>
      </x:c>
      <x:c r="D773" s="410" t="n">
        <x:v>36</x:v>
      </x:c>
      <x:c r="E773" t="str">
        <x:v>TOP_03</x:v>
      </x:c>
      <x:c r="F773" t="str">
        <x:v>GoblinMelee</x:v>
      </x:c>
      <x:c r="G773" s="410" t="n">
        <x:v>26</x:v>
      </x:c>
    </x:row>
    <x:row r="774">
      <x:c r="A774" t="str">
        <x:v>Stage01</x:v>
      </x:c>
      <x:c r="B774" t="str">
        <x:v>WAVE_31</x:v>
      </x:c>
      <x:c r="C774" s="409" t="n">
        <x:v>307.32</x:v>
      </x:c>
      <x:c r="D774" s="410" t="n">
        <x:v>37</x:v>
      </x:c>
      <x:c r="E774" t="str">
        <x:v>RIGHT_04</x:v>
      </x:c>
      <x:c r="F774" t="str">
        <x:v>GoblinRanged</x:v>
      </x:c>
      <x:c r="G774" s="410" t="n">
        <x:v>26</x:v>
      </x:c>
    </x:row>
    <x:row r="775">
      <x:c r="A775" t="str">
        <x:v>Stage01</x:v>
      </x:c>
      <x:c r="B775" t="str">
        <x:v>WAVE_31</x:v>
      </x:c>
      <x:c r="C775" s="409" t="n">
        <x:v>307.49</x:v>
      </x:c>
      <x:c r="D775" s="410" t="n">
        <x:v>38</x:v>
      </x:c>
      <x:c r="E775" t="str">
        <x:v>BOTTOM_05</x:v>
      </x:c>
      <x:c r="F775" t="str">
        <x:v>GoblinMelee</x:v>
      </x:c>
      <x:c r="G775" s="410" t="n">
        <x:v>26</x:v>
      </x:c>
    </x:row>
    <x:row r="776">
      <x:c r="A776" t="str">
        <x:v>Stage01</x:v>
      </x:c>
      <x:c r="B776" t="str">
        <x:v>WAVE_31</x:v>
      </x:c>
      <x:c r="C776" s="409" t="n">
        <x:v>307.67</x:v>
      </x:c>
      <x:c r="D776" s="410" t="n">
        <x:v>39</x:v>
      </x:c>
      <x:c r="E776" t="str">
        <x:v>LEFT_06</x:v>
      </x:c>
      <x:c r="F776" t="str">
        <x:v>GoblinMelee</x:v>
      </x:c>
      <x:c r="G776" s="410" t="n">
        <x:v>26</x:v>
      </x:c>
    </x:row>
    <x:row r="777">
      <x:c r="A777" t="str">
        <x:v>Stage01</x:v>
      </x:c>
      <x:c r="B777" t="str">
        <x:v>WAVE_31</x:v>
      </x:c>
      <x:c r="C777" s="409" t="n">
        <x:v>307.84</x:v>
      </x:c>
      <x:c r="D777" s="410" t="n">
        <x:v>40</x:v>
      </x:c>
      <x:c r="E777" t="str">
        <x:v>TOP_08</x:v>
      </x:c>
      <x:c r="F777" t="str">
        <x:v>GoblinRanged</x:v>
      </x:c>
      <x:c r="G777" s="410" t="n">
        <x:v>26</x:v>
      </x:c>
    </x:row>
    <x:row r="778">
      <x:c r="A778" t="str">
        <x:v>Stage01</x:v>
      </x:c>
      <x:c r="B778" t="str">
        <x:v>WAVE_31</x:v>
      </x:c>
      <x:c r="C778" s="409" t="n">
        <x:v>308.02</x:v>
      </x:c>
      <x:c r="D778" s="410" t="n">
        <x:v>41</x:v>
      </x:c>
      <x:c r="E778" t="str">
        <x:v>RIGHT_01</x:v>
      </x:c>
      <x:c r="F778" t="str">
        <x:v>GoblinMelee</x:v>
      </x:c>
      <x:c r="G778" s="410" t="n">
        <x:v>26</x:v>
      </x:c>
    </x:row>
    <x:row r="779">
      <x:c r="A779" t="str">
        <x:v>Stage01</x:v>
      </x:c>
      <x:c r="B779" t="str">
        <x:v>WAVE_31</x:v>
      </x:c>
      <x:c r="C779" s="409" t="n">
        <x:v>308.2</x:v>
      </x:c>
      <x:c r="D779" s="410" t="n">
        <x:v>42</x:v>
      </x:c>
      <x:c r="E779" t="str">
        <x:v>BOTTOM_02</x:v>
      </x:c>
      <x:c r="F779" t="str">
        <x:v>GoblinMelee</x:v>
      </x:c>
      <x:c r="G779" s="410" t="n">
        <x:v>26</x:v>
      </x:c>
    </x:row>
    <x:row r="780">
      <x:c r="A780" t="str">
        <x:v>Stage01</x:v>
      </x:c>
      <x:c r="B780" t="str">
        <x:v>WAVE_31</x:v>
      </x:c>
      <x:c r="C780" s="409" t="n">
        <x:v>308.37</x:v>
      </x:c>
      <x:c r="D780" s="410" t="n">
        <x:v>43</x:v>
      </x:c>
      <x:c r="E780" t="str">
        <x:v>LEFT_03</x:v>
      </x:c>
      <x:c r="F780" t="str">
        <x:v>GoblinMelee</x:v>
      </x:c>
      <x:c r="G780" s="410" t="n">
        <x:v>26</x:v>
      </x:c>
    </x:row>
    <x:row r="781">
      <x:c r="A781" t="str">
        <x:v>Stage01</x:v>
      </x:c>
      <x:c r="B781" t="str">
        <x:v>WAVE_31</x:v>
      </x:c>
      <x:c r="C781" s="409" t="n">
        <x:v>308.55</x:v>
      </x:c>
      <x:c r="D781" s="410" t="n">
        <x:v>44</x:v>
      </x:c>
      <x:c r="E781" t="str">
        <x:v>TOP_05</x:v>
      </x:c>
      <x:c r="F781" t="str">
        <x:v>GoblinRanged</x:v>
      </x:c>
      <x:c r="G781" s="410" t="n">
        <x:v>26</x:v>
      </x:c>
    </x:row>
    <x:row r="782">
      <x:c r="A782" t="str">
        <x:v>Stage01</x:v>
      </x:c>
      <x:c r="B782" t="str">
        <x:v>WAVE_31</x:v>
      </x:c>
      <x:c r="C782" s="409" t="n">
        <x:v>308.72</x:v>
      </x:c>
      <x:c r="D782" s="410" t="n">
        <x:v>45</x:v>
      </x:c>
      <x:c r="E782" t="str">
        <x:v>RIGHT_06</x:v>
      </x:c>
      <x:c r="F782" t="str">
        <x:v>FlyingEye</x:v>
      </x:c>
      <x:c r="G782" s="410" t="n">
        <x:v>26</x:v>
      </x:c>
    </x:row>
    <x:row r="783">
      <x:c r="A783" t="str">
        <x:v>Stage01</x:v>
      </x:c>
      <x:c r="B783" t="str">
        <x:v>WAVE_31</x:v>
      </x:c>
      <x:c r="C783" s="409" t="n">
        <x:v>308.9</x:v>
      </x:c>
      <x:c r="D783" s="410" t="n">
        <x:v>46</x:v>
      </x:c>
      <x:c r="E783" t="str">
        <x:v>BOTTOM_07</x:v>
      </x:c>
      <x:c r="F783" t="str">
        <x:v>ShieldSkeleton</x:v>
      </x:c>
      <x:c r="G783" s="410" t="n">
        <x:v>26</x:v>
      </x:c>
    </x:row>
    <x:row r="784">
      <x:c r="A784" t="str">
        <x:v>Stage01</x:v>
      </x:c>
      <x:c r="B784" t="str">
        <x:v>WAVE_31</x:v>
      </x:c>
      <x:c r="C784" s="409" t="n">
        <x:v>309.07</x:v>
      </x:c>
      <x:c r="D784" s="410" t="n">
        <x:v>47</x:v>
      </x:c>
      <x:c r="E784" t="str">
        <x:v>LEFT_08</x:v>
      </x:c>
      <x:c r="F784" t="str">
        <x:v>GoblinMelee</x:v>
      </x:c>
      <x:c r="G784" s="410" t="n">
        <x:v>26</x:v>
      </x:c>
    </x:row>
    <x:row r="785">
      <x:c r="A785" t="str">
        <x:v>Stage01</x:v>
      </x:c>
      <x:c r="B785" t="str">
        <x:v>WAVE_31</x:v>
      </x:c>
      <x:c r="C785" s="409" t="n">
        <x:v>309.25</x:v>
      </x:c>
      <x:c r="D785" s="410" t="n">
        <x:v>48</x:v>
      </x:c>
      <x:c r="E785" t="str">
        <x:v>TOP_02</x:v>
      </x:c>
      <x:c r="F785" t="str">
        <x:v>GoblinMelee</x:v>
      </x:c>
      <x:c r="G785" s="410" t="n">
        <x:v>26</x:v>
      </x:c>
    </x:row>
    <x:row r="786">
      <x:c r="A786" t="str">
        <x:v>Stage01</x:v>
      </x:c>
      <x:c r="B786" t="str">
        <x:v>WAVE_31</x:v>
      </x:c>
      <x:c r="C786" s="409" t="n">
        <x:v>309.42</x:v>
      </x:c>
      <x:c r="D786" s="410" t="n">
        <x:v>49</x:v>
      </x:c>
      <x:c r="E786" t="str">
        <x:v>RIGHT_03</x:v>
      </x:c>
      <x:c r="F786" t="str">
        <x:v>GoblinRanged</x:v>
      </x:c>
      <x:c r="G786" s="410" t="n">
        <x:v>26</x:v>
      </x:c>
    </x:row>
    <x:row r="787">
      <x:c r="A787" t="str">
        <x:v>Stage01</x:v>
      </x:c>
      <x:c r="B787" t="str">
        <x:v>WAVE_31</x:v>
      </x:c>
      <x:c r="C787" s="409" t="n">
        <x:v>309.6</x:v>
      </x:c>
      <x:c r="D787" s="410" t="n">
        <x:v>50</x:v>
      </x:c>
      <x:c r="E787" t="str">
        <x:v>BOTTOM_04</x:v>
      </x:c>
      <x:c r="F787" t="str">
        <x:v>GoblinMelee</x:v>
      </x:c>
      <x:c r="G787" s="410" t="n">
        <x:v>26</x:v>
      </x:c>
    </x:row>
    <x:row r="788">
      <x:c r="A788" t="str">
        <x:v>Stage01</x:v>
      </x:c>
      <x:c r="B788" t="str">
        <x:v>WAVE_32</x:v>
      </x:c>
      <x:c r="C788" s="409" t="n">
        <x:v>311</x:v>
      </x:c>
      <x:c r="D788" s="410" t="n">
        <x:v>1</x:v>
      </x:c>
      <x:c r="E788" t="str">
        <x:v>BOTTOM_07</x:v>
      </x:c>
      <x:c r="F788" t="str">
        <x:v>GoblinMelee</x:v>
      </x:c>
      <x:c r="G788" s="410" t="n">
        <x:v>27</x:v>
      </x:c>
    </x:row>
    <x:row r="789">
      <x:c r="A789" t="str">
        <x:v>Stage01</x:v>
      </x:c>
      <x:c r="B789" t="str">
        <x:v>WAVE_32</x:v>
      </x:c>
      <x:c r="C789" s="409" t="n">
        <x:v>311.17</x:v>
      </x:c>
      <x:c r="D789" s="410" t="n">
        <x:v>2</x:v>
      </x:c>
      <x:c r="E789" t="str">
        <x:v>LEFT_08</x:v>
      </x:c>
      <x:c r="F789" t="str">
        <x:v>GoblinRanged</x:v>
      </x:c>
      <x:c r="G789" s="410" t="n">
        <x:v>27</x:v>
      </x:c>
    </x:row>
    <x:row r="790">
      <x:c r="A790" t="str">
        <x:v>Stage01</x:v>
      </x:c>
      <x:c r="B790" t="str">
        <x:v>WAVE_32</x:v>
      </x:c>
      <x:c r="C790" s="409" t="n">
        <x:v>311.33</x:v>
      </x:c>
      <x:c r="D790" s="410" t="n">
        <x:v>3</x:v>
      </x:c>
      <x:c r="E790" t="str">
        <x:v>TOP_02</x:v>
      </x:c>
      <x:c r="F790" t="str">
        <x:v>GoblinMelee</x:v>
      </x:c>
      <x:c r="G790" s="410" t="n">
        <x:v>27</x:v>
      </x:c>
    </x:row>
    <x:row r="791">
      <x:c r="A791" t="str">
        <x:v>Stage01</x:v>
      </x:c>
      <x:c r="B791" t="str">
        <x:v>WAVE_32</x:v>
      </x:c>
      <x:c r="C791" s="409" t="n">
        <x:v>311.5</x:v>
      </x:c>
      <x:c r="D791" s="410" t="n">
        <x:v>4</x:v>
      </x:c>
      <x:c r="E791" t="str">
        <x:v>RIGHT_03</x:v>
      </x:c>
      <x:c r="F791" t="str">
        <x:v>GoblinMelee</x:v>
      </x:c>
      <x:c r="G791" s="410" t="n">
        <x:v>27</x:v>
      </x:c>
    </x:row>
    <x:row r="792">
      <x:c r="A792" t="str">
        <x:v>Stage01</x:v>
      </x:c>
      <x:c r="B792" t="str">
        <x:v>WAVE_32</x:v>
      </x:c>
      <x:c r="C792" s="409" t="n">
        <x:v>311.66</x:v>
      </x:c>
      <x:c r="D792" s="410" t="n">
        <x:v>5</x:v>
      </x:c>
      <x:c r="E792" t="str">
        <x:v>BOTTOM_04</x:v>
      </x:c>
      <x:c r="F792" t="str">
        <x:v>ShieldSkeleton</x:v>
      </x:c>
      <x:c r="G792" s="410" t="n">
        <x:v>27</x:v>
      </x:c>
    </x:row>
    <x:row r="793">
      <x:c r="A793" t="str">
        <x:v>Stage01</x:v>
      </x:c>
      <x:c r="B793" t="str">
        <x:v>WAVE_32</x:v>
      </x:c>
      <x:c r="C793" s="409" t="n">
        <x:v>311.83</x:v>
      </x:c>
      <x:c r="D793" s="410" t="n">
        <x:v>6</x:v>
      </x:c>
      <x:c r="E793" t="str">
        <x:v>LEFT_05</x:v>
      </x:c>
      <x:c r="F793" t="str">
        <x:v>GoblinMelee</x:v>
      </x:c>
      <x:c r="G793" s="410" t="n">
        <x:v>27</x:v>
      </x:c>
    </x:row>
    <x:row r="794">
      <x:c r="A794" t="str">
        <x:v>Stage01</x:v>
      </x:c>
      <x:c r="B794" t="str">
        <x:v>WAVE_32</x:v>
      </x:c>
      <x:c r="C794" s="409" t="n">
        <x:v>311.99</x:v>
      </x:c>
      <x:c r="D794" s="410" t="n">
        <x:v>7</x:v>
      </x:c>
      <x:c r="E794" t="str">
        <x:v>TOP_07</x:v>
      </x:c>
      <x:c r="F794" t="str">
        <x:v>GoblinRanged</x:v>
      </x:c>
      <x:c r="G794" s="410" t="n">
        <x:v>27</x:v>
      </x:c>
    </x:row>
    <x:row r="795">
      <x:c r="A795" t="str">
        <x:v>Stage01</x:v>
      </x:c>
      <x:c r="B795" t="str">
        <x:v>WAVE_32</x:v>
      </x:c>
      <x:c r="C795" s="409" t="n">
        <x:v>312.16</x:v>
      </x:c>
      <x:c r="D795" s="410" t="n">
        <x:v>8</x:v>
      </x:c>
      <x:c r="E795" t="str">
        <x:v>RIGHT_08</x:v>
      </x:c>
      <x:c r="F795" t="str">
        <x:v>GoblinMelee</x:v>
      </x:c>
      <x:c r="G795" s="410" t="n">
        <x:v>27</x:v>
      </x:c>
    </x:row>
    <x:row r="796">
      <x:c r="A796" t="str">
        <x:v>Stage01</x:v>
      </x:c>
      <x:c r="B796" t="str">
        <x:v>WAVE_32</x:v>
      </x:c>
      <x:c r="C796" s="409" t="n">
        <x:v>312.32</x:v>
      </x:c>
      <x:c r="D796" s="410" t="n">
        <x:v>9</x:v>
      </x:c>
      <x:c r="E796" t="str">
        <x:v>BOTTOM_01</x:v>
      </x:c>
      <x:c r="F796" t="str">
        <x:v>GoblinMelee</x:v>
      </x:c>
      <x:c r="G796" s="410" t="n">
        <x:v>28</x:v>
      </x:c>
    </x:row>
    <x:row r="797">
      <x:c r="A797" t="str">
        <x:v>Stage01</x:v>
      </x:c>
      <x:c r="B797" t="str">
        <x:v>WAVE_32</x:v>
      </x:c>
      <x:c r="C797" s="409" t="n">
        <x:v>312.49</x:v>
      </x:c>
      <x:c r="D797" s="410" t="n">
        <x:v>10</x:v>
      </x:c>
      <x:c r="E797" t="str">
        <x:v>LEFT_02</x:v>
      </x:c>
      <x:c r="F797" t="str">
        <x:v>GoblinMelee</x:v>
      </x:c>
      <x:c r="G797" s="410" t="n">
        <x:v>27</x:v>
      </x:c>
    </x:row>
    <x:row r="798">
      <x:c r="A798" t="str">
        <x:v>Stage01</x:v>
      </x:c>
      <x:c r="B798" t="str">
        <x:v>WAVE_32</x:v>
      </x:c>
      <x:c r="C798" s="409" t="n">
        <x:v>312.65</x:v>
      </x:c>
      <x:c r="D798" s="410" t="n">
        <x:v>11</x:v>
      </x:c>
      <x:c r="E798" t="str">
        <x:v>TOP_04</x:v>
      </x:c>
      <x:c r="F798" t="str">
        <x:v>GoblinRanged</x:v>
      </x:c>
      <x:c r="G798" s="410" t="n">
        <x:v>27</x:v>
      </x:c>
    </x:row>
    <x:row r="799">
      <x:c r="A799" t="str">
        <x:v>Stage01</x:v>
      </x:c>
      <x:c r="B799" t="str">
        <x:v>WAVE_32</x:v>
      </x:c>
      <x:c r="C799" s="409" t="n">
        <x:v>312.82</x:v>
      </x:c>
      <x:c r="D799" s="410" t="n">
        <x:v>12</x:v>
      </x:c>
      <x:c r="E799" t="str">
        <x:v>RIGHT_05</x:v>
      </x:c>
      <x:c r="F799" t="str">
        <x:v>GoblinMelee</x:v>
      </x:c>
      <x:c r="G799" s="410" t="n">
        <x:v>27</x:v>
      </x:c>
    </x:row>
    <x:row r="800">
      <x:c r="A800" t="str">
        <x:v>Stage01</x:v>
      </x:c>
      <x:c r="B800" t="str">
        <x:v>WAVE_32</x:v>
      </x:c>
      <x:c r="C800" s="409" t="n">
        <x:v>312.98</x:v>
      </x:c>
      <x:c r="D800" s="410" t="n">
        <x:v>13</x:v>
      </x:c>
      <x:c r="E800" t="str">
        <x:v>BOTTOM_06</x:v>
      </x:c>
      <x:c r="F800" t="str">
        <x:v>GoblinMelee</x:v>
      </x:c>
      <x:c r="G800" s="410" t="n">
        <x:v>27</x:v>
      </x:c>
    </x:row>
    <x:row r="801">
      <x:c r="A801" t="str">
        <x:v>Stage01</x:v>
      </x:c>
      <x:c r="B801" t="str">
        <x:v>WAVE_32</x:v>
      </x:c>
      <x:c r="C801" s="409" t="n">
        <x:v>313.15</x:v>
      </x:c>
      <x:c r="D801" s="410" t="n">
        <x:v>14</x:v>
      </x:c>
      <x:c r="E801" t="str">
        <x:v>LEFT_07</x:v>
      </x:c>
      <x:c r="F801" t="str">
        <x:v>GoblinRanged</x:v>
      </x:c>
      <x:c r="G801" s="410" t="n">
        <x:v>27</x:v>
      </x:c>
    </x:row>
    <x:row r="802">
      <x:c r="A802" t="str">
        <x:v>Stage01</x:v>
      </x:c>
      <x:c r="B802" t="str">
        <x:v>WAVE_32</x:v>
      </x:c>
      <x:c r="C802" s="409" t="n">
        <x:v>313.32</x:v>
      </x:c>
      <x:c r="D802" s="410" t="n">
        <x:v>15</x:v>
      </x:c>
      <x:c r="E802" t="str">
        <x:v>TOP_01</x:v>
      </x:c>
      <x:c r="F802" t="str">
        <x:v>FlyingEye</x:v>
      </x:c>
      <x:c r="G802" s="410" t="n">
        <x:v>27</x:v>
      </x:c>
    </x:row>
    <x:row r="803">
      <x:c r="A803" t="str">
        <x:v>Stage01</x:v>
      </x:c>
      <x:c r="B803" t="str">
        <x:v>WAVE_32</x:v>
      </x:c>
      <x:c r="C803" s="409" t="n">
        <x:v>313.48</x:v>
      </x:c>
      <x:c r="D803" s="410" t="n">
        <x:v>16</x:v>
      </x:c>
      <x:c r="E803" t="str">
        <x:v>RIGHT_02</x:v>
      </x:c>
      <x:c r="F803" t="str">
        <x:v>GoblinMelee</x:v>
      </x:c>
      <x:c r="G803" s="410" t="n">
        <x:v>27</x:v>
      </x:c>
    </x:row>
    <x:row r="804">
      <x:c r="A804" t="str">
        <x:v>Stage01</x:v>
      </x:c>
      <x:c r="B804" t="str">
        <x:v>WAVE_32</x:v>
      </x:c>
      <x:c r="C804" s="409" t="n">
        <x:v>313.65</x:v>
      </x:c>
      <x:c r="D804" s="410" t="n">
        <x:v>17</x:v>
      </x:c>
      <x:c r="E804" t="str">
        <x:v>BOTTOM_03</x:v>
      </x:c>
      <x:c r="F804" t="str">
        <x:v>ShieldSkeleton</x:v>
      </x:c>
      <x:c r="G804" s="410" t="n">
        <x:v>27</x:v>
      </x:c>
    </x:row>
    <x:row r="805">
      <x:c r="A805" t="str">
        <x:v>Stage01</x:v>
      </x:c>
      <x:c r="B805" t="str">
        <x:v>WAVE_32</x:v>
      </x:c>
      <x:c r="C805" s="409" t="n">
        <x:v>313.81</x:v>
      </x:c>
      <x:c r="D805" s="410" t="n">
        <x:v>18</x:v>
      </x:c>
      <x:c r="E805" t="str">
        <x:v>LEFT_04</x:v>
      </x:c>
      <x:c r="F805" t="str">
        <x:v>GoblinMelee</x:v>
      </x:c>
      <x:c r="G805" s="410" t="n">
        <x:v>27</x:v>
      </x:c>
    </x:row>
    <x:row r="806">
      <x:c r="A806" t="str">
        <x:v>Stage01</x:v>
      </x:c>
      <x:c r="B806" t="str">
        <x:v>WAVE_32</x:v>
      </x:c>
      <x:c r="C806" s="409" t="n">
        <x:v>313.98</x:v>
      </x:c>
      <x:c r="D806" s="410" t="n">
        <x:v>19</x:v>
      </x:c>
      <x:c r="E806" t="str">
        <x:v>TOP_06</x:v>
      </x:c>
      <x:c r="F806" t="str">
        <x:v>GoblinRanged</x:v>
      </x:c>
      <x:c r="G806" s="410" t="n">
        <x:v>27</x:v>
      </x:c>
    </x:row>
    <x:row r="807">
      <x:c r="A807" t="str">
        <x:v>Stage01</x:v>
      </x:c>
      <x:c r="B807" t="str">
        <x:v>WAVE_32</x:v>
      </x:c>
      <x:c r="C807" s="409" t="n">
        <x:v>314.14</x:v>
      </x:c>
      <x:c r="D807" s="410" t="n">
        <x:v>20</x:v>
      </x:c>
      <x:c r="E807" t="str">
        <x:v>RIGHT_07</x:v>
      </x:c>
      <x:c r="F807" t="str">
        <x:v>GoblinMelee</x:v>
      </x:c>
      <x:c r="G807" s="410" t="n">
        <x:v>27</x:v>
      </x:c>
    </x:row>
    <x:row r="808">
      <x:c r="A808" t="str">
        <x:v>Stage01</x:v>
      </x:c>
      <x:c r="B808" t="str">
        <x:v>WAVE_32</x:v>
      </x:c>
      <x:c r="C808" s="409" t="n">
        <x:v>314.31</x:v>
      </x:c>
      <x:c r="D808" s="410" t="n">
        <x:v>21</x:v>
      </x:c>
      <x:c r="E808" t="str">
        <x:v>BOTTOM_08</x:v>
      </x:c>
      <x:c r="F808" t="str">
        <x:v>GoblinMelee</x:v>
      </x:c>
      <x:c r="G808" s="410" t="n">
        <x:v>27</x:v>
      </x:c>
    </x:row>
    <x:row r="809">
      <x:c r="A809" t="str">
        <x:v>Stage01</x:v>
      </x:c>
      <x:c r="B809" t="str">
        <x:v>WAVE_32</x:v>
      </x:c>
      <x:c r="C809" s="409" t="n">
        <x:v>314.47</x:v>
      </x:c>
      <x:c r="D809" s="410" t="n">
        <x:v>22</x:v>
      </x:c>
      <x:c r="E809" t="str">
        <x:v>LEFT_01</x:v>
      </x:c>
      <x:c r="F809" t="str">
        <x:v>GoblinMelee</x:v>
      </x:c>
      <x:c r="G809" s="410" t="n">
        <x:v>27</x:v>
      </x:c>
    </x:row>
    <x:row r="810">
      <x:c r="A810" t="str">
        <x:v>Stage01</x:v>
      </x:c>
      <x:c r="B810" t="str">
        <x:v>WAVE_32</x:v>
      </x:c>
      <x:c r="C810" s="409" t="n">
        <x:v>314.64</x:v>
      </x:c>
      <x:c r="D810" s="410" t="n">
        <x:v>23</x:v>
      </x:c>
      <x:c r="E810" t="str">
        <x:v>TOP_03</x:v>
      </x:c>
      <x:c r="F810" t="str">
        <x:v>GoblinRanged</x:v>
      </x:c>
      <x:c r="G810" s="410" t="n">
        <x:v>27</x:v>
      </x:c>
    </x:row>
    <x:row r="811">
      <x:c r="A811" t="str">
        <x:v>Stage01</x:v>
      </x:c>
      <x:c r="B811" t="str">
        <x:v>WAVE_32</x:v>
      </x:c>
      <x:c r="C811" s="409" t="n">
        <x:v>314.8</x:v>
      </x:c>
      <x:c r="D811" s="410" t="n">
        <x:v>24</x:v>
      </x:c>
      <x:c r="E811" t="str">
        <x:v>RIGHT_04</x:v>
      </x:c>
      <x:c r="F811" t="str">
        <x:v>GoblinMelee</x:v>
      </x:c>
      <x:c r="G811" s="410" t="n">
        <x:v>27</x:v>
      </x:c>
    </x:row>
    <x:row r="812">
      <x:c r="A812" t="str">
        <x:v>Stage01</x:v>
      </x:c>
      <x:c r="B812" t="str">
        <x:v>WAVE_32</x:v>
      </x:c>
      <x:c r="C812" s="409" t="n">
        <x:v>314.97</x:v>
      </x:c>
      <x:c r="D812" s="410" t="n">
        <x:v>25</x:v>
      </x:c>
      <x:c r="E812" t="str">
        <x:v>BOTTOM_05</x:v>
      </x:c>
      <x:c r="F812" t="str">
        <x:v>GoblinMelee</x:v>
      </x:c>
      <x:c r="G812" s="410" t="n">
        <x:v>27</x:v>
      </x:c>
    </x:row>
    <x:row r="813">
      <x:c r="A813" t="str">
        <x:v>Stage01</x:v>
      </x:c>
      <x:c r="B813" t="str">
        <x:v>WAVE_32</x:v>
      </x:c>
      <x:c r="C813" s="409" t="n">
        <x:v>315.13</x:v>
      </x:c>
      <x:c r="D813" s="410" t="n">
        <x:v>26</x:v>
      </x:c>
      <x:c r="E813" t="str">
        <x:v>LEFT_06</x:v>
      </x:c>
      <x:c r="F813" t="str">
        <x:v>ShieldSkeleton</x:v>
      </x:c>
      <x:c r="G813" s="410" t="n">
        <x:v>27</x:v>
      </x:c>
    </x:row>
    <x:row r="814">
      <x:c r="A814" t="str">
        <x:v>Stage01</x:v>
      </x:c>
      <x:c r="B814" t="str">
        <x:v>WAVE_32</x:v>
      </x:c>
      <x:c r="C814" s="409" t="n">
        <x:v>315.3</x:v>
      </x:c>
      <x:c r="D814" s="410" t="n">
        <x:v>27</x:v>
      </x:c>
      <x:c r="E814" t="str">
        <x:v>TOP_08</x:v>
      </x:c>
      <x:c r="F814" t="str">
        <x:v>GoblinMelee</x:v>
      </x:c>
      <x:c r="G814" s="410" t="n">
        <x:v>28</x:v>
      </x:c>
    </x:row>
    <x:row r="815">
      <x:c r="A815" t="str">
        <x:v>Stage01</x:v>
      </x:c>
      <x:c r="B815" t="str">
        <x:v>WAVE_32</x:v>
      </x:c>
      <x:c r="C815" s="409" t="n">
        <x:v>315.47</x:v>
      </x:c>
      <x:c r="D815" s="410" t="n">
        <x:v>28</x:v>
      </x:c>
      <x:c r="E815" t="str">
        <x:v>RIGHT_01</x:v>
      </x:c>
      <x:c r="F815" t="str">
        <x:v>GoblinRanged</x:v>
      </x:c>
      <x:c r="G815" s="410" t="n">
        <x:v>27</x:v>
      </x:c>
    </x:row>
    <x:row r="816">
      <x:c r="A816" t="str">
        <x:v>Stage01</x:v>
      </x:c>
      <x:c r="B816" t="str">
        <x:v>WAVE_32</x:v>
      </x:c>
      <x:c r="C816" s="409" t="n">
        <x:v>315.63</x:v>
      </x:c>
      <x:c r="D816" s="410" t="n">
        <x:v>29</x:v>
      </x:c>
      <x:c r="E816" t="str">
        <x:v>BOTTOM_02</x:v>
      </x:c>
      <x:c r="F816" t="str">
        <x:v>GoblinMelee</x:v>
      </x:c>
      <x:c r="G816" s="410" t="n">
        <x:v>27</x:v>
      </x:c>
    </x:row>
    <x:row r="817">
      <x:c r="A817" t="str">
        <x:v>Stage01</x:v>
      </x:c>
      <x:c r="B817" t="str">
        <x:v>WAVE_32</x:v>
      </x:c>
      <x:c r="C817" s="409" t="n">
        <x:v>315.8</x:v>
      </x:c>
      <x:c r="D817" s="410" t="n">
        <x:v>30</x:v>
      </x:c>
      <x:c r="E817" t="str">
        <x:v>LEFT_03</x:v>
      </x:c>
      <x:c r="F817" t="str">
        <x:v>FlyingEye</x:v>
      </x:c>
      <x:c r="G817" s="410" t="n">
        <x:v>27</x:v>
      </x:c>
    </x:row>
    <x:row r="818">
      <x:c r="A818" t="str">
        <x:v>Stage01</x:v>
      </x:c>
      <x:c r="B818" t="str">
        <x:v>WAVE_32</x:v>
      </x:c>
      <x:c r="C818" s="409" t="n">
        <x:v>315.96</x:v>
      </x:c>
      <x:c r="D818" s="410" t="n">
        <x:v>31</x:v>
      </x:c>
      <x:c r="E818" t="str">
        <x:v>TOP_05</x:v>
      </x:c>
      <x:c r="F818" t="str">
        <x:v>GoblinRanged</x:v>
      </x:c>
      <x:c r="G818" s="410" t="n">
        <x:v>27</x:v>
      </x:c>
    </x:row>
    <x:row r="819">
      <x:c r="A819" t="str">
        <x:v>Stage01</x:v>
      </x:c>
      <x:c r="B819" t="str">
        <x:v>WAVE_32</x:v>
      </x:c>
      <x:c r="C819" s="409" t="n">
        <x:v>316.13</x:v>
      </x:c>
      <x:c r="D819" s="410" t="n">
        <x:v>32</x:v>
      </x:c>
      <x:c r="E819" t="str">
        <x:v>RIGHT_06</x:v>
      </x:c>
      <x:c r="F819" t="str">
        <x:v>GoblinMelee</x:v>
      </x:c>
      <x:c r="G819" s="410" t="n">
        <x:v>27</x:v>
      </x:c>
    </x:row>
    <x:row r="820">
      <x:c r="A820" t="str">
        <x:v>Stage01</x:v>
      </x:c>
      <x:c r="B820" t="str">
        <x:v>WAVE_32</x:v>
      </x:c>
      <x:c r="C820" s="409" t="n">
        <x:v>316.29</x:v>
      </x:c>
      <x:c r="D820" s="410" t="n">
        <x:v>33</x:v>
      </x:c>
      <x:c r="E820" t="str">
        <x:v>BOTTOM_07</x:v>
      </x:c>
      <x:c r="F820" t="str">
        <x:v>GoblinMelee</x:v>
      </x:c>
      <x:c r="G820" s="410" t="n">
        <x:v>27</x:v>
      </x:c>
    </x:row>
    <x:row r="821">
      <x:c r="A821" t="str">
        <x:v>Stage01</x:v>
      </x:c>
      <x:c r="B821" t="str">
        <x:v>WAVE_32</x:v>
      </x:c>
      <x:c r="C821" s="409" t="n">
        <x:v>316.46</x:v>
      </x:c>
      <x:c r="D821" s="410" t="n">
        <x:v>34</x:v>
      </x:c>
      <x:c r="E821" t="str">
        <x:v>LEFT_08</x:v>
      </x:c>
      <x:c r="F821" t="str">
        <x:v>GoblinMelee</x:v>
      </x:c>
      <x:c r="G821" s="410" t="n">
        <x:v>27</x:v>
      </x:c>
    </x:row>
    <x:row r="822">
      <x:c r="A822" t="str">
        <x:v>Stage01</x:v>
      </x:c>
      <x:c r="B822" t="str">
        <x:v>WAVE_32</x:v>
      </x:c>
      <x:c r="C822" s="409" t="n">
        <x:v>316.62</x:v>
      </x:c>
      <x:c r="D822" s="410" t="n">
        <x:v>35</x:v>
      </x:c>
      <x:c r="E822" t="str">
        <x:v>TOP_02</x:v>
      </x:c>
      <x:c r="F822" t="str">
        <x:v>GoblinRanged</x:v>
      </x:c>
      <x:c r="G822" s="410" t="n">
        <x:v>27</x:v>
      </x:c>
    </x:row>
    <x:row r="823">
      <x:c r="A823" t="str">
        <x:v>Stage01</x:v>
      </x:c>
      <x:c r="B823" t="str">
        <x:v>WAVE_32</x:v>
      </x:c>
      <x:c r="C823" s="409" t="n">
        <x:v>316.79</x:v>
      </x:c>
      <x:c r="D823" s="410" t="n">
        <x:v>36</x:v>
      </x:c>
      <x:c r="E823" t="str">
        <x:v>RIGHT_03</x:v>
      </x:c>
      <x:c r="F823" t="str">
        <x:v>GoblinMelee</x:v>
      </x:c>
      <x:c r="G823" s="410" t="n">
        <x:v>27</x:v>
      </x:c>
    </x:row>
    <x:row r="824">
      <x:c r="A824" t="str">
        <x:v>Stage01</x:v>
      </x:c>
      <x:c r="B824" t="str">
        <x:v>WAVE_32</x:v>
      </x:c>
      <x:c r="C824" s="409" t="n">
        <x:v>316.95</x:v>
      </x:c>
      <x:c r="D824" s="410" t="n">
        <x:v>37</x:v>
      </x:c>
      <x:c r="E824" t="str">
        <x:v>BOTTOM_04</x:v>
      </x:c>
      <x:c r="F824" t="str">
        <x:v>ShieldSkeleton</x:v>
      </x:c>
      <x:c r="G824" s="410" t="n">
        <x:v>27</x:v>
      </x:c>
    </x:row>
    <x:row r="825">
      <x:c r="A825" t="str">
        <x:v>Stage01</x:v>
      </x:c>
      <x:c r="B825" t="str">
        <x:v>WAVE_32</x:v>
      </x:c>
      <x:c r="C825" s="409" t="n">
        <x:v>317.12</x:v>
      </x:c>
      <x:c r="D825" s="410" t="n">
        <x:v>38</x:v>
      </x:c>
      <x:c r="E825" t="str">
        <x:v>LEFT_05</x:v>
      </x:c>
      <x:c r="F825" t="str">
        <x:v>GoblinMelee</x:v>
      </x:c>
      <x:c r="G825" s="410" t="n">
        <x:v>27</x:v>
      </x:c>
    </x:row>
    <x:row r="826">
      <x:c r="A826" t="str">
        <x:v>Stage01</x:v>
      </x:c>
      <x:c r="B826" t="str">
        <x:v>WAVE_32</x:v>
      </x:c>
      <x:c r="C826" s="409" t="n">
        <x:v>317.28</x:v>
      </x:c>
      <x:c r="D826" s="410" t="n">
        <x:v>39</x:v>
      </x:c>
      <x:c r="E826" t="str">
        <x:v>TOP_07</x:v>
      </x:c>
      <x:c r="F826" t="str">
        <x:v>GoblinMelee</x:v>
      </x:c>
      <x:c r="G826" s="410" t="n">
        <x:v>27</x:v>
      </x:c>
    </x:row>
    <x:row r="827">
      <x:c r="A827" t="str">
        <x:v>Stage01</x:v>
      </x:c>
      <x:c r="B827" t="str">
        <x:v>WAVE_32</x:v>
      </x:c>
      <x:c r="C827" s="409" t="n">
        <x:v>317.45</x:v>
      </x:c>
      <x:c r="D827" s="410" t="n">
        <x:v>40</x:v>
      </x:c>
      <x:c r="E827" t="str">
        <x:v>RIGHT_08</x:v>
      </x:c>
      <x:c r="F827" t="str">
        <x:v>GoblinRanged</x:v>
      </x:c>
      <x:c r="G827" s="410" t="n">
        <x:v>27</x:v>
      </x:c>
    </x:row>
    <x:row r="828">
      <x:c r="A828" t="str">
        <x:v>Stage01</x:v>
      </x:c>
      <x:c r="B828" t="str">
        <x:v>WAVE_32</x:v>
      </x:c>
      <x:c r="C828" s="409" t="n">
        <x:v>317.62</x:v>
      </x:c>
      <x:c r="D828" s="410" t="n">
        <x:v>41</x:v>
      </x:c>
      <x:c r="E828" t="str">
        <x:v>BOTTOM_01</x:v>
      </x:c>
      <x:c r="F828" t="str">
        <x:v>GoblinMelee</x:v>
      </x:c>
      <x:c r="G828" s="410" t="n">
        <x:v>27</x:v>
      </x:c>
    </x:row>
    <x:row r="829">
      <x:c r="A829" t="str">
        <x:v>Stage01</x:v>
      </x:c>
      <x:c r="B829" t="str">
        <x:v>WAVE_32</x:v>
      </x:c>
      <x:c r="C829" s="409" t="n">
        <x:v>317.78</x:v>
      </x:c>
      <x:c r="D829" s="410" t="n">
        <x:v>42</x:v>
      </x:c>
      <x:c r="E829" t="str">
        <x:v>LEFT_02</x:v>
      </x:c>
      <x:c r="F829" t="str">
        <x:v>GoblinMelee</x:v>
      </x:c>
      <x:c r="G829" s="410" t="n">
        <x:v>27</x:v>
      </x:c>
    </x:row>
    <x:row r="830">
      <x:c r="A830" t="str">
        <x:v>Stage01</x:v>
      </x:c>
      <x:c r="B830" t="str">
        <x:v>WAVE_32</x:v>
      </x:c>
      <x:c r="C830" s="409" t="n">
        <x:v>317.95</x:v>
      </x:c>
      <x:c r="D830" s="410" t="n">
        <x:v>43</x:v>
      </x:c>
      <x:c r="E830" t="str">
        <x:v>TOP_04</x:v>
      </x:c>
      <x:c r="F830" t="str">
        <x:v>GoblinRanged</x:v>
      </x:c>
      <x:c r="G830" s="410" t="n">
        <x:v>27</x:v>
      </x:c>
    </x:row>
    <x:row r="831">
      <x:c r="A831" t="str">
        <x:v>Stage01</x:v>
      </x:c>
      <x:c r="B831" t="str">
        <x:v>WAVE_32</x:v>
      </x:c>
      <x:c r="C831" s="409" t="n">
        <x:v>318.11</x:v>
      </x:c>
      <x:c r="D831" s="410" t="n">
        <x:v>44</x:v>
      </x:c>
      <x:c r="E831" t="str">
        <x:v>RIGHT_05</x:v>
      </x:c>
      <x:c r="F831" t="str">
        <x:v>GoblinMelee</x:v>
      </x:c>
      <x:c r="G831" s="410" t="n">
        <x:v>27</x:v>
      </x:c>
    </x:row>
    <x:row r="832">
      <x:c r="A832" t="str">
        <x:v>Stage01</x:v>
      </x:c>
      <x:c r="B832" t="str">
        <x:v>WAVE_32</x:v>
      </x:c>
      <x:c r="C832" s="409" t="n">
        <x:v>318.28</x:v>
      </x:c>
      <x:c r="D832" s="410" t="n">
        <x:v>45</x:v>
      </x:c>
      <x:c r="E832" t="str">
        <x:v>BOTTOM_06</x:v>
      </x:c>
      <x:c r="F832" t="str">
        <x:v>FlyingEye</x:v>
      </x:c>
      <x:c r="G832" s="410" t="n">
        <x:v>28</x:v>
      </x:c>
    </x:row>
    <x:row r="833">
      <x:c r="A833" t="str">
        <x:v>Stage01</x:v>
      </x:c>
      <x:c r="B833" t="str">
        <x:v>WAVE_32</x:v>
      </x:c>
      <x:c r="C833" s="409" t="n">
        <x:v>318.44</x:v>
      </x:c>
      <x:c r="D833" s="410" t="n">
        <x:v>46</x:v>
      </x:c>
      <x:c r="E833" t="str">
        <x:v>LEFT_07</x:v>
      </x:c>
      <x:c r="F833" t="str">
        <x:v>GoblinMelee</x:v>
      </x:c>
      <x:c r="G833" s="410" t="n">
        <x:v>27</x:v>
      </x:c>
    </x:row>
    <x:row r="834">
      <x:c r="A834" t="str">
        <x:v>Stage01</x:v>
      </x:c>
      <x:c r="B834" t="str">
        <x:v>WAVE_32</x:v>
      </x:c>
      <x:c r="C834" s="409" t="n">
        <x:v>318.61</x:v>
      </x:c>
      <x:c r="D834" s="410" t="n">
        <x:v>47</x:v>
      </x:c>
      <x:c r="E834" t="str">
        <x:v>TOP_01</x:v>
      </x:c>
      <x:c r="F834" t="str">
        <x:v>GoblinRanged</x:v>
      </x:c>
      <x:c r="G834" s="410" t="n">
        <x:v>27</x:v>
      </x:c>
    </x:row>
    <x:row r="835">
      <x:c r="A835" t="str">
        <x:v>Stage01</x:v>
      </x:c>
      <x:c r="B835" t="str">
        <x:v>WAVE_32</x:v>
      </x:c>
      <x:c r="C835" s="409" t="n">
        <x:v>318.77</x:v>
      </x:c>
      <x:c r="D835" s="410" t="n">
        <x:v>48</x:v>
      </x:c>
      <x:c r="E835" t="str">
        <x:v>RIGHT_02</x:v>
      </x:c>
      <x:c r="F835" t="str">
        <x:v>GoblinMelee</x:v>
      </x:c>
      <x:c r="G835" s="410" t="n">
        <x:v>27</x:v>
      </x:c>
    </x:row>
    <x:row r="836">
      <x:c r="A836" t="str">
        <x:v>Stage01</x:v>
      </x:c>
      <x:c r="B836" t="str">
        <x:v>WAVE_32</x:v>
      </x:c>
      <x:c r="C836" s="409" t="n">
        <x:v>318.94</x:v>
      </x:c>
      <x:c r="D836" s="410" t="n">
        <x:v>49</x:v>
      </x:c>
      <x:c r="E836" t="str">
        <x:v>BOTTOM_03</x:v>
      </x:c>
      <x:c r="F836" t="str">
        <x:v>ShieldSkeleton</x:v>
      </x:c>
      <x:c r="G836" s="410" t="n">
        <x:v>27</x:v>
      </x:c>
    </x:row>
    <x:row r="837">
      <x:c r="A837" t="str">
        <x:v>Stage01</x:v>
      </x:c>
      <x:c r="B837" t="str">
        <x:v>WAVE_32</x:v>
      </x:c>
      <x:c r="C837" s="409" t="n">
        <x:v>319.1</x:v>
      </x:c>
      <x:c r="D837" s="410" t="n">
        <x:v>50</x:v>
      </x:c>
      <x:c r="E837" t="str">
        <x:v>LEFT_04</x:v>
      </x:c>
      <x:c r="F837" t="str">
        <x:v>GoblinMelee</x:v>
      </x:c>
      <x:c r="G837" s="410" t="n">
        <x:v>27</x:v>
      </x:c>
    </x:row>
    <x:row r="838">
      <x:c r="A838" t="str">
        <x:v>Stage01</x:v>
      </x:c>
      <x:c r="B838" t="str">
        <x:v>WAVE_32</x:v>
      </x:c>
      <x:c r="C838" s="409" t="n">
        <x:v>319.27</x:v>
      </x:c>
      <x:c r="D838" s="410" t="n">
        <x:v>51</x:v>
      </x:c>
      <x:c r="E838" t="str">
        <x:v>TOP_06</x:v>
      </x:c>
      <x:c r="F838" t="str">
        <x:v>GoblinMelee</x:v>
      </x:c>
      <x:c r="G838" s="410" t="n">
        <x:v>27</x:v>
      </x:c>
    </x:row>
    <x:row r="839">
      <x:c r="A839" t="str">
        <x:v>Stage01</x:v>
      </x:c>
      <x:c r="B839" t="str">
        <x:v>WAVE_32</x:v>
      </x:c>
      <x:c r="C839" s="409" t="n">
        <x:v>319.43</x:v>
      </x:c>
      <x:c r="D839" s="410" t="n">
        <x:v>52</x:v>
      </x:c>
      <x:c r="E839" t="str">
        <x:v>RIGHT_07</x:v>
      </x:c>
      <x:c r="F839" t="str">
        <x:v>GoblinRanged</x:v>
      </x:c>
      <x:c r="G839" s="410" t="n">
        <x:v>27</x:v>
      </x:c>
    </x:row>
    <x:row r="840">
      <x:c r="A840" t="str">
        <x:v>Stage01</x:v>
      </x:c>
      <x:c r="B840" t="str">
        <x:v>WAVE_32</x:v>
      </x:c>
      <x:c r="C840" s="409" t="n">
        <x:v>319.6</x:v>
      </x:c>
      <x:c r="D840" s="410" t="n">
        <x:v>53</x:v>
      </x:c>
      <x:c r="E840" t="str">
        <x:v>BOTTOM_08</x:v>
      </x:c>
      <x:c r="F840" t="str">
        <x:v>GoblinMelee</x:v>
      </x:c>
      <x:c r="G840" s="410" t="n">
        <x:v>27</x:v>
      </x:c>
    </x:row>
    <x:row r="841">
      <x:c r="A841" t="str">
        <x:v>Stage01</x:v>
      </x:c>
      <x:c r="B841" t="str">
        <x:v>WAVE_33</x:v>
      </x:c>
      <x:c r="C841" s="409" t="n">
        <x:v>321</x:v>
      </x:c>
      <x:c r="D841" s="410" t="n">
        <x:v>1</x:v>
      </x:c>
      <x:c r="E841" t="str">
        <x:v>BOTTOM_03</x:v>
      </x:c>
      <x:c r="F841" t="str">
        <x:v>GoblinMelee</x:v>
      </x:c>
      <x:c r="G841" s="410" t="n">
        <x:v>27</x:v>
      </x:c>
    </x:row>
    <x:row r="842">
      <x:c r="A842" t="str">
        <x:v>Stage01</x:v>
      </x:c>
      <x:c r="B842" t="str">
        <x:v>WAVE_33</x:v>
      </x:c>
      <x:c r="C842" s="409" t="n">
        <x:v>321.16</x:v>
      </x:c>
      <x:c r="D842" s="410" t="n">
        <x:v>2</x:v>
      </x:c>
      <x:c r="E842" t="str">
        <x:v>LEFT_04</x:v>
      </x:c>
      <x:c r="F842" t="str">
        <x:v>GoblinRanged</x:v>
      </x:c>
      <x:c r="G842" s="410" t="n">
        <x:v>27</x:v>
      </x:c>
    </x:row>
    <x:row r="843">
      <x:c r="A843" t="str">
        <x:v>Stage01</x:v>
      </x:c>
      <x:c r="B843" t="str">
        <x:v>WAVE_33</x:v>
      </x:c>
      <x:c r="C843" s="409" t="n">
        <x:v>321.32</x:v>
      </x:c>
      <x:c r="D843" s="410" t="n">
        <x:v>3</x:v>
      </x:c>
      <x:c r="E843" t="str">
        <x:v>TOP_06</x:v>
      </x:c>
      <x:c r="F843" t="str">
        <x:v>GoblinMelee</x:v>
      </x:c>
      <x:c r="G843" s="410" t="n">
        <x:v>27</x:v>
      </x:c>
    </x:row>
    <x:row r="844">
      <x:c r="A844" t="str">
        <x:v>Stage01</x:v>
      </x:c>
      <x:c r="B844" t="str">
        <x:v>WAVE_33</x:v>
      </x:c>
      <x:c r="C844" s="409" t="n">
        <x:v>321.48</x:v>
      </x:c>
      <x:c r="D844" s="410" t="n">
        <x:v>4</x:v>
      </x:c>
      <x:c r="E844" t="str">
        <x:v>RIGHT_07</x:v>
      </x:c>
      <x:c r="F844" t="str">
        <x:v>GoblinMelee</x:v>
      </x:c>
      <x:c r="G844" s="410" t="n">
        <x:v>27</x:v>
      </x:c>
    </x:row>
    <x:row r="845">
      <x:c r="A845" t="str">
        <x:v>Stage01</x:v>
      </x:c>
      <x:c r="B845" t="str">
        <x:v>WAVE_33</x:v>
      </x:c>
      <x:c r="C845" s="409" t="n">
        <x:v>321.64</x:v>
      </x:c>
      <x:c r="D845" s="410" t="n">
        <x:v>5</x:v>
      </x:c>
      <x:c r="E845" t="str">
        <x:v>BOTTOM_08</x:v>
      </x:c>
      <x:c r="F845" t="str">
        <x:v>ShieldSkeleton</x:v>
      </x:c>
      <x:c r="G845" s="410" t="n">
        <x:v>27</x:v>
      </x:c>
    </x:row>
    <x:row r="846">
      <x:c r="A846" t="str">
        <x:v>Stage01</x:v>
      </x:c>
      <x:c r="B846" t="str">
        <x:v>WAVE_33</x:v>
      </x:c>
      <x:c r="C846" s="409" t="n">
        <x:v>321.8</x:v>
      </x:c>
      <x:c r="D846" s="410" t="n">
        <x:v>6</x:v>
      </x:c>
      <x:c r="E846" t="str">
        <x:v>LEFT_01</x:v>
      </x:c>
      <x:c r="F846" t="str">
        <x:v>GoblinMelee</x:v>
      </x:c>
      <x:c r="G846" s="410" t="n">
        <x:v>28</x:v>
      </x:c>
    </x:row>
    <x:row r="847">
      <x:c r="A847" t="str">
        <x:v>Stage01</x:v>
      </x:c>
      <x:c r="B847" t="str">
        <x:v>WAVE_33</x:v>
      </x:c>
      <x:c r="C847" s="409" t="n">
        <x:v>321.96</x:v>
      </x:c>
      <x:c r="D847" s="410" t="n">
        <x:v>7</x:v>
      </x:c>
      <x:c r="E847" t="str">
        <x:v>TOP_03</x:v>
      </x:c>
      <x:c r="F847" t="str">
        <x:v>GoblinRanged</x:v>
      </x:c>
      <x:c r="G847" s="410" t="n">
        <x:v>27</x:v>
      </x:c>
    </x:row>
    <x:row r="848">
      <x:c r="A848" t="str">
        <x:v>Stage01</x:v>
      </x:c>
      <x:c r="B848" t="str">
        <x:v>WAVE_33</x:v>
      </x:c>
      <x:c r="C848" s="409" t="n">
        <x:v>322.11</x:v>
      </x:c>
      <x:c r="D848" s="410" t="n">
        <x:v>8</x:v>
      </x:c>
      <x:c r="E848" t="str">
        <x:v>RIGHT_04</x:v>
      </x:c>
      <x:c r="F848" t="str">
        <x:v>GoblinMelee</x:v>
      </x:c>
      <x:c r="G848" s="410" t="n">
        <x:v>27</x:v>
      </x:c>
    </x:row>
    <x:row r="849">
      <x:c r="A849" t="str">
        <x:v>Stage01</x:v>
      </x:c>
      <x:c r="B849" t="str">
        <x:v>WAVE_33</x:v>
      </x:c>
      <x:c r="C849" s="409" t="n">
        <x:v>322.27</x:v>
      </x:c>
      <x:c r="D849" s="410" t="n">
        <x:v>9</x:v>
      </x:c>
      <x:c r="E849" t="str">
        <x:v>BOTTOM_05</x:v>
      </x:c>
      <x:c r="F849" t="str">
        <x:v>GoblinMelee</x:v>
      </x:c>
      <x:c r="G849" s="410" t="n">
        <x:v>27</x:v>
      </x:c>
    </x:row>
    <x:row r="850">
      <x:c r="A850" t="str">
        <x:v>Stage01</x:v>
      </x:c>
      <x:c r="B850" t="str">
        <x:v>WAVE_33</x:v>
      </x:c>
      <x:c r="C850" s="409" t="n">
        <x:v>322.43</x:v>
      </x:c>
      <x:c r="D850" s="410" t="n">
        <x:v>10</x:v>
      </x:c>
      <x:c r="E850" t="str">
        <x:v>LEFT_06</x:v>
      </x:c>
      <x:c r="F850" t="str">
        <x:v>GoblinMelee</x:v>
      </x:c>
      <x:c r="G850" s="410" t="n">
        <x:v>27</x:v>
      </x:c>
    </x:row>
    <x:row r="851">
      <x:c r="A851" t="str">
        <x:v>Stage01</x:v>
      </x:c>
      <x:c r="B851" t="str">
        <x:v>WAVE_33</x:v>
      </x:c>
      <x:c r="C851" s="409" t="n">
        <x:v>322.59</x:v>
      </x:c>
      <x:c r="D851" s="410" t="n">
        <x:v>11</x:v>
      </x:c>
      <x:c r="E851" t="str">
        <x:v>TOP_08</x:v>
      </x:c>
      <x:c r="F851" t="str">
        <x:v>GoblinRanged</x:v>
      </x:c>
      <x:c r="G851" s="410" t="n">
        <x:v>27</x:v>
      </x:c>
    </x:row>
    <x:row r="852">
      <x:c r="A852" t="str">
        <x:v>Stage01</x:v>
      </x:c>
      <x:c r="B852" t="str">
        <x:v>WAVE_33</x:v>
      </x:c>
      <x:c r="C852" s="409" t="n">
        <x:v>322.75</x:v>
      </x:c>
      <x:c r="D852" s="410" t="n">
        <x:v>12</x:v>
      </x:c>
      <x:c r="E852" t="str">
        <x:v>RIGHT_01</x:v>
      </x:c>
      <x:c r="F852" t="str">
        <x:v>GoblinMelee</x:v>
      </x:c>
      <x:c r="G852" s="410" t="n">
        <x:v>27</x:v>
      </x:c>
    </x:row>
    <x:row r="853">
      <x:c r="A853" t="str">
        <x:v>Stage01</x:v>
      </x:c>
      <x:c r="B853" t="str">
        <x:v>WAVE_33</x:v>
      </x:c>
      <x:c r="C853" s="409" t="n">
        <x:v>322.91</x:v>
      </x:c>
      <x:c r="D853" s="410" t="n">
        <x:v>13</x:v>
      </x:c>
      <x:c r="E853" t="str">
        <x:v>BOTTOM_02</x:v>
      </x:c>
      <x:c r="F853" t="str">
        <x:v>GoblinMelee</x:v>
      </x:c>
      <x:c r="G853" s="410" t="n">
        <x:v>27</x:v>
      </x:c>
    </x:row>
    <x:row r="854">
      <x:c r="A854" t="str">
        <x:v>Stage01</x:v>
      </x:c>
      <x:c r="B854" t="str">
        <x:v>WAVE_33</x:v>
      </x:c>
      <x:c r="C854" s="409" t="n">
        <x:v>323.07</x:v>
      </x:c>
      <x:c r="D854" s="410" t="n">
        <x:v>14</x:v>
      </x:c>
      <x:c r="E854" t="str">
        <x:v>LEFT_03</x:v>
      </x:c>
      <x:c r="F854" t="str">
        <x:v>ShieldSkeleton</x:v>
      </x:c>
      <x:c r="G854" s="410" t="n">
        <x:v>27</x:v>
      </x:c>
    </x:row>
    <x:row r="855">
      <x:c r="A855" t="str">
        <x:v>Stage01</x:v>
      </x:c>
      <x:c r="B855" t="str">
        <x:v>WAVE_33</x:v>
      </x:c>
      <x:c r="C855" s="409" t="n">
        <x:v>323.23</x:v>
      </x:c>
      <x:c r="D855" s="410" t="n">
        <x:v>15</x:v>
      </x:c>
      <x:c r="E855" t="str">
        <x:v>TOP_05</x:v>
      </x:c>
      <x:c r="F855" t="str">
        <x:v>FlyingEye</x:v>
      </x:c>
      <x:c r="G855" s="410" t="n">
        <x:v>27</x:v>
      </x:c>
    </x:row>
    <x:row r="856">
      <x:c r="A856" t="str">
        <x:v>Stage01</x:v>
      </x:c>
      <x:c r="B856" t="str">
        <x:v>WAVE_33</x:v>
      </x:c>
      <x:c r="C856" s="409" t="n">
        <x:v>323.39</x:v>
      </x:c>
      <x:c r="D856" s="410" t="n">
        <x:v>16</x:v>
      </x:c>
      <x:c r="E856" t="str">
        <x:v>RIGHT_06</x:v>
      </x:c>
      <x:c r="F856" t="str">
        <x:v>GoblinRanged</x:v>
      </x:c>
      <x:c r="G856" s="410" t="n">
        <x:v>27</x:v>
      </x:c>
    </x:row>
    <x:row r="857">
      <x:c r="A857" t="str">
        <x:v>Stage01</x:v>
      </x:c>
      <x:c r="B857" t="str">
        <x:v>WAVE_33</x:v>
      </x:c>
      <x:c r="C857" s="409" t="n">
        <x:v>323.55</x:v>
      </x:c>
      <x:c r="D857" s="410" t="n">
        <x:v>17</x:v>
      </x:c>
      <x:c r="E857" t="str">
        <x:v>BOTTOM_07</x:v>
      </x:c>
      <x:c r="F857" t="str">
        <x:v>GoblinMelee</x:v>
      </x:c>
      <x:c r="G857" s="410" t="n">
        <x:v>28</x:v>
      </x:c>
    </x:row>
    <x:row r="858">
      <x:c r="A858" t="str">
        <x:v>Stage01</x:v>
      </x:c>
      <x:c r="B858" t="str">
        <x:v>WAVE_33</x:v>
      </x:c>
      <x:c r="C858" s="409" t="n">
        <x:v>323.71</x:v>
      </x:c>
      <x:c r="D858" s="410" t="n">
        <x:v>18</x:v>
      </x:c>
      <x:c r="E858" t="str">
        <x:v>LEFT_08</x:v>
      </x:c>
      <x:c r="F858" t="str">
        <x:v>GoblinMelee</x:v>
      </x:c>
      <x:c r="G858" s="410" t="n">
        <x:v>27</x:v>
      </x:c>
    </x:row>
    <x:row r="859">
      <x:c r="A859" t="str">
        <x:v>Stage01</x:v>
      </x:c>
      <x:c r="B859" t="str">
        <x:v>WAVE_33</x:v>
      </x:c>
      <x:c r="C859" s="409" t="n">
        <x:v>323.87</x:v>
      </x:c>
      <x:c r="D859" s="410" t="n">
        <x:v>19</x:v>
      </x:c>
      <x:c r="E859" t="str">
        <x:v>TOP_02</x:v>
      </x:c>
      <x:c r="F859" t="str">
        <x:v>GoblinRanged</x:v>
      </x:c>
      <x:c r="G859" s="410" t="n">
        <x:v>27</x:v>
      </x:c>
    </x:row>
    <x:row r="860">
      <x:c r="A860" t="str">
        <x:v>Stage01</x:v>
      </x:c>
      <x:c r="B860" t="str">
        <x:v>WAVE_33</x:v>
      </x:c>
      <x:c r="C860" s="409" t="n">
        <x:v>324.03</x:v>
      </x:c>
      <x:c r="D860" s="410" t="n">
        <x:v>20</x:v>
      </x:c>
      <x:c r="E860" t="str">
        <x:v>RIGHT_03</x:v>
      </x:c>
      <x:c r="F860" t="str">
        <x:v>GoblinMelee</x:v>
      </x:c>
      <x:c r="G860" s="410" t="n">
        <x:v>27</x:v>
      </x:c>
    </x:row>
    <x:row r="861">
      <x:c r="A861" t="str">
        <x:v>Stage01</x:v>
      </x:c>
      <x:c r="B861" t="str">
        <x:v>WAVE_33</x:v>
      </x:c>
      <x:c r="C861" s="409" t="n">
        <x:v>324.19</x:v>
      </x:c>
      <x:c r="D861" s="410" t="n">
        <x:v>21</x:v>
      </x:c>
      <x:c r="E861" t="str">
        <x:v>BOTTOM_04</x:v>
      </x:c>
      <x:c r="F861" t="str">
        <x:v>GoblinMelee</x:v>
      </x:c>
      <x:c r="G861" s="410" t="n">
        <x:v>27</x:v>
      </x:c>
    </x:row>
    <x:row r="862">
      <x:c r="A862" t="str">
        <x:v>Stage01</x:v>
      </x:c>
      <x:c r="B862" t="str">
        <x:v>WAVE_33</x:v>
      </x:c>
      <x:c r="C862" s="409" t="n">
        <x:v>324.34</x:v>
      </x:c>
      <x:c r="D862" s="410" t="n">
        <x:v>22</x:v>
      </x:c>
      <x:c r="E862" t="str">
        <x:v>LEFT_05</x:v>
      </x:c>
      <x:c r="F862" t="str">
        <x:v>GoblinMelee</x:v>
      </x:c>
      <x:c r="G862" s="410" t="n">
        <x:v>27</x:v>
      </x:c>
    </x:row>
    <x:row r="863">
      <x:c r="A863" t="str">
        <x:v>Stage01</x:v>
      </x:c>
      <x:c r="B863" t="str">
        <x:v>WAVE_33</x:v>
      </x:c>
      <x:c r="C863" s="409" t="n">
        <x:v>324.5</x:v>
      </x:c>
      <x:c r="D863" s="410" t="n">
        <x:v>23</x:v>
      </x:c>
      <x:c r="E863" t="str">
        <x:v>TOP_07</x:v>
      </x:c>
      <x:c r="F863" t="str">
        <x:v>ShieldSkeleton</x:v>
      </x:c>
      <x:c r="G863" s="410" t="n">
        <x:v>27</x:v>
      </x:c>
    </x:row>
    <x:row r="864">
      <x:c r="A864" t="str">
        <x:v>Stage01</x:v>
      </x:c>
      <x:c r="B864" t="str">
        <x:v>WAVE_33</x:v>
      </x:c>
      <x:c r="C864" s="409" t="n">
        <x:v>324.66</x:v>
      </x:c>
      <x:c r="D864" s="410" t="n">
        <x:v>24</x:v>
      </x:c>
      <x:c r="E864" t="str">
        <x:v>RIGHT_08</x:v>
      </x:c>
      <x:c r="F864" t="str">
        <x:v>GoblinMelee</x:v>
      </x:c>
      <x:c r="G864" s="410" t="n">
        <x:v>27</x:v>
      </x:c>
    </x:row>
    <x:row r="865">
      <x:c r="A865" t="str">
        <x:v>Stage01</x:v>
      </x:c>
      <x:c r="B865" t="str">
        <x:v>WAVE_33</x:v>
      </x:c>
      <x:c r="C865" s="409" t="n">
        <x:v>324.82</x:v>
      </x:c>
      <x:c r="D865" s="410" t="n">
        <x:v>25</x:v>
      </x:c>
      <x:c r="E865" t="str">
        <x:v>BOTTOM_01</x:v>
      </x:c>
      <x:c r="F865" t="str">
        <x:v>GoblinRanged</x:v>
      </x:c>
      <x:c r="G865" s="410" t="n">
        <x:v>27</x:v>
      </x:c>
    </x:row>
    <x:row r="866">
      <x:c r="A866" t="str">
        <x:v>Stage01</x:v>
      </x:c>
      <x:c r="B866" t="str">
        <x:v>WAVE_33</x:v>
      </x:c>
      <x:c r="C866" s="409" t="n">
        <x:v>324.98</x:v>
      </x:c>
      <x:c r="D866" s="410" t="n">
        <x:v>26</x:v>
      </x:c>
      <x:c r="E866" t="str">
        <x:v>LEFT_02</x:v>
      </x:c>
      <x:c r="F866" t="str">
        <x:v>GoblinMelee</x:v>
      </x:c>
      <x:c r="G866" s="410" t="n">
        <x:v>27</x:v>
      </x:c>
    </x:row>
    <x:row r="867">
      <x:c r="A867" t="str">
        <x:v>Stage01</x:v>
      </x:c>
      <x:c r="B867" t="str">
        <x:v>WAVE_33</x:v>
      </x:c>
      <x:c r="C867" s="409" t="n">
        <x:v>325.14</x:v>
      </x:c>
      <x:c r="D867" s="410" t="n">
        <x:v>27</x:v>
      </x:c>
      <x:c r="E867" t="str">
        <x:v>TOP_04</x:v>
      </x:c>
      <x:c r="F867" t="str">
        <x:v>GoblinMelee</x:v>
      </x:c>
      <x:c r="G867" s="410" t="n">
        <x:v>27</x:v>
      </x:c>
    </x:row>
    <x:row r="868">
      <x:c r="A868" t="str">
        <x:v>Stage01</x:v>
      </x:c>
      <x:c r="B868" t="str">
        <x:v>WAVE_33</x:v>
      </x:c>
      <x:c r="C868" s="409" t="n">
        <x:v>325.3</x:v>
      </x:c>
      <x:c r="D868" s="410" t="n">
        <x:v>28</x:v>
      </x:c>
      <x:c r="E868" t="str">
        <x:v>RIGHT_05</x:v>
      </x:c>
      <x:c r="F868" t="str">
        <x:v>GoblinRanged</x:v>
      </x:c>
      <x:c r="G868" s="410" t="n">
        <x:v>28</x:v>
      </x:c>
    </x:row>
    <x:row r="869">
      <x:c r="A869" t="str">
        <x:v>Stage01</x:v>
      </x:c>
      <x:c r="B869" t="str">
        <x:v>WAVE_33</x:v>
      </x:c>
      <x:c r="C869" s="409" t="n">
        <x:v>325.46</x:v>
      </x:c>
      <x:c r="D869" s="410" t="n">
        <x:v>29</x:v>
      </x:c>
      <x:c r="E869" t="str">
        <x:v>BOTTOM_06</x:v>
      </x:c>
      <x:c r="F869" t="str">
        <x:v>GoblinMelee</x:v>
      </x:c>
      <x:c r="G869" s="410" t="n">
        <x:v>27</x:v>
      </x:c>
    </x:row>
    <x:row r="870">
      <x:c r="A870" t="str">
        <x:v>Stage01</x:v>
      </x:c>
      <x:c r="B870" t="str">
        <x:v>WAVE_33</x:v>
      </x:c>
      <x:c r="C870" s="409" t="n">
        <x:v>325.62</x:v>
      </x:c>
      <x:c r="D870" s="410" t="n">
        <x:v>30</x:v>
      </x:c>
      <x:c r="E870" t="str">
        <x:v>LEFT_07</x:v>
      </x:c>
      <x:c r="F870" t="str">
        <x:v>FlyingEye</x:v>
      </x:c>
      <x:c r="G870" s="410" t="n">
        <x:v>27</x:v>
      </x:c>
    </x:row>
    <x:row r="871">
      <x:c r="A871" t="str">
        <x:v>Stage01</x:v>
      </x:c>
      <x:c r="B871" t="str">
        <x:v>WAVE_33</x:v>
      </x:c>
      <x:c r="C871" s="409" t="n">
        <x:v>325.78</x:v>
      </x:c>
      <x:c r="D871" s="410" t="n">
        <x:v>31</x:v>
      </x:c>
      <x:c r="E871" t="str">
        <x:v>TOP_01</x:v>
      </x:c>
      <x:c r="F871" t="str">
        <x:v>ShieldSkeleton</x:v>
      </x:c>
      <x:c r="G871" s="410" t="n">
        <x:v>27</x:v>
      </x:c>
    </x:row>
    <x:row r="872">
      <x:c r="A872" t="str">
        <x:v>Stage01</x:v>
      </x:c>
      <x:c r="B872" t="str">
        <x:v>WAVE_33</x:v>
      </x:c>
      <x:c r="C872" s="409" t="n">
        <x:v>325.94</x:v>
      </x:c>
      <x:c r="D872" s="410" t="n">
        <x:v>32</x:v>
      </x:c>
      <x:c r="E872" t="str">
        <x:v>RIGHT_02</x:v>
      </x:c>
      <x:c r="F872" t="str">
        <x:v>GoblinMelee</x:v>
      </x:c>
      <x:c r="G872" s="410" t="n">
        <x:v>27</x:v>
      </x:c>
    </x:row>
    <x:row r="873">
      <x:c r="A873" t="str">
        <x:v>Stage01</x:v>
      </x:c>
      <x:c r="B873" t="str">
        <x:v>WAVE_33</x:v>
      </x:c>
      <x:c r="C873" s="409" t="n">
        <x:v>326.1</x:v>
      </x:c>
      <x:c r="D873" s="410" t="n">
        <x:v>33</x:v>
      </x:c>
      <x:c r="E873" t="str">
        <x:v>BOTTOM_03</x:v>
      </x:c>
      <x:c r="F873" t="str">
        <x:v>GoblinRanged</x:v>
      </x:c>
      <x:c r="G873" s="410" t="n">
        <x:v>27</x:v>
      </x:c>
    </x:row>
    <x:row r="874">
      <x:c r="A874" t="str">
        <x:v>Stage01</x:v>
      </x:c>
      <x:c r="B874" t="str">
        <x:v>WAVE_33</x:v>
      </x:c>
      <x:c r="C874" s="409" t="n">
        <x:v>326.26</x:v>
      </x:c>
      <x:c r="D874" s="410" t="n">
        <x:v>34</x:v>
      </x:c>
      <x:c r="E874" t="str">
        <x:v>LEFT_04</x:v>
      </x:c>
      <x:c r="F874" t="str">
        <x:v>GoblinMelee</x:v>
      </x:c>
      <x:c r="G874" s="410" t="n">
        <x:v>27</x:v>
      </x:c>
    </x:row>
    <x:row r="875">
      <x:c r="A875" t="str">
        <x:v>Stage01</x:v>
      </x:c>
      <x:c r="B875" t="str">
        <x:v>WAVE_33</x:v>
      </x:c>
      <x:c r="C875" s="409" t="n">
        <x:v>326.41</x:v>
      </x:c>
      <x:c r="D875" s="410" t="n">
        <x:v>35</x:v>
      </x:c>
      <x:c r="E875" t="str">
        <x:v>TOP_06</x:v>
      </x:c>
      <x:c r="F875" t="str">
        <x:v>GoblinMelee</x:v>
      </x:c>
      <x:c r="G875" s="410" t="n">
        <x:v>27</x:v>
      </x:c>
    </x:row>
    <x:row r="876">
      <x:c r="A876" t="str">
        <x:v>Stage01</x:v>
      </x:c>
      <x:c r="B876" t="str">
        <x:v>WAVE_33</x:v>
      </x:c>
      <x:c r="C876" s="409" t="n">
        <x:v>326.57</x:v>
      </x:c>
      <x:c r="D876" s="410" t="n">
        <x:v>36</x:v>
      </x:c>
      <x:c r="E876" t="str">
        <x:v>RIGHT_07</x:v>
      </x:c>
      <x:c r="F876" t="str">
        <x:v>GoblinMelee</x:v>
      </x:c>
      <x:c r="G876" s="410" t="n">
        <x:v>27</x:v>
      </x:c>
    </x:row>
    <x:row r="877">
      <x:c r="A877" t="str">
        <x:v>Stage01</x:v>
      </x:c>
      <x:c r="B877" t="str">
        <x:v>WAVE_33</x:v>
      </x:c>
      <x:c r="C877" s="409" t="n">
        <x:v>326.73</x:v>
      </x:c>
      <x:c r="D877" s="410" t="n">
        <x:v>37</x:v>
      </x:c>
      <x:c r="E877" t="str">
        <x:v>BOTTOM_08</x:v>
      </x:c>
      <x:c r="F877" t="str">
        <x:v>GoblinRanged</x:v>
      </x:c>
      <x:c r="G877" s="410" t="n">
        <x:v>27</x:v>
      </x:c>
    </x:row>
    <x:row r="878">
      <x:c r="A878" t="str">
        <x:v>Stage01</x:v>
      </x:c>
      <x:c r="B878" t="str">
        <x:v>WAVE_33</x:v>
      </x:c>
      <x:c r="C878" s="409" t="n">
        <x:v>326.89</x:v>
      </x:c>
      <x:c r="D878" s="410" t="n">
        <x:v>38</x:v>
      </x:c>
      <x:c r="E878" t="str">
        <x:v>LEFT_01</x:v>
      </x:c>
      <x:c r="F878" t="str">
        <x:v>GoblinMelee</x:v>
      </x:c>
      <x:c r="G878" s="410" t="n">
        <x:v>27</x:v>
      </x:c>
    </x:row>
    <x:row r="879">
      <x:c r="A879" t="str">
        <x:v>Stage01</x:v>
      </x:c>
      <x:c r="B879" t="str">
        <x:v>WAVE_33</x:v>
      </x:c>
      <x:c r="C879" s="409" t="n">
        <x:v>327.05</x:v>
      </x:c>
      <x:c r="D879" s="410" t="n">
        <x:v>39</x:v>
      </x:c>
      <x:c r="E879" t="str">
        <x:v>TOP_03</x:v>
      </x:c>
      <x:c r="F879" t="str">
        <x:v>GoblinMelee</x:v>
      </x:c>
      <x:c r="G879" s="410" t="n">
        <x:v>28</x:v>
      </x:c>
    </x:row>
    <x:row r="880">
      <x:c r="A880" t="str">
        <x:v>Stage01</x:v>
      </x:c>
      <x:c r="B880" t="str">
        <x:v>WAVE_33</x:v>
      </x:c>
      <x:c r="C880" s="409" t="n">
        <x:v>327.21</x:v>
      </x:c>
      <x:c r="D880" s="410" t="n">
        <x:v>40</x:v>
      </x:c>
      <x:c r="E880" t="str">
        <x:v>RIGHT_04</x:v>
      </x:c>
      <x:c r="F880" t="str">
        <x:v>GoblinRanged</x:v>
      </x:c>
      <x:c r="G880" s="410" t="n">
        <x:v>27</x:v>
      </x:c>
    </x:row>
    <x:row r="881">
      <x:c r="A881" t="str">
        <x:v>Stage01</x:v>
      </x:c>
      <x:c r="B881" t="str">
        <x:v>WAVE_33</x:v>
      </x:c>
      <x:c r="C881" s="409" t="n">
        <x:v>327.37</x:v>
      </x:c>
      <x:c r="D881" s="410" t="n">
        <x:v>41</x:v>
      </x:c>
      <x:c r="E881" t="str">
        <x:v>BOTTOM_05</x:v>
      </x:c>
      <x:c r="F881" t="str">
        <x:v>GoblinMelee</x:v>
      </x:c>
      <x:c r="G881" s="410" t="n">
        <x:v>27</x:v>
      </x:c>
    </x:row>
    <x:row r="882">
      <x:c r="A882" t="str">
        <x:v>Stage01</x:v>
      </x:c>
      <x:c r="B882" t="str">
        <x:v>WAVE_33</x:v>
      </x:c>
      <x:c r="C882" s="409" t="n">
        <x:v>327.53</x:v>
      </x:c>
      <x:c r="D882" s="410" t="n">
        <x:v>42</x:v>
      </x:c>
      <x:c r="E882" t="str">
        <x:v>LEFT_06</x:v>
      </x:c>
      <x:c r="F882" t="str">
        <x:v>ShieldSkeleton</x:v>
      </x:c>
      <x:c r="G882" s="410" t="n">
        <x:v>27</x:v>
      </x:c>
    </x:row>
    <x:row r="883">
      <x:c r="A883" t="str">
        <x:v>Stage01</x:v>
      </x:c>
      <x:c r="B883" t="str">
        <x:v>WAVE_33</x:v>
      </x:c>
      <x:c r="C883" s="409" t="n">
        <x:v>327.69</x:v>
      </x:c>
      <x:c r="D883" s="410" t="n">
        <x:v>43</x:v>
      </x:c>
      <x:c r="E883" t="str">
        <x:v>TOP_08</x:v>
      </x:c>
      <x:c r="F883" t="str">
        <x:v>GoblinMelee</x:v>
      </x:c>
      <x:c r="G883" s="410" t="n">
        <x:v>27</x:v>
      </x:c>
    </x:row>
    <x:row r="884">
      <x:c r="A884" t="str">
        <x:v>Stage01</x:v>
      </x:c>
      <x:c r="B884" t="str">
        <x:v>WAVE_33</x:v>
      </x:c>
      <x:c r="C884" s="409" t="n">
        <x:v>327.85</x:v>
      </x:c>
      <x:c r="D884" s="410" t="n">
        <x:v>44</x:v>
      </x:c>
      <x:c r="E884" t="str">
        <x:v>RIGHT_01</x:v>
      </x:c>
      <x:c r="F884" t="str">
        <x:v>GoblinMelee</x:v>
      </x:c>
      <x:c r="G884" s="410" t="n">
        <x:v>27</x:v>
      </x:c>
    </x:row>
    <x:row r="885">
      <x:c r="A885" t="str">
        <x:v>Stage01</x:v>
      </x:c>
      <x:c r="B885" t="str">
        <x:v>WAVE_33</x:v>
      </x:c>
      <x:c r="C885" s="409" t="n">
        <x:v>328.01</x:v>
      </x:c>
      <x:c r="D885" s="410" t="n">
        <x:v>45</x:v>
      </x:c>
      <x:c r="E885" t="str">
        <x:v>BOTTOM_02</x:v>
      </x:c>
      <x:c r="F885" t="str">
        <x:v>GoblinRanged</x:v>
      </x:c>
      <x:c r="G885" s="410" t="n">
        <x:v>27</x:v>
      </x:c>
    </x:row>
    <x:row r="886">
      <x:c r="A886" t="str">
        <x:v>Stage01</x:v>
      </x:c>
      <x:c r="B886" t="str">
        <x:v>WAVE_33</x:v>
      </x:c>
      <x:c r="C886" s="409" t="n">
        <x:v>328.17</x:v>
      </x:c>
      <x:c r="D886" s="410" t="n">
        <x:v>46</x:v>
      </x:c>
      <x:c r="E886" t="str">
        <x:v>LEFT_03</x:v>
      </x:c>
      <x:c r="F886" t="str">
        <x:v>FlyingEye</x:v>
      </x:c>
      <x:c r="G886" s="410" t="n">
        <x:v>27</x:v>
      </x:c>
    </x:row>
    <x:row r="887">
      <x:c r="A887" t="str">
        <x:v>Stage01</x:v>
      </x:c>
      <x:c r="B887" t="str">
        <x:v>WAVE_33</x:v>
      </x:c>
      <x:c r="C887" s="409" t="n">
        <x:v>328.33</x:v>
      </x:c>
      <x:c r="D887" s="410" t="n">
        <x:v>47</x:v>
      </x:c>
      <x:c r="E887" t="str">
        <x:v>TOP_05</x:v>
      </x:c>
      <x:c r="F887" t="str">
        <x:v>GoblinMelee</x:v>
      </x:c>
      <x:c r="G887" s="410" t="n">
        <x:v>27</x:v>
      </x:c>
    </x:row>
    <x:row r="888">
      <x:c r="A888" t="str">
        <x:v>Stage01</x:v>
      </x:c>
      <x:c r="B888" t="str">
        <x:v>WAVE_33</x:v>
      </x:c>
      <x:c r="C888" s="409" t="n">
        <x:v>328.49</x:v>
      </x:c>
      <x:c r="D888" s="410" t="n">
        <x:v>48</x:v>
      </x:c>
      <x:c r="E888" t="str">
        <x:v>RIGHT_06</x:v>
      </x:c>
      <x:c r="F888" t="str">
        <x:v>GoblinMelee</x:v>
      </x:c>
      <x:c r="G888" s="410" t="n">
        <x:v>27</x:v>
      </x:c>
    </x:row>
    <x:row r="889">
      <x:c r="A889" t="str">
        <x:v>Stage01</x:v>
      </x:c>
      <x:c r="B889" t="str">
        <x:v>WAVE_33</x:v>
      </x:c>
      <x:c r="C889" s="409" t="n">
        <x:v>328.64</x:v>
      </x:c>
      <x:c r="D889" s="410" t="n">
        <x:v>49</x:v>
      </x:c>
      <x:c r="E889" t="str">
        <x:v>BOTTOM_07</x:v>
      </x:c>
      <x:c r="F889" t="str">
        <x:v>GoblinRanged</x:v>
      </x:c>
      <x:c r="G889" s="410" t="n">
        <x:v>27</x:v>
      </x:c>
    </x:row>
    <x:row r="890">
      <x:c r="A890" t="str">
        <x:v>Stage01</x:v>
      </x:c>
      <x:c r="B890" t="str">
        <x:v>WAVE_33</x:v>
      </x:c>
      <x:c r="C890" s="409" t="n">
        <x:v>328.8</x:v>
      </x:c>
      <x:c r="D890" s="410" t="n">
        <x:v>50</x:v>
      </x:c>
      <x:c r="E890" t="str">
        <x:v>LEFT_08</x:v>
      </x:c>
      <x:c r="F890" t="str">
        <x:v>GoblinMelee</x:v>
      </x:c>
      <x:c r="G890" s="410" t="n">
        <x:v>28</x:v>
      </x:c>
    </x:row>
    <x:row r="891">
      <x:c r="A891" t="str">
        <x:v>Stage01</x:v>
      </x:c>
      <x:c r="B891" t="str">
        <x:v>WAVE_33</x:v>
      </x:c>
      <x:c r="C891" s="409" t="n">
        <x:v>328.96</x:v>
      </x:c>
      <x:c r="D891" s="410" t="n">
        <x:v>51</x:v>
      </x:c>
      <x:c r="E891" t="str">
        <x:v>TOP_02</x:v>
      </x:c>
      <x:c r="F891" t="str">
        <x:v>ShieldSkeleton</x:v>
      </x:c>
      <x:c r="G891" s="410" t="n">
        <x:v>27</x:v>
      </x:c>
    </x:row>
    <x:row r="892">
      <x:c r="A892" t="str">
        <x:v>Stage01</x:v>
      </x:c>
      <x:c r="B892" t="str">
        <x:v>WAVE_33</x:v>
      </x:c>
      <x:c r="C892" s="409" t="n">
        <x:v>329.12</x:v>
      </x:c>
      <x:c r="D892" s="410" t="n">
        <x:v>52</x:v>
      </x:c>
      <x:c r="E892" t="str">
        <x:v>RIGHT_03</x:v>
      </x:c>
      <x:c r="F892" t="str">
        <x:v>GoblinMelee</x:v>
      </x:c>
      <x:c r="G892" s="410" t="n">
        <x:v>27</x:v>
      </x:c>
    </x:row>
    <x:row r="893">
      <x:c r="A893" t="str">
        <x:v>Stage01</x:v>
      </x:c>
      <x:c r="B893" t="str">
        <x:v>WAVE_33</x:v>
      </x:c>
      <x:c r="C893" s="409" t="n">
        <x:v>329.28</x:v>
      </x:c>
      <x:c r="D893" s="410" t="n">
        <x:v>53</x:v>
      </x:c>
      <x:c r="E893" t="str">
        <x:v>BOTTOM_04</x:v>
      </x:c>
      <x:c r="F893" t="str">
        <x:v>GoblinMelee</x:v>
      </x:c>
      <x:c r="G893" s="410" t="n">
        <x:v>27</x:v>
      </x:c>
    </x:row>
    <x:row r="894">
      <x:c r="A894" t="str">
        <x:v>Stage01</x:v>
      </x:c>
      <x:c r="B894" t="str">
        <x:v>WAVE_33</x:v>
      </x:c>
      <x:c r="C894" s="409" t="n">
        <x:v>329.44</x:v>
      </x:c>
      <x:c r="D894" s="410" t="n">
        <x:v>54</x:v>
      </x:c>
      <x:c r="E894" t="str">
        <x:v>LEFT_05</x:v>
      </x:c>
      <x:c r="F894" t="str">
        <x:v>GoblinRanged</x:v>
      </x:c>
      <x:c r="G894" s="410" t="n">
        <x:v>27</x:v>
      </x:c>
    </x:row>
    <x:row r="895">
      <x:c r="A895" t="str">
        <x:v>Stage01</x:v>
      </x:c>
      <x:c r="B895" t="str">
        <x:v>WAVE_33</x:v>
      </x:c>
      <x:c r="C895" s="409" t="n">
        <x:v>329.6</x:v>
      </x:c>
      <x:c r="D895" s="410" t="n">
        <x:v>55</x:v>
      </x:c>
      <x:c r="E895" t="str">
        <x:v>TOP_07</x:v>
      </x:c>
      <x:c r="F895" t="str">
        <x:v>GoblinMelee</x:v>
      </x:c>
      <x:c r="G895" s="410" t="n">
        <x:v>27</x:v>
      </x:c>
    </x:row>
    <x:row r="896">
      <x:c r="A896" t="str">
        <x:v>Stage01</x:v>
      </x:c>
      <x:c r="B896" t="str">
        <x:v>WAVE_34</x:v>
      </x:c>
      <x:c r="C896" s="409" t="n">
        <x:v>331</x:v>
      </x:c>
      <x:c r="D896" s="410" t="n">
        <x:v>1</x:v>
      </x:c>
      <x:c r="E896" t="str">
        <x:v>TOP_02</x:v>
      </x:c>
      <x:c r="F896" t="str">
        <x:v>GoblinMelee</x:v>
      </x:c>
      <x:c r="G896" s="410" t="n">
        <x:v>28</x:v>
      </x:c>
    </x:row>
    <x:row r="897">
      <x:c r="A897" t="str">
        <x:v>Stage01</x:v>
      </x:c>
      <x:c r="B897" t="str">
        <x:v>WAVE_34</x:v>
      </x:c>
      <x:c r="C897" s="409" t="n">
        <x:v>331.15</x:v>
      </x:c>
      <x:c r="D897" s="410" t="n">
        <x:v>2</x:v>
      </x:c>
      <x:c r="E897" t="str">
        <x:v>RIGHT_03</x:v>
      </x:c>
      <x:c r="F897" t="str">
        <x:v>GoblinRanged</x:v>
      </x:c>
      <x:c r="G897" s="410" t="n">
        <x:v>28</x:v>
      </x:c>
    </x:row>
    <x:row r="898">
      <x:c r="A898" t="str">
        <x:v>Stage01</x:v>
      </x:c>
      <x:c r="B898" t="str">
        <x:v>WAVE_34</x:v>
      </x:c>
      <x:c r="C898" s="409" t="n">
        <x:v>331.31</x:v>
      </x:c>
      <x:c r="D898" s="410" t="n">
        <x:v>3</x:v>
      </x:c>
      <x:c r="E898" t="str">
        <x:v>BOTTOM_04</x:v>
      </x:c>
      <x:c r="F898" t="str">
        <x:v>GoblinMelee</x:v>
      </x:c>
      <x:c r="G898" s="410" t="n">
        <x:v>28</x:v>
      </x:c>
    </x:row>
    <x:row r="899">
      <x:c r="A899" t="str">
        <x:v>Stage01</x:v>
      </x:c>
      <x:c r="B899" t="str">
        <x:v>WAVE_34</x:v>
      </x:c>
      <x:c r="C899" s="409" t="n">
        <x:v>331.46</x:v>
      </x:c>
      <x:c r="D899" s="410" t="n">
        <x:v>4</x:v>
      </x:c>
      <x:c r="E899" t="str">
        <x:v>LEFT_05</x:v>
      </x:c>
      <x:c r="F899" t="str">
        <x:v>GoblinMelee</x:v>
      </x:c>
      <x:c r="G899" s="410" t="n">
        <x:v>28</x:v>
      </x:c>
    </x:row>
    <x:row r="900">
      <x:c r="A900" t="str">
        <x:v>Stage01</x:v>
      </x:c>
      <x:c r="B900" t="str">
        <x:v>WAVE_34</x:v>
      </x:c>
      <x:c r="C900" s="409" t="n">
        <x:v>331.61</x:v>
      </x:c>
      <x:c r="D900" s="410" t="n">
        <x:v>5</x:v>
      </x:c>
      <x:c r="E900" t="str">
        <x:v>TOP_07</x:v>
      </x:c>
      <x:c r="F900" t="str">
        <x:v>ShieldSkeleton</x:v>
      </x:c>
      <x:c r="G900" s="410" t="n">
        <x:v>29</x:v>
      </x:c>
    </x:row>
    <x:row r="901">
      <x:c r="A901" t="str">
        <x:v>Stage01</x:v>
      </x:c>
      <x:c r="B901" t="str">
        <x:v>WAVE_34</x:v>
      </x:c>
      <x:c r="C901" s="409" t="n">
        <x:v>331.77</x:v>
      </x:c>
      <x:c r="D901" s="410" t="n">
        <x:v>6</x:v>
      </x:c>
      <x:c r="E901" t="str">
        <x:v>RIGHT_08</x:v>
      </x:c>
      <x:c r="F901" t="str">
        <x:v>GoblinMelee</x:v>
      </x:c>
      <x:c r="G901" s="410" t="n">
        <x:v>28</x:v>
      </x:c>
    </x:row>
    <x:row r="902">
      <x:c r="A902" t="str">
        <x:v>Stage01</x:v>
      </x:c>
      <x:c r="B902" t="str">
        <x:v>WAVE_34</x:v>
      </x:c>
      <x:c r="C902" s="409" t="n">
        <x:v>331.92</x:v>
      </x:c>
      <x:c r="D902" s="410" t="n">
        <x:v>7</x:v>
      </x:c>
      <x:c r="E902" t="str">
        <x:v>BOTTOM_01</x:v>
      </x:c>
      <x:c r="F902" t="str">
        <x:v>GoblinRanged</x:v>
      </x:c>
      <x:c r="G902" s="410" t="n">
        <x:v>28</x:v>
      </x:c>
    </x:row>
    <x:row r="903">
      <x:c r="A903" t="str">
        <x:v>Stage01</x:v>
      </x:c>
      <x:c r="B903" t="str">
        <x:v>WAVE_34</x:v>
      </x:c>
      <x:c r="C903" s="409" t="n">
        <x:v>332.08</x:v>
      </x:c>
      <x:c r="D903" s="410" t="n">
        <x:v>8</x:v>
      </x:c>
      <x:c r="E903" t="str">
        <x:v>LEFT_02</x:v>
      </x:c>
      <x:c r="F903" t="str">
        <x:v>GoblinMelee</x:v>
      </x:c>
      <x:c r="G903" s="410" t="n">
        <x:v>28</x:v>
      </x:c>
    </x:row>
    <x:row r="904">
      <x:c r="A904" t="str">
        <x:v>Stage01</x:v>
      </x:c>
      <x:c r="B904" t="str">
        <x:v>WAVE_34</x:v>
      </x:c>
      <x:c r="C904" s="409" t="n">
        <x:v>332.23</x:v>
      </x:c>
      <x:c r="D904" s="410" t="n">
        <x:v>9</x:v>
      </x:c>
      <x:c r="E904" t="str">
        <x:v>TOP_04</x:v>
      </x:c>
      <x:c r="F904" t="str">
        <x:v>GoblinMelee</x:v>
      </x:c>
      <x:c r="G904" s="410" t="n">
        <x:v>28</x:v>
      </x:c>
    </x:row>
    <x:row r="905">
      <x:c r="A905" t="str">
        <x:v>Stage01</x:v>
      </x:c>
      <x:c r="B905" t="str">
        <x:v>WAVE_34</x:v>
      </x:c>
      <x:c r="C905" s="409" t="n">
        <x:v>332.38</x:v>
      </x:c>
      <x:c r="D905" s="410" t="n">
        <x:v>10</x:v>
      </x:c>
      <x:c r="E905" t="str">
        <x:v>RIGHT_05</x:v>
      </x:c>
      <x:c r="F905" t="str">
        <x:v>GoblinMelee</x:v>
      </x:c>
      <x:c r="G905" s="410" t="n">
        <x:v>28</x:v>
      </x:c>
    </x:row>
    <x:row r="906">
      <x:c r="A906" t="str">
        <x:v>Stage01</x:v>
      </x:c>
      <x:c r="B906" t="str">
        <x:v>WAVE_34</x:v>
      </x:c>
      <x:c r="C906" s="409" t="n">
        <x:v>332.54</x:v>
      </x:c>
      <x:c r="D906" s="410" t="n">
        <x:v>11</x:v>
      </x:c>
      <x:c r="E906" t="str">
        <x:v>BOTTOM_06</x:v>
      </x:c>
      <x:c r="F906" t="str">
        <x:v>GoblinRanged</x:v>
      </x:c>
      <x:c r="G906" s="410" t="n">
        <x:v>28</x:v>
      </x:c>
    </x:row>
    <x:row r="907">
      <x:c r="A907" t="str">
        <x:v>Stage01</x:v>
      </x:c>
      <x:c r="B907" t="str">
        <x:v>WAVE_34</x:v>
      </x:c>
      <x:c r="C907" s="409" t="n">
        <x:v>332.69</x:v>
      </x:c>
      <x:c r="D907" s="410" t="n">
        <x:v>12</x:v>
      </x:c>
      <x:c r="E907" t="str">
        <x:v>LEFT_07</x:v>
      </x:c>
      <x:c r="F907" t="str">
        <x:v>GoblinMelee</x:v>
      </x:c>
      <x:c r="G907" s="410" t="n">
        <x:v>28</x:v>
      </x:c>
    </x:row>
    <x:row r="908">
      <x:c r="A908" t="str">
        <x:v>Stage01</x:v>
      </x:c>
      <x:c r="B908" t="str">
        <x:v>WAVE_34</x:v>
      </x:c>
      <x:c r="C908" s="409" t="n">
        <x:v>332.84</x:v>
      </x:c>
      <x:c r="D908" s="410" t="n">
        <x:v>13</x:v>
      </x:c>
      <x:c r="E908" t="str">
        <x:v>TOP_01</x:v>
      </x:c>
      <x:c r="F908" t="str">
        <x:v>GoblinMelee</x:v>
      </x:c>
      <x:c r="G908" s="410" t="n">
        <x:v>29</x:v>
      </x:c>
    </x:row>
    <x:row r="909">
      <x:c r="A909" t="str">
        <x:v>Stage01</x:v>
      </x:c>
      <x:c r="B909" t="str">
        <x:v>WAVE_34</x:v>
      </x:c>
      <x:c r="C909" s="409" t="n">
        <x:v>333</x:v>
      </x:c>
      <x:c r="D909" s="410" t="n">
        <x:v>14</x:v>
      </x:c>
      <x:c r="E909" t="str">
        <x:v>RIGHT_02</x:v>
      </x:c>
      <x:c r="F909" t="str">
        <x:v>ShieldSkeleton</x:v>
      </x:c>
      <x:c r="G909" s="410" t="n">
        <x:v>28</x:v>
      </x:c>
    </x:row>
    <x:row r="910">
      <x:c r="A910" t="str">
        <x:v>Stage01</x:v>
      </x:c>
      <x:c r="B910" t="str">
        <x:v>WAVE_34</x:v>
      </x:c>
      <x:c r="C910" s="409" t="n">
        <x:v>333.15</x:v>
      </x:c>
      <x:c r="D910" s="410" t="n">
        <x:v>15</x:v>
      </x:c>
      <x:c r="E910" t="str">
        <x:v>BOTTOM_03</x:v>
      </x:c>
      <x:c r="F910" t="str">
        <x:v>FlyingEye</x:v>
      </x:c>
      <x:c r="G910" s="410" t="n">
        <x:v>28</x:v>
      </x:c>
    </x:row>
    <x:row r="911">
      <x:c r="A911" t="str">
        <x:v>Stage01</x:v>
      </x:c>
      <x:c r="B911" t="str">
        <x:v>WAVE_34</x:v>
      </x:c>
      <x:c r="C911" s="409" t="n">
        <x:v>333.3</x:v>
      </x:c>
      <x:c r="D911" s="410" t="n">
        <x:v>16</x:v>
      </x:c>
      <x:c r="E911" t="str">
        <x:v>LEFT_04</x:v>
      </x:c>
      <x:c r="F911" t="str">
        <x:v>GoblinRanged</x:v>
      </x:c>
      <x:c r="G911" s="410" t="n">
        <x:v>28</x:v>
      </x:c>
    </x:row>
    <x:row r="912">
      <x:c r="A912" t="str">
        <x:v>Stage01</x:v>
      </x:c>
      <x:c r="B912" t="str">
        <x:v>WAVE_34</x:v>
      </x:c>
      <x:c r="C912" s="409" t="n">
        <x:v>333.46</x:v>
      </x:c>
      <x:c r="D912" s="410" t="n">
        <x:v>17</x:v>
      </x:c>
      <x:c r="E912" t="str">
        <x:v>TOP_06</x:v>
      </x:c>
      <x:c r="F912" t="str">
        <x:v>GoblinMelee</x:v>
      </x:c>
      <x:c r="G912" s="410" t="n">
        <x:v>28</x:v>
      </x:c>
    </x:row>
    <x:row r="913">
      <x:c r="A913" t="str">
        <x:v>Stage01</x:v>
      </x:c>
      <x:c r="B913" t="str">
        <x:v>WAVE_34</x:v>
      </x:c>
      <x:c r="C913" s="409" t="n">
        <x:v>333.61</x:v>
      </x:c>
      <x:c r="D913" s="410" t="n">
        <x:v>18</x:v>
      </x:c>
      <x:c r="E913" t="str">
        <x:v>RIGHT_07</x:v>
      </x:c>
      <x:c r="F913" t="str">
        <x:v>GoblinMelee</x:v>
      </x:c>
      <x:c r="G913" s="410" t="n">
        <x:v>28</x:v>
      </x:c>
    </x:row>
    <x:row r="914">
      <x:c r="A914" t="str">
        <x:v>Stage01</x:v>
      </x:c>
      <x:c r="B914" t="str">
        <x:v>WAVE_34</x:v>
      </x:c>
      <x:c r="C914" s="409" t="n">
        <x:v>333.76</x:v>
      </x:c>
      <x:c r="D914" s="410" t="n">
        <x:v>19</x:v>
      </x:c>
      <x:c r="E914" t="str">
        <x:v>BOTTOM_08</x:v>
      </x:c>
      <x:c r="F914" t="str">
        <x:v>GoblinRanged</x:v>
      </x:c>
      <x:c r="G914" s="410" t="n">
        <x:v>28</x:v>
      </x:c>
    </x:row>
    <x:row r="915">
      <x:c r="A915" t="str">
        <x:v>Stage01</x:v>
      </x:c>
      <x:c r="B915" t="str">
        <x:v>WAVE_34</x:v>
      </x:c>
      <x:c r="C915" s="409" t="n">
        <x:v>333.92</x:v>
      </x:c>
      <x:c r="D915" s="410" t="n">
        <x:v>20</x:v>
      </x:c>
      <x:c r="E915" t="str">
        <x:v>LEFT_01</x:v>
      </x:c>
      <x:c r="F915" t="str">
        <x:v>GoblinMelee</x:v>
      </x:c>
      <x:c r="G915" s="410" t="n">
        <x:v>28</x:v>
      </x:c>
    </x:row>
    <x:row r="916">
      <x:c r="A916" t="str">
        <x:v>Stage01</x:v>
      </x:c>
      <x:c r="B916" t="str">
        <x:v>WAVE_34</x:v>
      </x:c>
      <x:c r="C916" s="409" t="n">
        <x:v>334.07</x:v>
      </x:c>
      <x:c r="D916" s="410" t="n">
        <x:v>21</x:v>
      </x:c>
      <x:c r="E916" t="str">
        <x:v>TOP_03</x:v>
      </x:c>
      <x:c r="F916" t="str">
        <x:v>GoblinMelee</x:v>
      </x:c>
      <x:c r="G916" s="410" t="n">
        <x:v>29</x:v>
      </x:c>
    </x:row>
    <x:row r="917">
      <x:c r="A917" t="str">
        <x:v>Stage01</x:v>
      </x:c>
      <x:c r="B917" t="str">
        <x:v>WAVE_34</x:v>
      </x:c>
      <x:c r="C917" s="409" t="n">
        <x:v>334.23</x:v>
      </x:c>
      <x:c r="D917" s="410" t="n">
        <x:v>22</x:v>
      </x:c>
      <x:c r="E917" t="str">
        <x:v>RIGHT_04</x:v>
      </x:c>
      <x:c r="F917" t="str">
        <x:v>GoblinRanged</x:v>
      </x:c>
      <x:c r="G917" s="410" t="n">
        <x:v>28</x:v>
      </x:c>
    </x:row>
    <x:row r="918">
      <x:c r="A918" t="str">
        <x:v>Stage01</x:v>
      </x:c>
      <x:c r="B918" t="str">
        <x:v>WAVE_34</x:v>
      </x:c>
      <x:c r="C918" s="409" t="n">
        <x:v>334.38</x:v>
      </x:c>
      <x:c r="D918" s="410" t="n">
        <x:v>23</x:v>
      </x:c>
      <x:c r="E918" t="str">
        <x:v>BOTTOM_05</x:v>
      </x:c>
      <x:c r="F918" t="str">
        <x:v>GoblinMelee</x:v>
      </x:c>
      <x:c r="G918" s="410" t="n">
        <x:v>28</x:v>
      </x:c>
    </x:row>
    <x:row r="919">
      <x:c r="A919" t="str">
        <x:v>Stage01</x:v>
      </x:c>
      <x:c r="B919" t="str">
        <x:v>WAVE_34</x:v>
      </x:c>
      <x:c r="C919" s="409" t="n">
        <x:v>334.53</x:v>
      </x:c>
      <x:c r="D919" s="410" t="n">
        <x:v>24</x:v>
      </x:c>
      <x:c r="E919" t="str">
        <x:v>LEFT_06</x:v>
      </x:c>
      <x:c r="F919" t="str">
        <x:v>GoblinMelee</x:v>
      </x:c>
      <x:c r="G919" s="410" t="n">
        <x:v>28</x:v>
      </x:c>
    </x:row>
    <x:row r="920">
      <x:c r="A920" t="str">
        <x:v>Stage01</x:v>
      </x:c>
      <x:c r="B920" t="str">
        <x:v>WAVE_34</x:v>
      </x:c>
      <x:c r="C920" s="409" t="n">
        <x:v>334.69</x:v>
      </x:c>
      <x:c r="D920" s="410" t="n">
        <x:v>25</x:v>
      </x:c>
      <x:c r="E920" t="str">
        <x:v>TOP_08</x:v>
      </x:c>
      <x:c r="F920" t="str">
        <x:v>ShieldSkeleton</x:v>
      </x:c>
      <x:c r="G920" s="410" t="n">
        <x:v>28</x:v>
      </x:c>
    </x:row>
    <x:row r="921">
      <x:c r="A921" t="str">
        <x:v>Stage01</x:v>
      </x:c>
      <x:c r="B921" t="str">
        <x:v>WAVE_34</x:v>
      </x:c>
      <x:c r="C921" s="409" t="n">
        <x:v>334.84</x:v>
      </x:c>
      <x:c r="D921" s="410" t="n">
        <x:v>26</x:v>
      </x:c>
      <x:c r="E921" t="str">
        <x:v>RIGHT_01</x:v>
      </x:c>
      <x:c r="F921" t="str">
        <x:v>GoblinMelee</x:v>
      </x:c>
      <x:c r="G921" s="410" t="n">
        <x:v>28</x:v>
      </x:c>
    </x:row>
    <x:row r="922">
      <x:c r="A922" t="str">
        <x:v>Stage01</x:v>
      </x:c>
      <x:c r="B922" t="str">
        <x:v>WAVE_34</x:v>
      </x:c>
      <x:c r="C922" s="409" t="n">
        <x:v>334.99</x:v>
      </x:c>
      <x:c r="D922" s="410" t="n">
        <x:v>27</x:v>
      </x:c>
      <x:c r="E922" t="str">
        <x:v>BOTTOM_02</x:v>
      </x:c>
      <x:c r="F922" t="str">
        <x:v>GoblinRanged</x:v>
      </x:c>
      <x:c r="G922" s="410" t="n">
        <x:v>28</x:v>
      </x:c>
    </x:row>
    <x:row r="923">
      <x:c r="A923" t="str">
        <x:v>Stage01</x:v>
      </x:c>
      <x:c r="B923" t="str">
        <x:v>WAVE_34</x:v>
      </x:c>
      <x:c r="C923" s="409" t="n">
        <x:v>335.15</x:v>
      </x:c>
      <x:c r="D923" s="410" t="n">
        <x:v>28</x:v>
      </x:c>
      <x:c r="E923" t="str">
        <x:v>LEFT_03</x:v>
      </x:c>
      <x:c r="F923" t="str">
        <x:v>GoblinMelee</x:v>
      </x:c>
      <x:c r="G923" s="410" t="n">
        <x:v>28</x:v>
      </x:c>
    </x:row>
    <x:row r="924">
      <x:c r="A924" t="str">
        <x:v>Stage01</x:v>
      </x:c>
      <x:c r="B924" t="str">
        <x:v>WAVE_34</x:v>
      </x:c>
      <x:c r="C924" s="409" t="n">
        <x:v>335.3</x:v>
      </x:c>
      <x:c r="D924" s="410" t="n">
        <x:v>29</x:v>
      </x:c>
      <x:c r="E924" t="str">
        <x:v>TOP_05</x:v>
      </x:c>
      <x:c r="F924" t="str">
        <x:v>GoblinMelee</x:v>
      </x:c>
      <x:c r="G924" s="410" t="n">
        <x:v>29</x:v>
      </x:c>
    </x:row>
    <x:row r="925">
      <x:c r="A925" t="str">
        <x:v>Stage01</x:v>
      </x:c>
      <x:c r="B925" t="str">
        <x:v>WAVE_34</x:v>
      </x:c>
      <x:c r="C925" s="409" t="n">
        <x:v>335.45</x:v>
      </x:c>
      <x:c r="D925" s="410" t="n">
        <x:v>30</x:v>
      </x:c>
      <x:c r="E925" t="str">
        <x:v>RIGHT_06</x:v>
      </x:c>
      <x:c r="F925" t="str">
        <x:v>FlyingEye</x:v>
      </x:c>
      <x:c r="G925" s="410" t="n">
        <x:v>28</x:v>
      </x:c>
    </x:row>
    <x:row r="926">
      <x:c r="A926" t="str">
        <x:v>Stage01</x:v>
      </x:c>
      <x:c r="B926" t="str">
        <x:v>WAVE_34</x:v>
      </x:c>
      <x:c r="C926" s="409" t="n">
        <x:v>335.61</x:v>
      </x:c>
      <x:c r="D926" s="410" t="n">
        <x:v>31</x:v>
      </x:c>
      <x:c r="E926" t="str">
        <x:v>BOTTOM_07</x:v>
      </x:c>
      <x:c r="F926" t="str">
        <x:v>GoblinRanged</x:v>
      </x:c>
      <x:c r="G926" s="410" t="n">
        <x:v>28</x:v>
      </x:c>
    </x:row>
    <x:row r="927">
      <x:c r="A927" t="str">
        <x:v>Stage01</x:v>
      </x:c>
      <x:c r="B927" t="str">
        <x:v>WAVE_34</x:v>
      </x:c>
      <x:c r="C927" s="409" t="n">
        <x:v>335.76</x:v>
      </x:c>
      <x:c r="D927" s="410" t="n">
        <x:v>32</x:v>
      </x:c>
      <x:c r="E927" t="str">
        <x:v>LEFT_08</x:v>
      </x:c>
      <x:c r="F927" t="str">
        <x:v>GoblinMelee</x:v>
      </x:c>
      <x:c r="G927" s="410" t="n">
        <x:v>28</x:v>
      </x:c>
    </x:row>
    <x:row r="928">
      <x:c r="A928" t="str">
        <x:v>Stage01</x:v>
      </x:c>
      <x:c r="B928" t="str">
        <x:v>WAVE_34</x:v>
      </x:c>
      <x:c r="C928" s="409" t="n">
        <x:v>335.91</x:v>
      </x:c>
      <x:c r="D928" s="410" t="n">
        <x:v>33</x:v>
      </x:c>
      <x:c r="E928" t="str">
        <x:v>TOP_02</x:v>
      </x:c>
      <x:c r="F928" t="str">
        <x:v>ShieldSkeleton</x:v>
      </x:c>
      <x:c r="G928" s="410" t="n">
        <x:v>28</x:v>
      </x:c>
    </x:row>
    <x:row r="929">
      <x:c r="A929" t="str">
        <x:v>Stage01</x:v>
      </x:c>
      <x:c r="B929" t="str">
        <x:v>WAVE_34</x:v>
      </x:c>
      <x:c r="C929" s="409" t="n">
        <x:v>336.07</x:v>
      </x:c>
      <x:c r="D929" s="410" t="n">
        <x:v>34</x:v>
      </x:c>
      <x:c r="E929" t="str">
        <x:v>RIGHT_03</x:v>
      </x:c>
      <x:c r="F929" t="str">
        <x:v>GoblinMelee</x:v>
      </x:c>
      <x:c r="G929" s="410" t="n">
        <x:v>28</x:v>
      </x:c>
    </x:row>
    <x:row r="930">
      <x:c r="A930" t="str">
        <x:v>Stage01</x:v>
      </x:c>
      <x:c r="B930" t="str">
        <x:v>WAVE_34</x:v>
      </x:c>
      <x:c r="C930" s="409" t="n">
        <x:v>336.22</x:v>
      </x:c>
      <x:c r="D930" s="410" t="n">
        <x:v>35</x:v>
      </x:c>
      <x:c r="E930" t="str">
        <x:v>BOTTOM_04</x:v>
      </x:c>
      <x:c r="F930" t="str">
        <x:v>GoblinMelee</x:v>
      </x:c>
      <x:c r="G930" s="410" t="n">
        <x:v>28</x:v>
      </x:c>
    </x:row>
    <x:row r="931">
      <x:c r="A931" t="str">
        <x:v>Stage01</x:v>
      </x:c>
      <x:c r="B931" t="str">
        <x:v>WAVE_34</x:v>
      </x:c>
      <x:c r="C931" s="409" t="n">
        <x:v>336.38</x:v>
      </x:c>
      <x:c r="D931" s="410" t="n">
        <x:v>36</x:v>
      </x:c>
      <x:c r="E931" t="str">
        <x:v>LEFT_05</x:v>
      </x:c>
      <x:c r="F931" t="str">
        <x:v>GoblinRanged</x:v>
      </x:c>
      <x:c r="G931" s="410" t="n">
        <x:v>28</x:v>
      </x:c>
    </x:row>
    <x:row r="932">
      <x:c r="A932" t="str">
        <x:v>Stage01</x:v>
      </x:c>
      <x:c r="B932" t="str">
        <x:v>WAVE_34</x:v>
      </x:c>
      <x:c r="C932" s="409" t="n">
        <x:v>336.53</x:v>
      </x:c>
      <x:c r="D932" s="410" t="n">
        <x:v>37</x:v>
      </x:c>
      <x:c r="E932" t="str">
        <x:v>TOP_07</x:v>
      </x:c>
      <x:c r="F932" t="str">
        <x:v>GoblinMelee</x:v>
      </x:c>
      <x:c r="G932" s="410" t="n">
        <x:v>29</x:v>
      </x:c>
    </x:row>
    <x:row r="933">
      <x:c r="A933" t="str">
        <x:v>Stage01</x:v>
      </x:c>
      <x:c r="B933" t="str">
        <x:v>WAVE_34</x:v>
      </x:c>
      <x:c r="C933" s="409" t="n">
        <x:v>336.68</x:v>
      </x:c>
      <x:c r="D933" s="410" t="n">
        <x:v>38</x:v>
      </x:c>
      <x:c r="E933" t="str">
        <x:v>RIGHT_08</x:v>
      </x:c>
      <x:c r="F933" t="str">
        <x:v>GoblinMelee</x:v>
      </x:c>
      <x:c r="G933" s="410" t="n">
        <x:v>28</x:v>
      </x:c>
    </x:row>
    <x:row r="934">
      <x:c r="A934" t="str">
        <x:v>Stage01</x:v>
      </x:c>
      <x:c r="B934" t="str">
        <x:v>WAVE_34</x:v>
      </x:c>
      <x:c r="C934" s="409" t="n">
        <x:v>336.84</x:v>
      </x:c>
      <x:c r="D934" s="410" t="n">
        <x:v>39</x:v>
      </x:c>
      <x:c r="E934" t="str">
        <x:v>BOTTOM_01</x:v>
      </x:c>
      <x:c r="F934" t="str">
        <x:v>GoblinRanged</x:v>
      </x:c>
      <x:c r="G934" s="410" t="n">
        <x:v>28</x:v>
      </x:c>
    </x:row>
    <x:row r="935">
      <x:c r="A935" t="str">
        <x:v>Stage01</x:v>
      </x:c>
      <x:c r="B935" t="str">
        <x:v>WAVE_34</x:v>
      </x:c>
      <x:c r="C935" s="409" t="n">
        <x:v>336.99</x:v>
      </x:c>
      <x:c r="D935" s="410" t="n">
        <x:v>40</x:v>
      </x:c>
      <x:c r="E935" t="str">
        <x:v>LEFT_02</x:v>
      </x:c>
      <x:c r="F935" t="str">
        <x:v>GoblinMelee</x:v>
      </x:c>
      <x:c r="G935" s="410" t="n">
        <x:v>28</x:v>
      </x:c>
    </x:row>
    <x:row r="936">
      <x:c r="A936" t="str">
        <x:v>Stage01</x:v>
      </x:c>
      <x:c r="B936" t="str">
        <x:v>WAVE_34</x:v>
      </x:c>
      <x:c r="C936" s="409" t="n">
        <x:v>337.14</x:v>
      </x:c>
      <x:c r="D936" s="410" t="n">
        <x:v>41</x:v>
      </x:c>
      <x:c r="E936" t="str">
        <x:v>TOP_04</x:v>
      </x:c>
      <x:c r="F936" t="str">
        <x:v>GoblinMelee</x:v>
      </x:c>
      <x:c r="G936" s="410" t="n">
        <x:v>28</x:v>
      </x:c>
    </x:row>
    <x:row r="937">
      <x:c r="A937" t="str">
        <x:v>Stage01</x:v>
      </x:c>
      <x:c r="B937" t="str">
        <x:v>WAVE_34</x:v>
      </x:c>
      <x:c r="C937" s="409" t="n">
        <x:v>337.3</x:v>
      </x:c>
      <x:c r="D937" s="410" t="n">
        <x:v>42</x:v>
      </x:c>
      <x:c r="E937" t="str">
        <x:v>RIGHT_05</x:v>
      </x:c>
      <x:c r="F937" t="str">
        <x:v>ShieldSkeleton</x:v>
      </x:c>
      <x:c r="G937" s="410" t="n">
        <x:v>28</x:v>
      </x:c>
    </x:row>
    <x:row r="938">
      <x:c r="A938" t="str">
        <x:v>Stage01</x:v>
      </x:c>
      <x:c r="B938" t="str">
        <x:v>WAVE_34</x:v>
      </x:c>
      <x:c r="C938" s="409" t="n">
        <x:v>337.45</x:v>
      </x:c>
      <x:c r="D938" s="410" t="n">
        <x:v>43</x:v>
      </x:c>
      <x:c r="E938" t="str">
        <x:v>BOTTOM_06</x:v>
      </x:c>
      <x:c r="F938" t="str">
        <x:v>GoblinMelee</x:v>
      </x:c>
      <x:c r="G938" s="410" t="n">
        <x:v>28</x:v>
      </x:c>
    </x:row>
    <x:row r="939">
      <x:c r="A939" t="str">
        <x:v>Stage01</x:v>
      </x:c>
      <x:c r="B939" t="str">
        <x:v>WAVE_34</x:v>
      </x:c>
      <x:c r="C939" s="409" t="n">
        <x:v>337.6</x:v>
      </x:c>
      <x:c r="D939" s="410" t="n">
        <x:v>44</x:v>
      </x:c>
      <x:c r="E939" t="str">
        <x:v>LEFT_07</x:v>
      </x:c>
      <x:c r="F939" t="str">
        <x:v>GoblinRanged</x:v>
      </x:c>
      <x:c r="G939" s="410" t="n">
        <x:v>28</x:v>
      </x:c>
    </x:row>
    <x:row r="940">
      <x:c r="A940" t="str">
        <x:v>Stage01</x:v>
      </x:c>
      <x:c r="B940" t="str">
        <x:v>WAVE_34</x:v>
      </x:c>
      <x:c r="C940" s="409" t="n">
        <x:v>337.76</x:v>
      </x:c>
      <x:c r="D940" s="410" t="n">
        <x:v>45</x:v>
      </x:c>
      <x:c r="E940" t="str">
        <x:v>TOP_01</x:v>
      </x:c>
      <x:c r="F940" t="str">
        <x:v>GoblinMelee</x:v>
      </x:c>
      <x:c r="G940" s="410" t="n">
        <x:v>29</x:v>
      </x:c>
    </x:row>
    <x:row r="941">
      <x:c r="A941" t="str">
        <x:v>Stage01</x:v>
      </x:c>
      <x:c r="B941" t="str">
        <x:v>WAVE_34</x:v>
      </x:c>
      <x:c r="C941" s="409" t="n">
        <x:v>337.91</x:v>
      </x:c>
      <x:c r="D941" s="410" t="n">
        <x:v>46</x:v>
      </x:c>
      <x:c r="E941" t="str">
        <x:v>RIGHT_02</x:v>
      </x:c>
      <x:c r="F941" t="str">
        <x:v>FlyingEye</x:v>
      </x:c>
      <x:c r="G941" s="410" t="n">
        <x:v>28</x:v>
      </x:c>
    </x:row>
    <x:row r="942">
      <x:c r="A942" t="str">
        <x:v>Stage01</x:v>
      </x:c>
      <x:c r="B942" t="str">
        <x:v>WAVE_34</x:v>
      </x:c>
      <x:c r="C942" s="409" t="n">
        <x:v>338.06</x:v>
      </x:c>
      <x:c r="D942" s="410" t="n">
        <x:v>47</x:v>
      </x:c>
      <x:c r="E942" t="str">
        <x:v>BOTTOM_03</x:v>
      </x:c>
      <x:c r="F942" t="str">
        <x:v>GoblinRanged</x:v>
      </x:c>
      <x:c r="G942" s="410" t="n">
        <x:v>28</x:v>
      </x:c>
    </x:row>
    <x:row r="943">
      <x:c r="A943" t="str">
        <x:v>Stage01</x:v>
      </x:c>
      <x:c r="B943" t="str">
        <x:v>WAVE_34</x:v>
      </x:c>
      <x:c r="C943" s="409" t="n">
        <x:v>338.22</x:v>
      </x:c>
      <x:c r="D943" s="410" t="n">
        <x:v>48</x:v>
      </x:c>
      <x:c r="E943" t="str">
        <x:v>LEFT_04</x:v>
      </x:c>
      <x:c r="F943" t="str">
        <x:v>GoblinMelee</x:v>
      </x:c>
      <x:c r="G943" s="410" t="n">
        <x:v>28</x:v>
      </x:c>
    </x:row>
    <x:row r="944">
      <x:c r="A944" t="str">
        <x:v>Stage01</x:v>
      </x:c>
      <x:c r="B944" t="str">
        <x:v>WAVE_34</x:v>
      </x:c>
      <x:c r="C944" s="409" t="n">
        <x:v>338.37</x:v>
      </x:c>
      <x:c r="D944" s="410" t="n">
        <x:v>49</x:v>
      </x:c>
      <x:c r="E944" t="str">
        <x:v>TOP_06</x:v>
      </x:c>
      <x:c r="F944" t="str">
        <x:v>GoblinMelee</x:v>
      </x:c>
      <x:c r="G944" s="410" t="n">
        <x:v>28</x:v>
      </x:c>
    </x:row>
    <x:row r="945">
      <x:c r="A945" t="str">
        <x:v>Stage01</x:v>
      </x:c>
      <x:c r="B945" t="str">
        <x:v>WAVE_34</x:v>
      </x:c>
      <x:c r="C945" s="409" t="n">
        <x:v>338.53</x:v>
      </x:c>
      <x:c r="D945" s="410" t="n">
        <x:v>50</x:v>
      </x:c>
      <x:c r="E945" t="str">
        <x:v>RIGHT_07</x:v>
      </x:c>
      <x:c r="F945" t="str">
        <x:v>GoblinMelee</x:v>
      </x:c>
      <x:c r="G945" s="410" t="n">
        <x:v>28</x:v>
      </x:c>
    </x:row>
    <x:row r="946">
      <x:c r="A946" t="str">
        <x:v>Stage01</x:v>
      </x:c>
      <x:c r="B946" t="str">
        <x:v>WAVE_34</x:v>
      </x:c>
      <x:c r="C946" s="409" t="n">
        <x:v>338.68</x:v>
      </x:c>
      <x:c r="D946" s="410" t="n">
        <x:v>51</x:v>
      </x:c>
      <x:c r="E946" t="str">
        <x:v>BOTTOM_08</x:v>
      </x:c>
      <x:c r="F946" t="str">
        <x:v>GoblinRanged</x:v>
      </x:c>
      <x:c r="G946" s="410" t="n">
        <x:v>28</x:v>
      </x:c>
    </x:row>
    <x:row r="947">
      <x:c r="A947" t="str">
        <x:v>Stage01</x:v>
      </x:c>
      <x:c r="B947" t="str">
        <x:v>WAVE_34</x:v>
      </x:c>
      <x:c r="C947" s="409" t="n">
        <x:v>338.83</x:v>
      </x:c>
      <x:c r="D947" s="410" t="n">
        <x:v>52</x:v>
      </x:c>
      <x:c r="E947" t="str">
        <x:v>LEFT_01</x:v>
      </x:c>
      <x:c r="F947" t="str">
        <x:v>GoblinMelee</x:v>
      </x:c>
      <x:c r="G947" s="410" t="n">
        <x:v>28</x:v>
      </x:c>
    </x:row>
    <x:row r="948">
      <x:c r="A948" t="str">
        <x:v>Stage01</x:v>
      </x:c>
      <x:c r="B948" t="str">
        <x:v>WAVE_34</x:v>
      </x:c>
      <x:c r="C948" s="409" t="n">
        <x:v>338.99</x:v>
      </x:c>
      <x:c r="D948" s="410" t="n">
        <x:v>53</x:v>
      </x:c>
      <x:c r="E948" t="str">
        <x:v>TOP_03</x:v>
      </x:c>
      <x:c r="F948" t="str">
        <x:v>ShieldSkeleton</x:v>
      </x:c>
      <x:c r="G948" s="410" t="n">
        <x:v>29</x:v>
      </x:c>
    </x:row>
    <x:row r="949">
      <x:c r="A949" t="str">
        <x:v>Stage01</x:v>
      </x:c>
      <x:c r="B949" t="str">
        <x:v>WAVE_34</x:v>
      </x:c>
      <x:c r="C949" s="409" t="n">
        <x:v>339.14</x:v>
      </x:c>
      <x:c r="D949" s="410" t="n">
        <x:v>54</x:v>
      </x:c>
      <x:c r="E949" t="str">
        <x:v>RIGHT_04</x:v>
      </x:c>
      <x:c r="F949" t="str">
        <x:v>GoblinMelee</x:v>
      </x:c>
      <x:c r="G949" s="410" t="n">
        <x:v>28</x:v>
      </x:c>
    </x:row>
    <x:row r="950">
      <x:c r="A950" t="str">
        <x:v>Stage01</x:v>
      </x:c>
      <x:c r="B950" t="str">
        <x:v>WAVE_34</x:v>
      </x:c>
      <x:c r="C950" s="409" t="n">
        <x:v>339.29</x:v>
      </x:c>
      <x:c r="D950" s="410" t="n">
        <x:v>55</x:v>
      </x:c>
      <x:c r="E950" t="str">
        <x:v>BOTTOM_05</x:v>
      </x:c>
      <x:c r="F950" t="str">
        <x:v>GoblinMelee</x:v>
      </x:c>
      <x:c r="G950" s="410" t="n">
        <x:v>28</x:v>
      </x:c>
    </x:row>
    <x:row r="951">
      <x:c r="A951" t="str">
        <x:v>Stage01</x:v>
      </x:c>
      <x:c r="B951" t="str">
        <x:v>WAVE_34</x:v>
      </x:c>
      <x:c r="C951" s="409" t="n">
        <x:v>339.45</x:v>
      </x:c>
      <x:c r="D951" s="410" t="n">
        <x:v>56</x:v>
      </x:c>
      <x:c r="E951" t="str">
        <x:v>LEFT_06</x:v>
      </x:c>
      <x:c r="F951" t="str">
        <x:v>GoblinRanged</x:v>
      </x:c>
      <x:c r="G951" s="410" t="n">
        <x:v>28</x:v>
      </x:c>
    </x:row>
    <x:row r="952">
      <x:c r="A952" t="str">
        <x:v>Stage01</x:v>
      </x:c>
      <x:c r="B952" t="str">
        <x:v>WAVE_34</x:v>
      </x:c>
      <x:c r="C952" s="409" t="n">
        <x:v>339.6</x:v>
      </x:c>
      <x:c r="D952" s="410" t="n">
        <x:v>57</x:v>
      </x:c>
      <x:c r="E952" t="str">
        <x:v>TOP_08</x:v>
      </x:c>
      <x:c r="F952" t="str">
        <x:v>GoblinMelee</x:v>
      </x:c>
      <x:c r="G952" s="410" t="n">
        <x:v>28</x:v>
      </x:c>
    </x:row>
    <x:row r="953">
      <x:c r="A953" t="str">
        <x:v>Stage01</x:v>
      </x:c>
      <x:c r="B953" t="str">
        <x:v>WAVE_35</x:v>
      </x:c>
      <x:c r="C953" s="409" t="n">
        <x:v>341</x:v>
      </x:c>
      <x:c r="D953" s="410" t="n">
        <x:v>1</x:v>
      </x:c>
      <x:c r="E953" t="str">
        <x:v>TOP_03</x:v>
      </x:c>
      <x:c r="F953" t="str">
        <x:v>GoblinMelee</x:v>
      </x:c>
      <x:c r="G953" s="410" t="n">
        <x:v>29</x:v>
      </x:c>
    </x:row>
    <x:row r="954">
      <x:c r="A954" t="str">
        <x:v>Stage01</x:v>
      </x:c>
      <x:c r="B954" t="str">
        <x:v>WAVE_35</x:v>
      </x:c>
      <x:c r="C954" s="409" t="n">
        <x:v>341.15</x:v>
      </x:c>
      <x:c r="D954" s="410" t="n">
        <x:v>2</x:v>
      </x:c>
      <x:c r="E954" t="str">
        <x:v>RIGHT_04</x:v>
      </x:c>
      <x:c r="F954" t="str">
        <x:v>GoblinRanged</x:v>
      </x:c>
      <x:c r="G954" s="410" t="n">
        <x:v>29</x:v>
      </x:c>
    </x:row>
    <x:row r="955">
      <x:c r="A955" t="str">
        <x:v>Stage01</x:v>
      </x:c>
      <x:c r="B955" t="str">
        <x:v>WAVE_35</x:v>
      </x:c>
      <x:c r="C955" s="409" t="n">
        <x:v>341.3</x:v>
      </x:c>
      <x:c r="D955" s="410" t="n">
        <x:v>3</x:v>
      </x:c>
      <x:c r="E955" t="str">
        <x:v>BOTTOM_05</x:v>
      </x:c>
      <x:c r="F955" t="str">
        <x:v>GoblinMelee</x:v>
      </x:c>
      <x:c r="G955" s="410" t="n">
        <x:v>29</x:v>
      </x:c>
    </x:row>
    <x:row r="956">
      <x:c r="A956" t="str">
        <x:v>Stage01</x:v>
      </x:c>
      <x:c r="B956" t="str">
        <x:v>WAVE_35</x:v>
      </x:c>
      <x:c r="C956" s="409" t="n">
        <x:v>341.44</x:v>
      </x:c>
      <x:c r="D956" s="410" t="n">
        <x:v>4</x:v>
      </x:c>
      <x:c r="E956" t="str">
        <x:v>LEFT_06</x:v>
      </x:c>
      <x:c r="F956" t="str">
        <x:v>GoblinMelee</x:v>
      </x:c>
      <x:c r="G956" s="410" t="n">
        <x:v>30</x:v>
      </x:c>
    </x:row>
    <x:row r="957">
      <x:c r="A957" t="str">
        <x:v>Stage01</x:v>
      </x:c>
      <x:c r="B957" t="str">
        <x:v>WAVE_35</x:v>
      </x:c>
      <x:c r="C957" s="409" t="n">
        <x:v>341.59</x:v>
      </x:c>
      <x:c r="D957" s="410" t="n">
        <x:v>5</x:v>
      </x:c>
      <x:c r="E957" t="str">
        <x:v>TOP_08</x:v>
      </x:c>
      <x:c r="F957" t="str">
        <x:v>ShieldSkeleton</x:v>
      </x:c>
      <x:c r="G957" s="410" t="n">
        <x:v>29</x:v>
      </x:c>
    </x:row>
    <x:row r="958">
      <x:c r="A958" t="str">
        <x:v>Stage01</x:v>
      </x:c>
      <x:c r="B958" t="str">
        <x:v>WAVE_35</x:v>
      </x:c>
      <x:c r="C958" s="409" t="n">
        <x:v>341.74</x:v>
      </x:c>
      <x:c r="D958" s="410" t="n">
        <x:v>6</x:v>
      </x:c>
      <x:c r="E958" t="str">
        <x:v>RIGHT_01</x:v>
      </x:c>
      <x:c r="F958" t="str">
        <x:v>GoblinMelee</x:v>
      </x:c>
      <x:c r="G958" s="410" t="n">
        <x:v>29</x:v>
      </x:c>
    </x:row>
    <x:row r="959">
      <x:c r="A959" t="str">
        <x:v>Stage01</x:v>
      </x:c>
      <x:c r="B959" t="str">
        <x:v>WAVE_35</x:v>
      </x:c>
      <x:c r="C959" s="409" t="n">
        <x:v>341.89</x:v>
      </x:c>
      <x:c r="D959" s="410" t="n">
        <x:v>7</x:v>
      </x:c>
      <x:c r="E959" t="str">
        <x:v>BOTTOM_02</x:v>
      </x:c>
      <x:c r="F959" t="str">
        <x:v>GoblinRanged</x:v>
      </x:c>
      <x:c r="G959" s="410" t="n">
        <x:v>29</x:v>
      </x:c>
    </x:row>
    <x:row r="960">
      <x:c r="A960" t="str">
        <x:v>Stage01</x:v>
      </x:c>
      <x:c r="B960" t="str">
        <x:v>WAVE_35</x:v>
      </x:c>
      <x:c r="C960" s="409" t="n">
        <x:v>342.04</x:v>
      </x:c>
      <x:c r="D960" s="410" t="n">
        <x:v>8</x:v>
      </x:c>
      <x:c r="E960" t="str">
        <x:v>LEFT_03</x:v>
      </x:c>
      <x:c r="F960" t="str">
        <x:v>GoblinMelee</x:v>
      </x:c>
      <x:c r="G960" s="410" t="n">
        <x:v>29</x:v>
      </x:c>
    </x:row>
    <x:row r="961">
      <x:c r="A961" t="str">
        <x:v>Stage01</x:v>
      </x:c>
      <x:c r="B961" t="str">
        <x:v>WAVE_35</x:v>
      </x:c>
      <x:c r="C961" s="409" t="n">
        <x:v>342.19</x:v>
      </x:c>
      <x:c r="D961" s="410" t="n">
        <x:v>9</x:v>
      </x:c>
      <x:c r="E961" t="str">
        <x:v>TOP_05</x:v>
      </x:c>
      <x:c r="F961" t="str">
        <x:v>GoblinMelee</x:v>
      </x:c>
      <x:c r="G961" s="410" t="n">
        <x:v>29</x:v>
      </x:c>
    </x:row>
    <x:row r="962">
      <x:c r="A962" t="str">
        <x:v>Stage01</x:v>
      </x:c>
      <x:c r="B962" t="str">
        <x:v>WAVE_35</x:v>
      </x:c>
      <x:c r="C962" s="409" t="n">
        <x:v>342.33</x:v>
      </x:c>
      <x:c r="D962" s="410" t="n">
        <x:v>10</x:v>
      </x:c>
      <x:c r="E962" t="str">
        <x:v>RIGHT_06</x:v>
      </x:c>
      <x:c r="F962" t="str">
        <x:v>GoblinRanged</x:v>
      </x:c>
      <x:c r="G962" s="410" t="n">
        <x:v>30</x:v>
      </x:c>
    </x:row>
    <x:row r="963">
      <x:c r="A963" t="str">
        <x:v>Stage01</x:v>
      </x:c>
      <x:c r="B963" t="str">
        <x:v>WAVE_35</x:v>
      </x:c>
      <x:c r="C963" s="409" t="n">
        <x:v>342.48</x:v>
      </x:c>
      <x:c r="D963" s="410" t="n">
        <x:v>11</x:v>
      </x:c>
      <x:c r="E963" t="str">
        <x:v>BOTTOM_07</x:v>
      </x:c>
      <x:c r="F963" t="str">
        <x:v>GoblinMelee</x:v>
      </x:c>
      <x:c r="G963" s="410" t="n">
        <x:v>29</x:v>
      </x:c>
    </x:row>
    <x:row r="964">
      <x:c r="A964" t="str">
        <x:v>Stage01</x:v>
      </x:c>
      <x:c r="B964" t="str">
        <x:v>WAVE_35</x:v>
      </x:c>
      <x:c r="C964" s="409" t="n">
        <x:v>342.63</x:v>
      </x:c>
      <x:c r="D964" s="410" t="n">
        <x:v>12</x:v>
      </x:c>
      <x:c r="E964" t="str">
        <x:v>LEFT_08</x:v>
      </x:c>
      <x:c r="F964" t="str">
        <x:v>GoblinMelee</x:v>
      </x:c>
      <x:c r="G964" s="410" t="n">
        <x:v>29</x:v>
      </x:c>
    </x:row>
    <x:row r="965">
      <x:c r="A965" t="str">
        <x:v>Stage01</x:v>
      </x:c>
      <x:c r="B965" t="str">
        <x:v>WAVE_35</x:v>
      </x:c>
      <x:c r="C965" s="409" t="n">
        <x:v>342.78</x:v>
      </x:c>
      <x:c r="D965" s="410" t="n">
        <x:v>13</x:v>
      </x:c>
      <x:c r="E965" t="str">
        <x:v>TOP_02</x:v>
      </x:c>
      <x:c r="F965" t="str">
        <x:v>GoblinMelee</x:v>
      </x:c>
      <x:c r="G965" s="410" t="n">
        <x:v>29</x:v>
      </x:c>
    </x:row>
    <x:row r="966">
      <x:c r="A966" t="str">
        <x:v>Stage01</x:v>
      </x:c>
      <x:c r="B966" t="str">
        <x:v>WAVE_35</x:v>
      </x:c>
      <x:c r="C966" s="409" t="n">
        <x:v>342.93</x:v>
      </x:c>
      <x:c r="D966" s="410" t="n">
        <x:v>14</x:v>
      </x:c>
      <x:c r="E966" t="str">
        <x:v>RIGHT_03</x:v>
      </x:c>
      <x:c r="F966" t="str">
        <x:v>GoblinRanged</x:v>
      </x:c>
      <x:c r="G966" s="410" t="n">
        <x:v>29</x:v>
      </x:c>
    </x:row>
    <x:row r="967">
      <x:c r="A967" t="str">
        <x:v>Stage01</x:v>
      </x:c>
      <x:c r="B967" t="str">
        <x:v>WAVE_35</x:v>
      </x:c>
      <x:c r="C967" s="409" t="n">
        <x:v>343.08</x:v>
      </x:c>
      <x:c r="D967" s="410" t="n">
        <x:v>15</x:v>
      </x:c>
      <x:c r="E967" t="str">
        <x:v>BOTTOM_04</x:v>
      </x:c>
      <x:c r="F967" t="str">
        <x:v>FlyingEye</x:v>
      </x:c>
      <x:c r="G967" s="410" t="n">
        <x:v>29</x:v>
      </x:c>
    </x:row>
    <x:row r="968">
      <x:c r="A968" t="str">
        <x:v>Stage01</x:v>
      </x:c>
      <x:c r="B968" t="str">
        <x:v>WAVE_35</x:v>
      </x:c>
      <x:c r="C968" s="409" t="n">
        <x:v>343.22</x:v>
      </x:c>
      <x:c r="D968" s="410" t="n">
        <x:v>16</x:v>
      </x:c>
      <x:c r="E968" t="str">
        <x:v>LEFT_05</x:v>
      </x:c>
      <x:c r="F968" t="str">
        <x:v>ShieldSkeleton</x:v>
      </x:c>
      <x:c r="G968" s="410" t="n">
        <x:v>29</x:v>
      </x:c>
    </x:row>
    <x:row r="969">
      <x:c r="A969" t="str">
        <x:v>Stage01</x:v>
      </x:c>
      <x:c r="B969" t="str">
        <x:v>WAVE_35</x:v>
      </x:c>
      <x:c r="C969" s="409" t="n">
        <x:v>343.37</x:v>
      </x:c>
      <x:c r="D969" s="410" t="n">
        <x:v>17</x:v>
      </x:c>
      <x:c r="E969" t="str">
        <x:v>TOP_07</x:v>
      </x:c>
      <x:c r="F969" t="str">
        <x:v>GoblinMelee</x:v>
      </x:c>
      <x:c r="G969" s="410" t="n">
        <x:v>30</x:v>
      </x:c>
    </x:row>
    <x:row r="970">
      <x:c r="A970" t="str">
        <x:v>Stage01</x:v>
      </x:c>
      <x:c r="B970" t="str">
        <x:v>WAVE_35</x:v>
      </x:c>
      <x:c r="C970" s="409" t="n">
        <x:v>343.52</x:v>
      </x:c>
      <x:c r="D970" s="410" t="n">
        <x:v>18</x:v>
      </x:c>
      <x:c r="E970" t="str">
        <x:v>RIGHT_08</x:v>
      </x:c>
      <x:c r="F970" t="str">
        <x:v>GoblinMelee</x:v>
      </x:c>
      <x:c r="G970" s="410" t="n">
        <x:v>29</x:v>
      </x:c>
    </x:row>
    <x:row r="971">
      <x:c r="A971" t="str">
        <x:v>Stage01</x:v>
      </x:c>
      <x:c r="B971" t="str">
        <x:v>WAVE_35</x:v>
      </x:c>
      <x:c r="C971" s="409" t="n">
        <x:v>343.67</x:v>
      </x:c>
      <x:c r="D971" s="410" t="n">
        <x:v>19</x:v>
      </x:c>
      <x:c r="E971" t="str">
        <x:v>BOTTOM_01</x:v>
      </x:c>
      <x:c r="F971" t="str">
        <x:v>GoblinRanged</x:v>
      </x:c>
      <x:c r="G971" s="410" t="n">
        <x:v>29</x:v>
      </x:c>
    </x:row>
    <x:row r="972">
      <x:c r="A972" t="str">
        <x:v>Stage01</x:v>
      </x:c>
      <x:c r="B972" t="str">
        <x:v>WAVE_35</x:v>
      </x:c>
      <x:c r="C972" s="409" t="n">
        <x:v>343.82</x:v>
      </x:c>
      <x:c r="D972" s="410" t="n">
        <x:v>20</x:v>
      </x:c>
      <x:c r="E972" t="str">
        <x:v>LEFT_02</x:v>
      </x:c>
      <x:c r="F972" t="str">
        <x:v>GoblinMelee</x:v>
      </x:c>
      <x:c r="G972" s="410" t="n">
        <x:v>29</x:v>
      </x:c>
    </x:row>
    <x:row r="973">
      <x:c r="A973" t="str">
        <x:v>Stage01</x:v>
      </x:c>
      <x:c r="B973" t="str">
        <x:v>WAVE_35</x:v>
      </x:c>
      <x:c r="C973" s="409" t="n">
        <x:v>343.97</x:v>
      </x:c>
      <x:c r="D973" s="410" t="n">
        <x:v>21</x:v>
      </x:c>
      <x:c r="E973" t="str">
        <x:v>TOP_04</x:v>
      </x:c>
      <x:c r="F973" t="str">
        <x:v>GoblinMelee</x:v>
      </x:c>
      <x:c r="G973" s="410" t="n">
        <x:v>29</x:v>
      </x:c>
    </x:row>
    <x:row r="974">
      <x:c r="A974" t="str">
        <x:v>Stage01</x:v>
      </x:c>
      <x:c r="B974" t="str">
        <x:v>WAVE_35</x:v>
      </x:c>
      <x:c r="C974" s="409" t="n">
        <x:v>344.11</x:v>
      </x:c>
      <x:c r="D974" s="410" t="n">
        <x:v>22</x:v>
      </x:c>
      <x:c r="E974" t="str">
        <x:v>RIGHT_05</x:v>
      </x:c>
      <x:c r="F974" t="str">
        <x:v>GoblinRanged</x:v>
      </x:c>
      <x:c r="G974" s="410" t="n">
        <x:v>29</x:v>
      </x:c>
    </x:row>
    <x:row r="975">
      <x:c r="A975" t="str">
        <x:v>Stage01</x:v>
      </x:c>
      <x:c r="B975" t="str">
        <x:v>WAVE_35</x:v>
      </x:c>
      <x:c r="C975" s="409" t="n">
        <x:v>344.26</x:v>
      </x:c>
      <x:c r="D975" s="410" t="n">
        <x:v>23</x:v>
      </x:c>
      <x:c r="E975" t="str">
        <x:v>BOTTOM_06</x:v>
      </x:c>
      <x:c r="F975" t="str">
        <x:v>GoblinMelee</x:v>
      </x:c>
      <x:c r="G975" s="410" t="n">
        <x:v>30</x:v>
      </x:c>
    </x:row>
    <x:row r="976">
      <x:c r="A976" t="str">
        <x:v>Stage01</x:v>
      </x:c>
      <x:c r="B976" t="str">
        <x:v>WAVE_35</x:v>
      </x:c>
      <x:c r="C976" s="409" t="n">
        <x:v>344.41</x:v>
      </x:c>
      <x:c r="D976" s="410" t="n">
        <x:v>24</x:v>
      </x:c>
      <x:c r="E976" t="str">
        <x:v>LEFT_07</x:v>
      </x:c>
      <x:c r="F976" t="str">
        <x:v>GoblinMelee</x:v>
      </x:c>
      <x:c r="G976" s="410" t="n">
        <x:v>29</x:v>
      </x:c>
    </x:row>
    <x:row r="977">
      <x:c r="A977" t="str">
        <x:v>Stage01</x:v>
      </x:c>
      <x:c r="B977" t="str">
        <x:v>WAVE_35</x:v>
      </x:c>
      <x:c r="C977" s="409" t="n">
        <x:v>344.56</x:v>
      </x:c>
      <x:c r="D977" s="410" t="n">
        <x:v>25</x:v>
      </x:c>
      <x:c r="E977" t="str">
        <x:v>TOP_01</x:v>
      </x:c>
      <x:c r="F977" t="str">
        <x:v>ShieldSkeleton</x:v>
      </x:c>
      <x:c r="G977" s="410" t="n">
        <x:v>29</x:v>
      </x:c>
    </x:row>
    <x:row r="978">
      <x:c r="A978" t="str">
        <x:v>Stage01</x:v>
      </x:c>
      <x:c r="B978" t="str">
        <x:v>WAVE_35</x:v>
      </x:c>
      <x:c r="C978" s="409" t="n">
        <x:v>344.71</x:v>
      </x:c>
      <x:c r="D978" s="410" t="n">
        <x:v>26</x:v>
      </x:c>
      <x:c r="E978" t="str">
        <x:v>RIGHT_02</x:v>
      </x:c>
      <x:c r="F978" t="str">
        <x:v>GoblinMelee</x:v>
      </x:c>
      <x:c r="G978" s="410" t="n">
        <x:v>29</x:v>
      </x:c>
    </x:row>
    <x:row r="979">
      <x:c r="A979" t="str">
        <x:v>Stage01</x:v>
      </x:c>
      <x:c r="B979" t="str">
        <x:v>WAVE_35</x:v>
      </x:c>
      <x:c r="C979" s="409" t="n">
        <x:v>344.86</x:v>
      </x:c>
      <x:c r="D979" s="410" t="n">
        <x:v>27</x:v>
      </x:c>
      <x:c r="E979" t="str">
        <x:v>BOTTOM_03</x:v>
      </x:c>
      <x:c r="F979" t="str">
        <x:v>GoblinRanged</x:v>
      </x:c>
      <x:c r="G979" s="410" t="n">
        <x:v>29</x:v>
      </x:c>
    </x:row>
    <x:row r="980">
      <x:c r="A980" t="str">
        <x:v>Stage01</x:v>
      </x:c>
      <x:c r="B980" t="str">
        <x:v>WAVE_35</x:v>
      </x:c>
      <x:c r="C980" s="409" t="n">
        <x:v>345</x:v>
      </x:c>
      <x:c r="D980" s="410" t="n">
        <x:v>28</x:v>
      </x:c>
      <x:c r="E980" t="str">
        <x:v>LEFT_04</x:v>
      </x:c>
      <x:c r="F980" t="str">
        <x:v>GoblinMelee</x:v>
      </x:c>
      <x:c r="G980" s="410" t="n">
        <x:v>29</x:v>
      </x:c>
    </x:row>
    <x:row r="981">
      <x:c r="A981" t="str">
        <x:v>Stage01</x:v>
      </x:c>
      <x:c r="B981" t="str">
        <x:v>WAVE_35</x:v>
      </x:c>
      <x:c r="C981" s="409" t="n">
        <x:v>345.15</x:v>
      </x:c>
      <x:c r="D981" s="410" t="n">
        <x:v>29</x:v>
      </x:c>
      <x:c r="E981" t="str">
        <x:v>TOP_06</x:v>
      </x:c>
      <x:c r="F981" t="str">
        <x:v>GoblinMelee</x:v>
      </x:c>
      <x:c r="G981" s="410" t="n">
        <x:v>29</x:v>
      </x:c>
    </x:row>
    <x:row r="982">
      <x:c r="A982" t="str">
        <x:v>Stage01</x:v>
      </x:c>
      <x:c r="B982" t="str">
        <x:v>WAVE_35</x:v>
      </x:c>
      <x:c r="C982" s="409" t="n">
        <x:v>345.3</x:v>
      </x:c>
      <x:c r="D982" s="410" t="n">
        <x:v>30</x:v>
      </x:c>
      <x:c r="E982" t="str">
        <x:v>RIGHT_07</x:v>
      </x:c>
      <x:c r="F982" t="str">
        <x:v>GoblinRanged</x:v>
      </x:c>
      <x:c r="G982" s="410" t="n">
        <x:v>30</x:v>
      </x:c>
    </x:row>
    <x:row r="983">
      <x:c r="A983" t="str">
        <x:v>Stage01</x:v>
      </x:c>
      <x:c r="B983" t="str">
        <x:v>WAVE_35</x:v>
      </x:c>
      <x:c r="C983" s="409" t="n">
        <x:v>345.45</x:v>
      </x:c>
      <x:c r="D983" s="410" t="n">
        <x:v>31</x:v>
      </x:c>
      <x:c r="E983" t="str">
        <x:v>BOTTOM_08</x:v>
      </x:c>
      <x:c r="F983" t="str">
        <x:v>FlyingEye</x:v>
      </x:c>
      <x:c r="G983" s="410" t="n">
        <x:v>29</x:v>
      </x:c>
    </x:row>
    <x:row r="984">
      <x:c r="A984" t="str">
        <x:v>Stage01</x:v>
      </x:c>
      <x:c r="B984" t="str">
        <x:v>WAVE_35</x:v>
      </x:c>
      <x:c r="C984" s="409" t="n">
        <x:v>345.6</x:v>
      </x:c>
      <x:c r="D984" s="410" t="n">
        <x:v>32</x:v>
      </x:c>
      <x:c r="E984" t="str">
        <x:v>LEFT_01</x:v>
      </x:c>
      <x:c r="F984" t="str">
        <x:v>GoblinMelee</x:v>
      </x:c>
      <x:c r="G984" s="410" t="n">
        <x:v>29</x:v>
      </x:c>
    </x:row>
    <x:row r="985">
      <x:c r="A985" t="str">
        <x:v>Stage01</x:v>
      </x:c>
      <x:c r="B985" t="str">
        <x:v>WAVE_35</x:v>
      </x:c>
      <x:c r="C985" s="409" t="n">
        <x:v>345.74</x:v>
      </x:c>
      <x:c r="D985" s="410" t="n">
        <x:v>33</x:v>
      </x:c>
      <x:c r="E985" t="str">
        <x:v>TOP_03</x:v>
      </x:c>
      <x:c r="F985" t="str">
        <x:v>GoblinRanged</x:v>
      </x:c>
      <x:c r="G985" s="410" t="n">
        <x:v>29</x:v>
      </x:c>
    </x:row>
    <x:row r="986">
      <x:c r="A986" t="str">
        <x:v>Stage01</x:v>
      </x:c>
      <x:c r="B986" t="str">
        <x:v>WAVE_35</x:v>
      </x:c>
      <x:c r="C986" s="409" t="n">
        <x:v>345.89</x:v>
      </x:c>
      <x:c r="D986" s="410" t="n">
        <x:v>34</x:v>
      </x:c>
      <x:c r="E986" t="str">
        <x:v>RIGHT_04</x:v>
      </x:c>
      <x:c r="F986" t="str">
        <x:v>GoblinMelee</x:v>
      </x:c>
      <x:c r="G986" s="410" t="n">
        <x:v>29</x:v>
      </x:c>
    </x:row>
    <x:row r="987">
      <x:c r="A987" t="str">
        <x:v>Stage01</x:v>
      </x:c>
      <x:c r="B987" t="str">
        <x:v>WAVE_35</x:v>
      </x:c>
      <x:c r="C987" s="409" t="n">
        <x:v>346.04</x:v>
      </x:c>
      <x:c r="D987" s="410" t="n">
        <x:v>35</x:v>
      </x:c>
      <x:c r="E987" t="str">
        <x:v>BOTTOM_05</x:v>
      </x:c>
      <x:c r="F987" t="str">
        <x:v>ShieldSkeleton</x:v>
      </x:c>
      <x:c r="G987" s="410" t="n">
        <x:v>29</x:v>
      </x:c>
    </x:row>
    <x:row r="988">
      <x:c r="A988" t="str">
        <x:v>Stage01</x:v>
      </x:c>
      <x:c r="B988" t="str">
        <x:v>WAVE_35</x:v>
      </x:c>
      <x:c r="C988" s="409" t="n">
        <x:v>346.19</x:v>
      </x:c>
      <x:c r="D988" s="410" t="n">
        <x:v>36</x:v>
      </x:c>
      <x:c r="E988" t="str">
        <x:v>LEFT_06</x:v>
      </x:c>
      <x:c r="F988" t="str">
        <x:v>GoblinMelee</x:v>
      </x:c>
      <x:c r="G988" s="410" t="n">
        <x:v>29</x:v>
      </x:c>
    </x:row>
    <x:row r="989">
      <x:c r="A989" t="str">
        <x:v>Stage01</x:v>
      </x:c>
      <x:c r="B989" t="str">
        <x:v>WAVE_35</x:v>
      </x:c>
      <x:c r="C989" s="409" t="n">
        <x:v>346.34</x:v>
      </x:c>
      <x:c r="D989" s="410" t="n">
        <x:v>37</x:v>
      </x:c>
      <x:c r="E989" t="str">
        <x:v>TOP_08</x:v>
      </x:c>
      <x:c r="F989" t="str">
        <x:v>GoblinMelee</x:v>
      </x:c>
      <x:c r="G989" s="410" t="n">
        <x:v>30</x:v>
      </x:c>
    </x:row>
    <x:row r="990">
      <x:c r="A990" t="str">
        <x:v>Stage01</x:v>
      </x:c>
      <x:c r="B990" t="str">
        <x:v>WAVE_35</x:v>
      </x:c>
      <x:c r="C990" s="409" t="n">
        <x:v>346.49</x:v>
      </x:c>
      <x:c r="D990" s="410" t="n">
        <x:v>38</x:v>
      </x:c>
      <x:c r="E990" t="str">
        <x:v>RIGHT_01</x:v>
      </x:c>
      <x:c r="F990" t="str">
        <x:v>GoblinRanged</x:v>
      </x:c>
      <x:c r="G990" s="410" t="n">
        <x:v>29</x:v>
      </x:c>
    </x:row>
    <x:row r="991">
      <x:c r="A991" t="str">
        <x:v>Stage01</x:v>
      </x:c>
      <x:c r="B991" t="str">
        <x:v>WAVE_35</x:v>
      </x:c>
      <x:c r="C991" s="409" t="n">
        <x:v>346.63</x:v>
      </x:c>
      <x:c r="D991" s="410" t="n">
        <x:v>39</x:v>
      </x:c>
      <x:c r="E991" t="str">
        <x:v>BOTTOM_02</x:v>
      </x:c>
      <x:c r="F991" t="str">
        <x:v>GoblinMelee</x:v>
      </x:c>
      <x:c r="G991" s="410" t="n">
        <x:v>29</x:v>
      </x:c>
    </x:row>
    <x:row r="992">
      <x:c r="A992" t="str">
        <x:v>Stage01</x:v>
      </x:c>
      <x:c r="B992" t="str">
        <x:v>WAVE_35</x:v>
      </x:c>
      <x:c r="C992" s="409" t="n">
        <x:v>346.78</x:v>
      </x:c>
      <x:c r="D992" s="410" t="n">
        <x:v>40</x:v>
      </x:c>
      <x:c r="E992" t="str">
        <x:v>LEFT_03</x:v>
      </x:c>
      <x:c r="F992" t="str">
        <x:v>GoblinMelee</x:v>
      </x:c>
      <x:c r="G992" s="410" t="n">
        <x:v>29</x:v>
      </x:c>
    </x:row>
    <x:row r="993">
      <x:c r="A993" t="str">
        <x:v>Stage01</x:v>
      </x:c>
      <x:c r="B993" t="str">
        <x:v>WAVE_35</x:v>
      </x:c>
      <x:c r="C993" s="409" t="n">
        <x:v>346.93</x:v>
      </x:c>
      <x:c r="D993" s="410" t="n">
        <x:v>41</x:v>
      </x:c>
      <x:c r="E993" t="str">
        <x:v>TOP_05</x:v>
      </x:c>
      <x:c r="F993" t="str">
        <x:v>GoblinRanged</x:v>
      </x:c>
      <x:c r="G993" s="410" t="n">
        <x:v>29</x:v>
      </x:c>
    </x:row>
    <x:row r="994">
      <x:c r="A994" t="str">
        <x:v>Stage01</x:v>
      </x:c>
      <x:c r="B994" t="str">
        <x:v>WAVE_35</x:v>
      </x:c>
      <x:c r="C994" s="409" t="n">
        <x:v>347.08</x:v>
      </x:c>
      <x:c r="D994" s="410" t="n">
        <x:v>42</x:v>
      </x:c>
      <x:c r="E994" t="str">
        <x:v>RIGHT_06</x:v>
      </x:c>
      <x:c r="F994" t="str">
        <x:v>GoblinMelee</x:v>
      </x:c>
      <x:c r="G994" s="410" t="n">
        <x:v>29</x:v>
      </x:c>
    </x:row>
    <x:row r="995">
      <x:c r="A995" t="str">
        <x:v>Stage01</x:v>
      </x:c>
      <x:c r="B995" t="str">
        <x:v>WAVE_35</x:v>
      </x:c>
      <x:c r="C995" s="409" t="n">
        <x:v>347.23</x:v>
      </x:c>
      <x:c r="D995" s="410" t="n">
        <x:v>43</x:v>
      </x:c>
      <x:c r="E995" t="str">
        <x:v>BOTTOM_07</x:v>
      </x:c>
      <x:c r="F995" t="str">
        <x:v>GoblinMelee</x:v>
      </x:c>
      <x:c r="G995" s="410" t="n">
        <x:v>30</x:v>
      </x:c>
    </x:row>
    <x:row r="996">
      <x:c r="A996" t="str">
        <x:v>Stage01</x:v>
      </x:c>
      <x:c r="B996" t="str">
        <x:v>WAVE_35</x:v>
      </x:c>
      <x:c r="C996" s="409" t="n">
        <x:v>347.38</x:v>
      </x:c>
      <x:c r="D996" s="410" t="n">
        <x:v>44</x:v>
      </x:c>
      <x:c r="E996" t="str">
        <x:v>LEFT_08</x:v>
      </x:c>
      <x:c r="F996" t="str">
        <x:v>ShieldSkeleton</x:v>
      </x:c>
      <x:c r="G996" s="410" t="n">
        <x:v>29</x:v>
      </x:c>
    </x:row>
    <x:row r="997">
      <x:c r="A997" t="str">
        <x:v>Stage01</x:v>
      </x:c>
      <x:c r="B997" t="str">
        <x:v>WAVE_35</x:v>
      </x:c>
      <x:c r="C997" s="409" t="n">
        <x:v>347.52</x:v>
      </x:c>
      <x:c r="D997" s="410" t="n">
        <x:v>45</x:v>
      </x:c>
      <x:c r="E997" t="str">
        <x:v>TOP_02</x:v>
      </x:c>
      <x:c r="F997" t="str">
        <x:v>GoblinMelee</x:v>
      </x:c>
      <x:c r="G997" s="410" t="n">
        <x:v>29</x:v>
      </x:c>
    </x:row>
    <x:row r="998">
      <x:c r="A998" t="str">
        <x:v>Stage01</x:v>
      </x:c>
      <x:c r="B998" t="str">
        <x:v>WAVE_35</x:v>
      </x:c>
      <x:c r="C998" s="409" t="n">
        <x:v>347.67</x:v>
      </x:c>
      <x:c r="D998" s="410" t="n">
        <x:v>46</x:v>
      </x:c>
      <x:c r="E998" t="str">
        <x:v>RIGHT_03</x:v>
      </x:c>
      <x:c r="F998" t="str">
        <x:v>GoblinRanged</x:v>
      </x:c>
      <x:c r="G998" s="410" t="n">
        <x:v>29</x:v>
      </x:c>
    </x:row>
    <x:row r="999">
      <x:c r="A999" t="str">
        <x:v>Stage01</x:v>
      </x:c>
      <x:c r="B999" t="str">
        <x:v>WAVE_35</x:v>
      </x:c>
      <x:c r="C999" s="409" t="n">
        <x:v>347.82</x:v>
      </x:c>
      <x:c r="D999" s="410" t="n">
        <x:v>47</x:v>
      </x:c>
      <x:c r="E999" t="str">
        <x:v>BOTTOM_04</x:v>
      </x:c>
      <x:c r="F999" t="str">
        <x:v>FlyingEye</x:v>
      </x:c>
      <x:c r="G999" s="410" t="n">
        <x:v>29</x:v>
      </x:c>
    </x:row>
    <x:row r="1000">
      <x:c r="A1000" t="str">
        <x:v>Stage01</x:v>
      </x:c>
      <x:c r="B1000" t="str">
        <x:v>WAVE_35</x:v>
      </x:c>
      <x:c r="C1000" s="409" t="n">
        <x:v>347.97</x:v>
      </x:c>
      <x:c r="D1000" s="410" t="n">
        <x:v>48</x:v>
      </x:c>
      <x:c r="E1000" t="str">
        <x:v>LEFT_05</x:v>
      </x:c>
      <x:c r="F1000" t="str">
        <x:v>GoblinMelee</x:v>
      </x:c>
      <x:c r="G1000" s="410" t="n">
        <x:v>29</x:v>
      </x:c>
    </x:row>
    <x:row r="1001">
      <x:c r="A1001" t="str">
        <x:v>Stage01</x:v>
      </x:c>
      <x:c r="B1001" t="str">
        <x:v>WAVE_35</x:v>
      </x:c>
      <x:c r="C1001" s="409" t="n">
        <x:v>348.12</x:v>
      </x:c>
      <x:c r="D1001" s="410" t="n">
        <x:v>49</x:v>
      </x:c>
      <x:c r="E1001" t="str">
        <x:v>TOP_07</x:v>
      </x:c>
      <x:c r="F1001" t="str">
        <x:v>GoblinMelee</x:v>
      </x:c>
      <x:c r="G1001" s="410" t="n">
        <x:v>29</x:v>
      </x:c>
    </x:row>
    <x:row r="1002">
      <x:c r="A1002" t="str">
        <x:v>Stage01</x:v>
      </x:c>
      <x:c r="B1002" t="str">
        <x:v>WAVE_35</x:v>
      </x:c>
      <x:c r="C1002" s="409" t="n">
        <x:v>348.27</x:v>
      </x:c>
      <x:c r="D1002" s="410" t="n">
        <x:v>50</x:v>
      </x:c>
      <x:c r="E1002" t="str">
        <x:v>RIGHT_08</x:v>
      </x:c>
      <x:c r="F1002" t="str">
        <x:v>GoblinRanged</x:v>
      </x:c>
      <x:c r="G1002" s="410" t="n">
        <x:v>30</x:v>
      </x:c>
    </x:row>
    <x:row r="1003">
      <x:c r="A1003" t="str">
        <x:v>Stage01</x:v>
      </x:c>
      <x:c r="B1003" t="str">
        <x:v>WAVE_35</x:v>
      </x:c>
      <x:c r="C1003" s="409" t="n">
        <x:v>348.41</x:v>
      </x:c>
      <x:c r="D1003" s="410" t="n">
        <x:v>51</x:v>
      </x:c>
      <x:c r="E1003" t="str">
        <x:v>BOTTOM_01</x:v>
      </x:c>
      <x:c r="F1003" t="str">
        <x:v>GoblinMelee</x:v>
      </x:c>
      <x:c r="G1003" s="410" t="n">
        <x:v>29</x:v>
      </x:c>
    </x:row>
    <x:row r="1004">
      <x:c r="A1004" t="str">
        <x:v>Stage01</x:v>
      </x:c>
      <x:c r="B1004" t="str">
        <x:v>WAVE_35</x:v>
      </x:c>
      <x:c r="C1004" s="409" t="n">
        <x:v>348.56</x:v>
      </x:c>
      <x:c r="D1004" s="410" t="n">
        <x:v>52</x:v>
      </x:c>
      <x:c r="E1004" t="str">
        <x:v>LEFT_02</x:v>
      </x:c>
      <x:c r="F1004" t="str">
        <x:v>GoblinMelee</x:v>
      </x:c>
      <x:c r="G1004" s="410" t="n">
        <x:v>29</x:v>
      </x:c>
    </x:row>
    <x:row r="1005">
      <x:c r="A1005" t="str">
        <x:v>Stage01</x:v>
      </x:c>
      <x:c r="B1005" t="str">
        <x:v>WAVE_35</x:v>
      </x:c>
      <x:c r="C1005" s="409" t="n">
        <x:v>348.71</x:v>
      </x:c>
      <x:c r="D1005" s="410" t="n">
        <x:v>53</x:v>
      </x:c>
      <x:c r="E1005" t="str">
        <x:v>TOP_04</x:v>
      </x:c>
      <x:c r="F1005" t="str">
        <x:v>GoblinRanged</x:v>
      </x:c>
      <x:c r="G1005" s="410" t="n">
        <x:v>29</x:v>
      </x:c>
    </x:row>
    <x:row r="1006">
      <x:c r="A1006" t="str">
        <x:v>Stage01</x:v>
      </x:c>
      <x:c r="B1006" t="str">
        <x:v>WAVE_35</x:v>
      </x:c>
      <x:c r="C1006" s="409" t="n">
        <x:v>348.86</x:v>
      </x:c>
      <x:c r="D1006" s="410" t="n">
        <x:v>54</x:v>
      </x:c>
      <x:c r="E1006" t="str">
        <x:v>RIGHT_05</x:v>
      </x:c>
      <x:c r="F1006" t="str">
        <x:v>GoblinMelee</x:v>
      </x:c>
      <x:c r="G1006" s="410" t="n">
        <x:v>29</x:v>
      </x:c>
    </x:row>
    <x:row r="1007">
      <x:c r="A1007" t="str">
        <x:v>Stage01</x:v>
      </x:c>
      <x:c r="B1007" t="str">
        <x:v>WAVE_35</x:v>
      </x:c>
      <x:c r="C1007" s="409" t="n">
        <x:v>349.01</x:v>
      </x:c>
      <x:c r="D1007" s="410" t="n">
        <x:v>55</x:v>
      </x:c>
      <x:c r="E1007" t="str">
        <x:v>BOTTOM_06</x:v>
      </x:c>
      <x:c r="F1007" t="str">
        <x:v>ShieldSkeleton</x:v>
      </x:c>
      <x:c r="G1007" s="410" t="n">
        <x:v>29</x:v>
      </x:c>
    </x:row>
    <x:row r="1008">
      <x:c r="A1008" t="str">
        <x:v>Stage01</x:v>
      </x:c>
      <x:c r="B1008" t="str">
        <x:v>WAVE_35</x:v>
      </x:c>
      <x:c r="C1008" s="409" t="n">
        <x:v>349.16</x:v>
      </x:c>
      <x:c r="D1008" s="410" t="n">
        <x:v>56</x:v>
      </x:c>
      <x:c r="E1008" t="str">
        <x:v>LEFT_07</x:v>
      </x:c>
      <x:c r="F1008" t="str">
        <x:v>GoblinMelee</x:v>
      </x:c>
      <x:c r="G1008" s="410" t="n">
        <x:v>30</x:v>
      </x:c>
    </x:row>
    <x:row r="1009">
      <x:c r="A1009" t="str">
        <x:v>Stage01</x:v>
      </x:c>
      <x:c r="B1009" t="str">
        <x:v>WAVE_35</x:v>
      </x:c>
      <x:c r="C1009" s="409" t="n">
        <x:v>349.3</x:v>
      </x:c>
      <x:c r="D1009" s="410" t="n">
        <x:v>57</x:v>
      </x:c>
      <x:c r="E1009" t="str">
        <x:v>TOP_01</x:v>
      </x:c>
      <x:c r="F1009" t="str">
        <x:v>GoblinMelee</x:v>
      </x:c>
      <x:c r="G1009" s="410" t="n">
        <x:v>29</x:v>
      </x:c>
    </x:row>
    <x:row r="1010">
      <x:c r="A1010" t="str">
        <x:v>Stage01</x:v>
      </x:c>
      <x:c r="B1010" t="str">
        <x:v>WAVE_35</x:v>
      </x:c>
      <x:c r="C1010" s="409" t="n">
        <x:v>349.45</x:v>
      </x:c>
      <x:c r="D1010" s="410" t="n">
        <x:v>58</x:v>
      </x:c>
      <x:c r="E1010" t="str">
        <x:v>RIGHT_02</x:v>
      </x:c>
      <x:c r="F1010" t="str">
        <x:v>GoblinRanged</x:v>
      </x:c>
      <x:c r="G1010" s="410" t="n">
        <x:v>29</x:v>
      </x:c>
    </x:row>
    <x:row r="1011">
      <x:c r="A1011" t="str">
        <x:v>Stage01</x:v>
      </x:c>
      <x:c r="B1011" t="str">
        <x:v>WAVE_35</x:v>
      </x:c>
      <x:c r="C1011" s="409" t="n">
        <x:v>349.6</x:v>
      </x:c>
      <x:c r="D1011" s="410" t="n">
        <x:v>59</x:v>
      </x:c>
      <x:c r="E1011" t="str">
        <x:v>BOTTOM_03</x:v>
      </x:c>
      <x:c r="F1011" t="str">
        <x:v>GoblinMelee</x:v>
      </x:c>
      <x:c r="G1011" s="410" t="n">
        <x:v>29</x:v>
      </x:c>
    </x:row>
    <x:row r="1012">
      <x:c r="A1012" t="str">
        <x:v>Stage01</x:v>
      </x:c>
      <x:c r="B1012" t="str">
        <x:v>WAVE_36</x:v>
      </x:c>
      <x:c r="C1012" s="409" t="n">
        <x:v>351</x:v>
      </x:c>
      <x:c r="D1012" s="410" t="n">
        <x:v>1</x:v>
      </x:c>
      <x:c r="E1012" t="str">
        <x:v>BOTTOM_06</x:v>
      </x:c>
      <x:c r="F1012" t="str">
        <x:v>GoblinMelee</x:v>
      </x:c>
      <x:c r="G1012" s="410" t="n">
        <x:v>30</x:v>
      </x:c>
    </x:row>
    <x:row r="1013">
      <x:c r="A1013" t="str">
        <x:v>Stage01</x:v>
      </x:c>
      <x:c r="B1013" t="str">
        <x:v>WAVE_36</x:v>
      </x:c>
      <x:c r="C1013" s="409" t="n">
        <x:v>351.14</x:v>
      </x:c>
      <x:c r="D1013" s="410" t="n">
        <x:v>2</x:v>
      </x:c>
      <x:c r="E1013" t="str">
        <x:v>LEFT_07</x:v>
      </x:c>
      <x:c r="F1013" t="str">
        <x:v>GoblinRanged</x:v>
      </x:c>
      <x:c r="G1013" s="410" t="n">
        <x:v>30</x:v>
      </x:c>
    </x:row>
    <x:row r="1014">
      <x:c r="A1014" t="str">
        <x:v>Stage01</x:v>
      </x:c>
      <x:c r="B1014" t="str">
        <x:v>WAVE_36</x:v>
      </x:c>
      <x:c r="C1014" s="409" t="n">
        <x:v>351.29</x:v>
      </x:c>
      <x:c r="D1014" s="410" t="n">
        <x:v>3</x:v>
      </x:c>
      <x:c r="E1014" t="str">
        <x:v>TOP_01</x:v>
      </x:c>
      <x:c r="F1014" t="str">
        <x:v>GoblinMelee</x:v>
      </x:c>
      <x:c r="G1014" s="410" t="n">
        <x:v>31</x:v>
      </x:c>
    </x:row>
    <x:row r="1015">
      <x:c r="A1015" t="str">
        <x:v>Stage01</x:v>
      </x:c>
      <x:c r="B1015" t="str">
        <x:v>WAVE_36</x:v>
      </x:c>
      <x:c r="C1015" s="409" t="n">
        <x:v>351.43</x:v>
      </x:c>
      <x:c r="D1015" s="410" t="n">
        <x:v>4</x:v>
      </x:c>
      <x:c r="E1015" t="str">
        <x:v>RIGHT_02</x:v>
      </x:c>
      <x:c r="F1015" t="str">
        <x:v>GoblinMelee</x:v>
      </x:c>
      <x:c r="G1015" s="410" t="n">
        <x:v>30</x:v>
      </x:c>
    </x:row>
    <x:row r="1016">
      <x:c r="A1016" t="str">
        <x:v>Stage01</x:v>
      </x:c>
      <x:c r="B1016" t="str">
        <x:v>WAVE_36</x:v>
      </x:c>
      <x:c r="C1016" s="409" t="n">
        <x:v>351.57</x:v>
      </x:c>
      <x:c r="D1016" s="410" t="n">
        <x:v>5</x:v>
      </x:c>
      <x:c r="E1016" t="str">
        <x:v>BOTTOM_03</x:v>
      </x:c>
      <x:c r="F1016" t="str">
        <x:v>ShieldSkeleton</x:v>
      </x:c>
      <x:c r="G1016" s="410" t="n">
        <x:v>30</x:v>
      </x:c>
    </x:row>
    <x:row r="1017">
      <x:c r="A1017" t="str">
        <x:v>Stage01</x:v>
      </x:c>
      <x:c r="B1017" t="str">
        <x:v>WAVE_36</x:v>
      </x:c>
      <x:c r="C1017" s="409" t="n">
        <x:v>351.72</x:v>
      </x:c>
      <x:c r="D1017" s="410" t="n">
        <x:v>6</x:v>
      </x:c>
      <x:c r="E1017" t="str">
        <x:v>LEFT_04</x:v>
      </x:c>
      <x:c r="F1017" t="str">
        <x:v>GoblinMelee</x:v>
      </x:c>
      <x:c r="G1017" s="410" t="n">
        <x:v>30</x:v>
      </x:c>
    </x:row>
    <x:row r="1018">
      <x:c r="A1018" t="str">
        <x:v>Stage01</x:v>
      </x:c>
      <x:c r="B1018" t="str">
        <x:v>WAVE_36</x:v>
      </x:c>
      <x:c r="C1018" s="409" t="n">
        <x:v>351.86</x:v>
      </x:c>
      <x:c r="D1018" s="410" t="n">
        <x:v>7</x:v>
      </x:c>
      <x:c r="E1018" t="str">
        <x:v>TOP_06</x:v>
      </x:c>
      <x:c r="F1018" t="str">
        <x:v>GoblinRanged</x:v>
      </x:c>
      <x:c r="G1018" s="410" t="n">
        <x:v>30</x:v>
      </x:c>
    </x:row>
    <x:row r="1019">
      <x:c r="A1019" t="str">
        <x:v>Stage01</x:v>
      </x:c>
      <x:c r="B1019" t="str">
        <x:v>WAVE_36</x:v>
      </x:c>
      <x:c r="C1019" s="409" t="n">
        <x:v>352</x:v>
      </x:c>
      <x:c r="D1019" s="410" t="n">
        <x:v>8</x:v>
      </x:c>
      <x:c r="E1019" t="str">
        <x:v>RIGHT_07</x:v>
      </x:c>
      <x:c r="F1019" t="str">
        <x:v>GoblinMelee</x:v>
      </x:c>
      <x:c r="G1019" s="410" t="n">
        <x:v>30</x:v>
      </x:c>
    </x:row>
    <x:row r="1020">
      <x:c r="A1020" t="str">
        <x:v>Stage01</x:v>
      </x:c>
      <x:c r="B1020" t="str">
        <x:v>WAVE_36</x:v>
      </x:c>
      <x:c r="C1020" s="409" t="n">
        <x:v>352.15</x:v>
      </x:c>
      <x:c r="D1020" s="410" t="n">
        <x:v>9</x:v>
      </x:c>
      <x:c r="E1020" t="str">
        <x:v>BOTTOM_08</x:v>
      </x:c>
      <x:c r="F1020" t="str">
        <x:v>GoblinMelee</x:v>
      </x:c>
      <x:c r="G1020" s="410" t="n">
        <x:v>31</x:v>
      </x:c>
    </x:row>
    <x:row r="1021">
      <x:c r="A1021" t="str">
        <x:v>Stage01</x:v>
      </x:c>
      <x:c r="B1021" t="str">
        <x:v>WAVE_36</x:v>
      </x:c>
      <x:c r="C1021" s="409" t="n">
        <x:v>352.29</x:v>
      </x:c>
      <x:c r="D1021" s="410" t="n">
        <x:v>10</x:v>
      </x:c>
      <x:c r="E1021" t="str">
        <x:v>LEFT_01</x:v>
      </x:c>
      <x:c r="F1021" t="str">
        <x:v>GoblinRanged</x:v>
      </x:c>
      <x:c r="G1021" s="410" t="n">
        <x:v>30</x:v>
      </x:c>
    </x:row>
    <x:row r="1022">
      <x:c r="A1022" t="str">
        <x:v>Stage01</x:v>
      </x:c>
      <x:c r="B1022" t="str">
        <x:v>WAVE_36</x:v>
      </x:c>
      <x:c r="C1022" s="409" t="n">
        <x:v>352.43</x:v>
      </x:c>
      <x:c r="D1022" s="410" t="n">
        <x:v>11</x:v>
      </x:c>
      <x:c r="E1022" t="str">
        <x:v>TOP_03</x:v>
      </x:c>
      <x:c r="F1022" t="str">
        <x:v>GoblinMelee</x:v>
      </x:c>
      <x:c r="G1022" s="410" t="n">
        <x:v>30</x:v>
      </x:c>
    </x:row>
    <x:row r="1023">
      <x:c r="A1023" t="str">
        <x:v>Stage01</x:v>
      </x:c>
      <x:c r="B1023" t="str">
        <x:v>WAVE_36</x:v>
      </x:c>
      <x:c r="C1023" s="409" t="n">
        <x:v>352.58</x:v>
      </x:c>
      <x:c r="D1023" s="410" t="n">
        <x:v>12</x:v>
      </x:c>
      <x:c r="E1023" t="str">
        <x:v>RIGHT_04</x:v>
      </x:c>
      <x:c r="F1023" t="str">
        <x:v>GoblinMelee</x:v>
      </x:c>
      <x:c r="G1023" s="410" t="n">
        <x:v>30</x:v>
      </x:c>
    </x:row>
    <x:row r="1024">
      <x:c r="A1024" t="str">
        <x:v>Stage01</x:v>
      </x:c>
      <x:c r="B1024" t="str">
        <x:v>WAVE_36</x:v>
      </x:c>
      <x:c r="C1024" s="409" t="n">
        <x:v>352.72</x:v>
      </x:c>
      <x:c r="D1024" s="410" t="n">
        <x:v>13</x:v>
      </x:c>
      <x:c r="E1024" t="str">
        <x:v>BOTTOM_05</x:v>
      </x:c>
      <x:c r="F1024" t="str">
        <x:v>ShieldSkeleton</x:v>
      </x:c>
      <x:c r="G1024" s="410" t="n">
        <x:v>30</x:v>
      </x:c>
    </x:row>
    <x:row r="1025">
      <x:c r="A1025" t="str">
        <x:v>Stage01</x:v>
      </x:c>
      <x:c r="B1025" t="str">
        <x:v>WAVE_36</x:v>
      </x:c>
      <x:c r="C1025" s="409" t="n">
        <x:v>352.86</x:v>
      </x:c>
      <x:c r="D1025" s="410" t="n">
        <x:v>14</x:v>
      </x:c>
      <x:c r="E1025" t="str">
        <x:v>LEFT_06</x:v>
      </x:c>
      <x:c r="F1025" t="str">
        <x:v>GoblinMelee</x:v>
      </x:c>
      <x:c r="G1025" s="410" t="n">
        <x:v>31</x:v>
      </x:c>
    </x:row>
    <x:row r="1026">
      <x:c r="A1026" t="str">
        <x:v>Stage01</x:v>
      </x:c>
      <x:c r="B1026" t="str">
        <x:v>WAVE_36</x:v>
      </x:c>
      <x:c r="C1026" s="409" t="n">
        <x:v>353.01</x:v>
      </x:c>
      <x:c r="D1026" s="410" t="n">
        <x:v>15</x:v>
      </x:c>
      <x:c r="E1026" t="str">
        <x:v>TOP_08</x:v>
      </x:c>
      <x:c r="F1026" t="str">
        <x:v>GoblinRanged</x:v>
      </x:c>
      <x:c r="G1026" s="410" t="n">
        <x:v>30</x:v>
      </x:c>
    </x:row>
    <x:row r="1027">
      <x:c r="A1027" t="str">
        <x:v>Stage01</x:v>
      </x:c>
      <x:c r="B1027" t="str">
        <x:v>WAVE_36</x:v>
      </x:c>
      <x:c r="C1027" s="409" t="n">
        <x:v>353.15</x:v>
      </x:c>
      <x:c r="D1027" s="410" t="n">
        <x:v>16</x:v>
      </x:c>
      <x:c r="E1027" t="str">
        <x:v>RIGHT_01</x:v>
      </x:c>
      <x:c r="F1027" t="str">
        <x:v>FlyingEye</x:v>
      </x:c>
      <x:c r="G1027" s="410" t="n">
        <x:v>30</x:v>
      </x:c>
    </x:row>
    <x:row r="1028">
      <x:c r="A1028" t="str">
        <x:v>Stage01</x:v>
      </x:c>
      <x:c r="B1028" t="str">
        <x:v>WAVE_36</x:v>
      </x:c>
      <x:c r="C1028" s="409" t="n">
        <x:v>353.29</x:v>
      </x:c>
      <x:c r="D1028" s="410" t="n">
        <x:v>17</x:v>
      </x:c>
      <x:c r="E1028" t="str">
        <x:v>BOTTOM_02</x:v>
      </x:c>
      <x:c r="F1028" t="str">
        <x:v>GoblinMelee</x:v>
      </x:c>
      <x:c r="G1028" s="410" t="n">
        <x:v>30</x:v>
      </x:c>
    </x:row>
    <x:row r="1029">
      <x:c r="A1029" t="str">
        <x:v>Stage01</x:v>
      </x:c>
      <x:c r="B1029" t="str">
        <x:v>WAVE_36</x:v>
      </x:c>
      <x:c r="C1029" s="409" t="n">
        <x:v>353.44</x:v>
      </x:c>
      <x:c r="D1029" s="410" t="n">
        <x:v>18</x:v>
      </x:c>
      <x:c r="E1029" t="str">
        <x:v>LEFT_03</x:v>
      </x:c>
      <x:c r="F1029" t="str">
        <x:v>GoblinRanged</x:v>
      </x:c>
      <x:c r="G1029" s="410" t="n">
        <x:v>30</x:v>
      </x:c>
    </x:row>
    <x:row r="1030">
      <x:c r="A1030" t="str">
        <x:v>Stage01</x:v>
      </x:c>
      <x:c r="B1030" t="str">
        <x:v>WAVE_36</x:v>
      </x:c>
      <x:c r="C1030" s="409" t="n">
        <x:v>353.58</x:v>
      </x:c>
      <x:c r="D1030" s="410" t="n">
        <x:v>19</x:v>
      </x:c>
      <x:c r="E1030" t="str">
        <x:v>TOP_05</x:v>
      </x:c>
      <x:c r="F1030" t="str">
        <x:v>GoblinMelee</x:v>
      </x:c>
      <x:c r="G1030" s="410" t="n">
        <x:v>30</x:v>
      </x:c>
    </x:row>
    <x:row r="1031">
      <x:c r="A1031" t="str">
        <x:v>Stage01</x:v>
      </x:c>
      <x:c r="B1031" t="str">
        <x:v>WAVE_36</x:v>
      </x:c>
      <x:c r="C1031" s="409" t="n">
        <x:v>353.72</x:v>
      </x:c>
      <x:c r="D1031" s="410" t="n">
        <x:v>20</x:v>
      </x:c>
      <x:c r="E1031" t="str">
        <x:v>RIGHT_06</x:v>
      </x:c>
      <x:c r="F1031" t="str">
        <x:v>GoblinMelee</x:v>
      </x:c>
      <x:c r="G1031" s="410" t="n">
        <x:v>31</x:v>
      </x:c>
    </x:row>
    <x:row r="1032">
      <x:c r="A1032" t="str">
        <x:v>Stage01</x:v>
      </x:c>
      <x:c r="B1032" t="str">
        <x:v>WAVE_36</x:v>
      </x:c>
      <x:c r="C1032" s="409" t="n">
        <x:v>353.87</x:v>
      </x:c>
      <x:c r="D1032" s="410" t="n">
        <x:v>21</x:v>
      </x:c>
      <x:c r="E1032" t="str">
        <x:v>BOTTOM_07</x:v>
      </x:c>
      <x:c r="F1032" t="str">
        <x:v>ShieldSkeleton</x:v>
      </x:c>
      <x:c r="G1032" s="410" t="n">
        <x:v>30</x:v>
      </x:c>
    </x:row>
    <x:row r="1033">
      <x:c r="A1033" t="str">
        <x:v>Stage01</x:v>
      </x:c>
      <x:c r="B1033" t="str">
        <x:v>WAVE_36</x:v>
      </x:c>
      <x:c r="C1033" s="409" t="n">
        <x:v>354.01</x:v>
      </x:c>
      <x:c r="D1033" s="410" t="n">
        <x:v>22</x:v>
      </x:c>
      <x:c r="E1033" t="str">
        <x:v>LEFT_08</x:v>
      </x:c>
      <x:c r="F1033" t="str">
        <x:v>GoblinMelee</x:v>
      </x:c>
      <x:c r="G1033" s="410" t="n">
        <x:v>30</x:v>
      </x:c>
    </x:row>
    <x:row r="1034">
      <x:c r="A1034" t="str">
        <x:v>Stage01</x:v>
      </x:c>
      <x:c r="B1034" t="str">
        <x:v>WAVE_36</x:v>
      </x:c>
      <x:c r="C1034" s="409" t="n">
        <x:v>354.15</x:v>
      </x:c>
      <x:c r="D1034" s="410" t="n">
        <x:v>23</x:v>
      </x:c>
      <x:c r="E1034" t="str">
        <x:v>TOP_02</x:v>
      </x:c>
      <x:c r="F1034" t="str">
        <x:v>GoblinRanged</x:v>
      </x:c>
      <x:c r="G1034" s="410" t="n">
        <x:v>30</x:v>
      </x:c>
    </x:row>
    <x:row r="1035">
      <x:c r="A1035" t="str">
        <x:v>Stage01</x:v>
      </x:c>
      <x:c r="B1035" t="str">
        <x:v>WAVE_36</x:v>
      </x:c>
      <x:c r="C1035" s="409" t="n">
        <x:v>354.3</x:v>
      </x:c>
      <x:c r="D1035" s="410" t="n">
        <x:v>24</x:v>
      </x:c>
      <x:c r="E1035" t="str">
        <x:v>RIGHT_03</x:v>
      </x:c>
      <x:c r="F1035" t="str">
        <x:v>GoblinMelee</x:v>
      </x:c>
      <x:c r="G1035" s="410" t="n">
        <x:v>30</x:v>
      </x:c>
    </x:row>
    <x:row r="1036">
      <x:c r="A1036" t="str">
        <x:v>Stage01</x:v>
      </x:c>
      <x:c r="B1036" t="str">
        <x:v>WAVE_36</x:v>
      </x:c>
      <x:c r="C1036" s="409" t="n">
        <x:v>354.44</x:v>
      </x:c>
      <x:c r="D1036" s="410" t="n">
        <x:v>25</x:v>
      </x:c>
      <x:c r="E1036" t="str">
        <x:v>BOTTOM_04</x:v>
      </x:c>
      <x:c r="F1036" t="str">
        <x:v>GoblinMelee</x:v>
      </x:c>
      <x:c r="G1036" s="410" t="n">
        <x:v>31</x:v>
      </x:c>
    </x:row>
    <x:row r="1037">
      <x:c r="A1037" t="str">
        <x:v>Stage01</x:v>
      </x:c>
      <x:c r="B1037" t="str">
        <x:v>WAVE_36</x:v>
      </x:c>
      <x:c r="C1037" s="409" t="n">
        <x:v>354.58</x:v>
      </x:c>
      <x:c r="D1037" s="410" t="n">
        <x:v>26</x:v>
      </x:c>
      <x:c r="E1037" t="str">
        <x:v>LEFT_05</x:v>
      </x:c>
      <x:c r="F1037" t="str">
        <x:v>FlyingEyeBoss</x:v>
      </x:c>
      <x:c r="G1037" s="410" t="n">
        <x:v>31</x:v>
      </x:c>
    </x:row>
    <x:row r="1038">
      <x:c r="A1038" t="str">
        <x:v>Stage01</x:v>
      </x:c>
      <x:c r="B1038" t="str">
        <x:v>WAVE_36</x:v>
      </x:c>
      <x:c r="C1038" s="409" t="n">
        <x:v>354.73</x:v>
      </x:c>
      <x:c r="D1038" s="410" t="n">
        <x:v>27</x:v>
      </x:c>
      <x:c r="E1038" t="str">
        <x:v>TOP_07</x:v>
      </x:c>
      <x:c r="F1038" t="str">
        <x:v>GoblinMelee</x:v>
      </x:c>
      <x:c r="G1038" s="410" t="n">
        <x:v>30</x:v>
      </x:c>
    </x:row>
    <x:row r="1039">
      <x:c r="A1039" t="str">
        <x:v>Stage01</x:v>
      </x:c>
      <x:c r="B1039" t="str">
        <x:v>WAVE_36</x:v>
      </x:c>
      <x:c r="C1039" s="409" t="n">
        <x:v>354.87</x:v>
      </x:c>
      <x:c r="D1039" s="410" t="n">
        <x:v>28</x:v>
      </x:c>
      <x:c r="E1039" t="str">
        <x:v>RIGHT_08</x:v>
      </x:c>
      <x:c r="F1039" t="str">
        <x:v>GoblinRanged</x:v>
      </x:c>
      <x:c r="G1039" s="410" t="n">
        <x:v>30</x:v>
      </x:c>
    </x:row>
    <x:row r="1040">
      <x:c r="A1040" t="str">
        <x:v>Stage01</x:v>
      </x:c>
      <x:c r="B1040" t="str">
        <x:v>WAVE_36</x:v>
      </x:c>
      <x:c r="C1040" s="409" t="n">
        <x:v>355.01</x:v>
      </x:c>
      <x:c r="D1040" s="410" t="n">
        <x:v>29</x:v>
      </x:c>
      <x:c r="E1040" t="str">
        <x:v>BOTTOM_01</x:v>
      </x:c>
      <x:c r="F1040" t="str">
        <x:v>GoblinMelee</x:v>
      </x:c>
      <x:c r="G1040" s="410" t="n">
        <x:v>30</x:v>
      </x:c>
    </x:row>
    <x:row r="1041">
      <x:c r="A1041" t="str">
        <x:v>Stage01</x:v>
      </x:c>
      <x:c r="B1041" t="str">
        <x:v>WAVE_36</x:v>
      </x:c>
      <x:c r="C1041" s="409" t="n">
        <x:v>355.16</x:v>
      </x:c>
      <x:c r="D1041" s="410" t="n">
        <x:v>30</x:v>
      </x:c>
      <x:c r="E1041" t="str">
        <x:v>LEFT_02</x:v>
      </x:c>
      <x:c r="F1041" t="str">
        <x:v>GoblinMelee</x:v>
      </x:c>
      <x:c r="G1041" s="410" t="n">
        <x:v>30</x:v>
      </x:c>
    </x:row>
    <x:row r="1042">
      <x:c r="A1042" t="str">
        <x:v>Stage01</x:v>
      </x:c>
      <x:c r="B1042" t="str">
        <x:v>WAVE_36</x:v>
      </x:c>
      <x:c r="C1042" s="409" t="n">
        <x:v>355.3</x:v>
      </x:c>
      <x:c r="D1042" s="410" t="n">
        <x:v>31</x:v>
      </x:c>
      <x:c r="E1042" t="str">
        <x:v>TOP_04</x:v>
      </x:c>
      <x:c r="F1042" t="str">
        <x:v>GoblinRanged</x:v>
      </x:c>
      <x:c r="G1042" s="410" t="n">
        <x:v>31</x:v>
      </x:c>
    </x:row>
    <x:row r="1043">
      <x:c r="A1043" t="str">
        <x:v>Stage01</x:v>
      </x:c>
      <x:c r="B1043" t="str">
        <x:v>WAVE_36</x:v>
      </x:c>
      <x:c r="C1043" s="409" t="n">
        <x:v>355.44</x:v>
      </x:c>
      <x:c r="D1043" s="410" t="n">
        <x:v>32</x:v>
      </x:c>
      <x:c r="E1043" t="str">
        <x:v>RIGHT_05</x:v>
      </x:c>
      <x:c r="F1043" t="str">
        <x:v>FlyingEye</x:v>
      </x:c>
      <x:c r="G1043" s="410" t="n">
        <x:v>30</x:v>
      </x:c>
    </x:row>
    <x:row r="1044">
      <x:c r="A1044" t="str">
        <x:v>Stage01</x:v>
      </x:c>
      <x:c r="B1044" t="str">
        <x:v>WAVE_36</x:v>
      </x:c>
      <x:c r="C1044" s="409" t="n">
        <x:v>355.59</x:v>
      </x:c>
      <x:c r="D1044" s="410" t="n">
        <x:v>33</x:v>
      </x:c>
      <x:c r="E1044" t="str">
        <x:v>BOTTOM_06</x:v>
      </x:c>
      <x:c r="F1044" t="str">
        <x:v>ShieldSkeleton</x:v>
      </x:c>
      <x:c r="G1044" s="410" t="n">
        <x:v>30</x:v>
      </x:c>
    </x:row>
    <x:row r="1045">
      <x:c r="A1045" t="str">
        <x:v>Stage01</x:v>
      </x:c>
      <x:c r="B1045" t="str">
        <x:v>WAVE_36</x:v>
      </x:c>
      <x:c r="C1045" s="409" t="n">
        <x:v>355.73</x:v>
      </x:c>
      <x:c r="D1045" s="410" t="n">
        <x:v>34</x:v>
      </x:c>
      <x:c r="E1045" t="str">
        <x:v>LEFT_07</x:v>
      </x:c>
      <x:c r="F1045" t="str">
        <x:v>GoblinMelee</x:v>
      </x:c>
      <x:c r="G1045" s="410" t="n">
        <x:v>30</x:v>
      </x:c>
    </x:row>
    <x:row r="1046">
      <x:c r="A1046" t="str">
        <x:v>Stage01</x:v>
      </x:c>
      <x:c r="B1046" t="str">
        <x:v>WAVE_36</x:v>
      </x:c>
      <x:c r="C1046" s="409" t="n">
        <x:v>355.87</x:v>
      </x:c>
      <x:c r="D1046" s="410" t="n">
        <x:v>35</x:v>
      </x:c>
      <x:c r="E1046" t="str">
        <x:v>TOP_01</x:v>
      </x:c>
      <x:c r="F1046" t="str">
        <x:v>GoblinMelee</x:v>
      </x:c>
      <x:c r="G1046" s="410" t="n">
        <x:v>30</x:v>
      </x:c>
    </x:row>
    <x:row r="1047">
      <x:c r="A1047" t="str">
        <x:v>Stage01</x:v>
      </x:c>
      <x:c r="B1047" t="str">
        <x:v>WAVE_36</x:v>
      </x:c>
      <x:c r="C1047" s="409" t="n">
        <x:v>356.02</x:v>
      </x:c>
      <x:c r="D1047" s="410" t="n">
        <x:v>36</x:v>
      </x:c>
      <x:c r="E1047" t="str">
        <x:v>RIGHT_02</x:v>
      </x:c>
      <x:c r="F1047" t="str">
        <x:v>GoblinRanged</x:v>
      </x:c>
      <x:c r="G1047" s="410" t="n">
        <x:v>30</x:v>
      </x:c>
    </x:row>
    <x:row r="1048">
      <x:c r="A1048" t="str">
        <x:v>Stage01</x:v>
      </x:c>
      <x:c r="B1048" t="str">
        <x:v>WAVE_36</x:v>
      </x:c>
      <x:c r="C1048" s="409" t="n">
        <x:v>356.16</x:v>
      </x:c>
      <x:c r="D1048" s="410" t="n">
        <x:v>37</x:v>
      </x:c>
      <x:c r="E1048" t="str">
        <x:v>BOTTOM_03</x:v>
      </x:c>
      <x:c r="F1048" t="str">
        <x:v>GoblinMelee</x:v>
      </x:c>
      <x:c r="G1048" s="410" t="n">
        <x:v>31</x:v>
      </x:c>
    </x:row>
    <x:row r="1049">
      <x:c r="A1049" t="str">
        <x:v>Stage01</x:v>
      </x:c>
      <x:c r="B1049" t="str">
        <x:v>WAVE_36</x:v>
      </x:c>
      <x:c r="C1049" s="409" t="n">
        <x:v>356.3</x:v>
      </x:c>
      <x:c r="D1049" s="410" t="n">
        <x:v>38</x:v>
      </x:c>
      <x:c r="E1049" t="str">
        <x:v>LEFT_04</x:v>
      </x:c>
      <x:c r="F1049" t="str">
        <x:v>GoblinMelee</x:v>
      </x:c>
      <x:c r="G1049" s="410" t="n">
        <x:v>30</x:v>
      </x:c>
    </x:row>
    <x:row r="1050">
      <x:c r="A1050" t="str">
        <x:v>Stage01</x:v>
      </x:c>
      <x:c r="B1050" t="str">
        <x:v>WAVE_36</x:v>
      </x:c>
      <x:c r="C1050" s="409" t="n">
        <x:v>356.45</x:v>
      </x:c>
      <x:c r="D1050" s="410" t="n">
        <x:v>39</x:v>
      </x:c>
      <x:c r="E1050" t="str">
        <x:v>TOP_06</x:v>
      </x:c>
      <x:c r="F1050" t="str">
        <x:v>GoblinRanged</x:v>
      </x:c>
      <x:c r="G1050" s="410" t="n">
        <x:v>30</x:v>
      </x:c>
    </x:row>
    <x:row r="1051">
      <x:c r="A1051" t="str">
        <x:v>Stage01</x:v>
      </x:c>
      <x:c r="B1051" t="str">
        <x:v>WAVE_36</x:v>
      </x:c>
      <x:c r="C1051" s="409" t="n">
        <x:v>356.59</x:v>
      </x:c>
      <x:c r="D1051" s="410" t="n">
        <x:v>40</x:v>
      </x:c>
      <x:c r="E1051" t="str">
        <x:v>RIGHT_07</x:v>
      </x:c>
      <x:c r="F1051" t="str">
        <x:v>GoblinMelee</x:v>
      </x:c>
      <x:c r="G1051" s="410" t="n">
        <x:v>30</x:v>
      </x:c>
    </x:row>
    <x:row r="1052">
      <x:c r="A1052" t="str">
        <x:v>Stage01</x:v>
      </x:c>
      <x:c r="B1052" t="str">
        <x:v>WAVE_36</x:v>
      </x:c>
      <x:c r="C1052" s="409" t="n">
        <x:v>356.73</x:v>
      </x:c>
      <x:c r="D1052" s="410" t="n">
        <x:v>41</x:v>
      </x:c>
      <x:c r="E1052" t="str">
        <x:v>BOTTOM_08</x:v>
      </x:c>
      <x:c r="F1052" t="str">
        <x:v>ShieldSkeleton</x:v>
      </x:c>
      <x:c r="G1052" s="410" t="n">
        <x:v>30</x:v>
      </x:c>
    </x:row>
    <x:row r="1053">
      <x:c r="A1053" t="str">
        <x:v>Stage01</x:v>
      </x:c>
      <x:c r="B1053" t="str">
        <x:v>WAVE_36</x:v>
      </x:c>
      <x:c r="C1053" s="409" t="n">
        <x:v>356.88</x:v>
      </x:c>
      <x:c r="D1053" s="410" t="n">
        <x:v>42</x:v>
      </x:c>
      <x:c r="E1053" t="str">
        <x:v>LEFT_01</x:v>
      </x:c>
      <x:c r="F1053" t="str">
        <x:v>GoblinMelee</x:v>
      </x:c>
      <x:c r="G1053" s="410" t="n">
        <x:v>31</x:v>
      </x:c>
    </x:row>
    <x:row r="1054">
      <x:c r="A1054" t="str">
        <x:v>Stage01</x:v>
      </x:c>
      <x:c r="B1054" t="str">
        <x:v>WAVE_36</x:v>
      </x:c>
      <x:c r="C1054" s="409" t="n">
        <x:v>357.02</x:v>
      </x:c>
      <x:c r="D1054" s="410" t="n">
        <x:v>43</x:v>
      </x:c>
      <x:c r="E1054" t="str">
        <x:v>TOP_03</x:v>
      </x:c>
      <x:c r="F1054" t="str">
        <x:v>GoblinMelee</x:v>
      </x:c>
      <x:c r="G1054" s="410" t="n">
        <x:v>30</x:v>
      </x:c>
    </x:row>
    <x:row r="1055">
      <x:c r="A1055" t="str">
        <x:v>Stage01</x:v>
      </x:c>
      <x:c r="B1055" t="str">
        <x:v>WAVE_36</x:v>
      </x:c>
      <x:c r="C1055" s="409" t="n">
        <x:v>357.16</x:v>
      </x:c>
      <x:c r="D1055" s="410" t="n">
        <x:v>44</x:v>
      </x:c>
      <x:c r="E1055" t="str">
        <x:v>RIGHT_04</x:v>
      </x:c>
      <x:c r="F1055" t="str">
        <x:v>GoblinRanged</x:v>
      </x:c>
      <x:c r="G1055" s="410" t="n">
        <x:v>30</x:v>
      </x:c>
    </x:row>
    <x:row r="1056">
      <x:c r="A1056" t="str">
        <x:v>Stage01</x:v>
      </x:c>
      <x:c r="B1056" t="str">
        <x:v>WAVE_36</x:v>
      </x:c>
      <x:c r="C1056" s="409" t="n">
        <x:v>357.31</x:v>
      </x:c>
      <x:c r="D1056" s="410" t="n">
        <x:v>45</x:v>
      </x:c>
      <x:c r="E1056" t="str">
        <x:v>BOTTOM_05</x:v>
      </x:c>
      <x:c r="F1056" t="str">
        <x:v>GoblinMelee</x:v>
      </x:c>
      <x:c r="G1056" s="410" t="n">
        <x:v>30</x:v>
      </x:c>
    </x:row>
    <x:row r="1057">
      <x:c r="A1057" t="str">
        <x:v>Stage01</x:v>
      </x:c>
      <x:c r="B1057" t="str">
        <x:v>WAVE_36</x:v>
      </x:c>
      <x:c r="C1057" s="409" t="n">
        <x:v>357.45</x:v>
      </x:c>
      <x:c r="D1057" s="410" t="n">
        <x:v>46</x:v>
      </x:c>
      <x:c r="E1057" t="str">
        <x:v>LEFT_06</x:v>
      </x:c>
      <x:c r="F1057" t="str">
        <x:v>GoblinMelee</x:v>
      </x:c>
      <x:c r="G1057" s="410" t="n">
        <x:v>30</x:v>
      </x:c>
    </x:row>
    <x:row r="1058">
      <x:c r="A1058" t="str">
        <x:v>Stage01</x:v>
      </x:c>
      <x:c r="B1058" t="str">
        <x:v>WAVE_36</x:v>
      </x:c>
      <x:c r="C1058" s="409" t="n">
        <x:v>357.59</x:v>
      </x:c>
      <x:c r="D1058" s="410" t="n">
        <x:v>47</x:v>
      </x:c>
      <x:c r="E1058" t="str">
        <x:v>TOP_08</x:v>
      </x:c>
      <x:c r="F1058" t="str">
        <x:v>GoblinRanged</x:v>
      </x:c>
      <x:c r="G1058" s="410" t="n">
        <x:v>30</x:v>
      </x:c>
    </x:row>
    <x:row r="1059">
      <x:c r="A1059" t="str">
        <x:v>Stage01</x:v>
      </x:c>
      <x:c r="B1059" t="str">
        <x:v>WAVE_36</x:v>
      </x:c>
      <x:c r="C1059" s="409" t="n">
        <x:v>357.74</x:v>
      </x:c>
      <x:c r="D1059" s="410" t="n">
        <x:v>48</x:v>
      </x:c>
      <x:c r="E1059" t="str">
        <x:v>RIGHT_01</x:v>
      </x:c>
      <x:c r="F1059" t="str">
        <x:v>FlyingEye</x:v>
      </x:c>
      <x:c r="G1059" s="410" t="n">
        <x:v>31</x:v>
      </x:c>
    </x:row>
    <x:row r="1060">
      <x:c r="A1060" t="str">
        <x:v>Stage01</x:v>
      </x:c>
      <x:c r="B1060" t="str">
        <x:v>WAVE_36</x:v>
      </x:c>
      <x:c r="C1060" s="409" t="n">
        <x:v>357.88</x:v>
      </x:c>
      <x:c r="D1060" s="410" t="n">
        <x:v>49</x:v>
      </x:c>
      <x:c r="E1060" t="str">
        <x:v>BOTTOM_02</x:v>
      </x:c>
      <x:c r="F1060" t="str">
        <x:v>ShieldSkeleton</x:v>
      </x:c>
      <x:c r="G1060" s="410" t="n">
        <x:v>30</x:v>
      </x:c>
    </x:row>
    <x:row r="1061">
      <x:c r="A1061" t="str">
        <x:v>Stage01</x:v>
      </x:c>
      <x:c r="B1061" t="str">
        <x:v>WAVE_36</x:v>
      </x:c>
      <x:c r="C1061" s="409" t="n">
        <x:v>358.02</x:v>
      </x:c>
      <x:c r="D1061" s="410" t="n">
        <x:v>50</x:v>
      </x:c>
      <x:c r="E1061" t="str">
        <x:v>LEFT_03</x:v>
      </x:c>
      <x:c r="F1061" t="str">
        <x:v>GoblinMelee</x:v>
      </x:c>
      <x:c r="G1061" s="410" t="n">
        <x:v>30</x:v>
      </x:c>
    </x:row>
    <x:row r="1062">
      <x:c r="A1062" t="str">
        <x:v>Stage01</x:v>
      </x:c>
      <x:c r="B1062" t="str">
        <x:v>WAVE_36</x:v>
      </x:c>
      <x:c r="C1062" s="409" t="n">
        <x:v>358.17</x:v>
      </x:c>
      <x:c r="D1062" s="410" t="n">
        <x:v>51</x:v>
      </x:c>
      <x:c r="E1062" t="str">
        <x:v>TOP_05</x:v>
      </x:c>
      <x:c r="F1062" t="str">
        <x:v>GoblinMelee</x:v>
      </x:c>
      <x:c r="G1062" s="410" t="n">
        <x:v>30</x:v>
      </x:c>
    </x:row>
    <x:row r="1063">
      <x:c r="A1063" t="str">
        <x:v>Stage01</x:v>
      </x:c>
      <x:c r="B1063" t="str">
        <x:v>WAVE_36</x:v>
      </x:c>
      <x:c r="C1063" s="409" t="n">
        <x:v>358.31</x:v>
      </x:c>
      <x:c r="D1063" s="410" t="n">
        <x:v>52</x:v>
      </x:c>
      <x:c r="E1063" t="str">
        <x:v>RIGHT_06</x:v>
      </x:c>
      <x:c r="F1063" t="str">
        <x:v>GoblinRanged</x:v>
      </x:c>
      <x:c r="G1063" s="410" t="n">
        <x:v>30</x:v>
      </x:c>
    </x:row>
    <x:row r="1064">
      <x:c r="A1064" t="str">
        <x:v>Stage01</x:v>
      </x:c>
      <x:c r="B1064" t="str">
        <x:v>WAVE_36</x:v>
      </x:c>
      <x:c r="C1064" s="409" t="n">
        <x:v>358.45</x:v>
      </x:c>
      <x:c r="D1064" s="410" t="n">
        <x:v>53</x:v>
      </x:c>
      <x:c r="E1064" t="str">
        <x:v>BOTTOM_07</x:v>
      </x:c>
      <x:c r="F1064" t="str">
        <x:v>GoblinMelee</x:v>
      </x:c>
      <x:c r="G1064" s="410" t="n">
        <x:v>31</x:v>
      </x:c>
    </x:row>
    <x:row r="1065">
      <x:c r="A1065" t="str">
        <x:v>Stage01</x:v>
      </x:c>
      <x:c r="B1065" t="str">
        <x:v>WAVE_36</x:v>
      </x:c>
      <x:c r="C1065" s="409" t="n">
        <x:v>358.6</x:v>
      </x:c>
      <x:c r="D1065" s="410" t="n">
        <x:v>54</x:v>
      </x:c>
      <x:c r="E1065" t="str">
        <x:v>LEFT_08</x:v>
      </x:c>
      <x:c r="F1065" t="str">
        <x:v>GoblinMelee</x:v>
      </x:c>
      <x:c r="G1065" s="410" t="n">
        <x:v>30</x:v>
      </x:c>
    </x:row>
    <x:row r="1066">
      <x:c r="A1066" t="str">
        <x:v>Stage01</x:v>
      </x:c>
      <x:c r="B1066" t="str">
        <x:v>WAVE_36</x:v>
      </x:c>
      <x:c r="C1066" s="409" t="n">
        <x:v>358.74</x:v>
      </x:c>
      <x:c r="D1066" s="410" t="n">
        <x:v>55</x:v>
      </x:c>
      <x:c r="E1066" t="str">
        <x:v>TOP_02</x:v>
      </x:c>
      <x:c r="F1066" t="str">
        <x:v>GoblinRanged</x:v>
      </x:c>
      <x:c r="G1066" s="410" t="n">
        <x:v>30</x:v>
      </x:c>
    </x:row>
    <x:row r="1067">
      <x:c r="A1067" t="str">
        <x:v>Stage01</x:v>
      </x:c>
      <x:c r="B1067" t="str">
        <x:v>WAVE_36</x:v>
      </x:c>
      <x:c r="C1067" s="409" t="n">
        <x:v>358.88</x:v>
      </x:c>
      <x:c r="D1067" s="410" t="n">
        <x:v>56</x:v>
      </x:c>
      <x:c r="E1067" t="str">
        <x:v>RIGHT_03</x:v>
      </x:c>
      <x:c r="F1067" t="str">
        <x:v>GoblinMelee</x:v>
      </x:c>
      <x:c r="G1067" s="410" t="n">
        <x:v>30</x:v>
      </x:c>
    </x:row>
    <x:row r="1068">
      <x:c r="A1068" t="str">
        <x:v>Stage01</x:v>
      </x:c>
      <x:c r="B1068" t="str">
        <x:v>WAVE_36</x:v>
      </x:c>
      <x:c r="C1068" s="409" t="n">
        <x:v>359.03</x:v>
      </x:c>
      <x:c r="D1068" s="410" t="n">
        <x:v>57</x:v>
      </x:c>
      <x:c r="E1068" t="str">
        <x:v>BOTTOM_04</x:v>
      </x:c>
      <x:c r="F1068" t="str">
        <x:v>ShieldSkeleton</x:v>
      </x:c>
      <x:c r="G1068" s="410" t="n">
        <x:v>30</x:v>
      </x:c>
    </x:row>
    <x:row r="1069">
      <x:c r="A1069" t="str">
        <x:v>Stage01</x:v>
      </x:c>
      <x:c r="B1069" t="str">
        <x:v>WAVE_36</x:v>
      </x:c>
      <x:c r="C1069" s="409" t="n">
        <x:v>359.17</x:v>
      </x:c>
      <x:c r="D1069" s="410" t="n">
        <x:v>58</x:v>
      </x:c>
      <x:c r="E1069" t="str">
        <x:v>LEFT_05</x:v>
      </x:c>
      <x:c r="F1069" t="str">
        <x:v>GoblinMelee</x:v>
      </x:c>
      <x:c r="G1069" s="410" t="n">
        <x:v>30</x:v>
      </x:c>
    </x:row>
    <x:row r="1070">
      <x:c r="A1070" t="str">
        <x:v>Stage01</x:v>
      </x:c>
      <x:c r="B1070" t="str">
        <x:v>WAVE_36</x:v>
      </x:c>
      <x:c r="C1070" s="409" t="n">
        <x:v>359.31</x:v>
      </x:c>
      <x:c r="D1070" s="410" t="n">
        <x:v>59</x:v>
      </x:c>
      <x:c r="E1070" t="str">
        <x:v>TOP_07</x:v>
      </x:c>
      <x:c r="F1070" t="str">
        <x:v>GoblinMelee</x:v>
      </x:c>
      <x:c r="G1070" s="410" t="n">
        <x:v>30</x:v>
      </x:c>
    </x:row>
    <x:row r="1071">
      <x:c r="A1071" t="str">
        <x:v>Stage01</x:v>
      </x:c>
      <x:c r="B1071" t="str">
        <x:v>WAVE_36</x:v>
      </x:c>
      <x:c r="C1071" s="409" t="n">
        <x:v>359.46</x:v>
      </x:c>
      <x:c r="D1071" s="410" t="n">
        <x:v>60</x:v>
      </x:c>
      <x:c r="E1071" t="str">
        <x:v>RIGHT_08</x:v>
      </x:c>
      <x:c r="F1071" t="str">
        <x:v>GoblinRanged</x:v>
      </x:c>
      <x:c r="G1071" s="410" t="n">
        <x:v>30</x:v>
      </x:c>
    </x:row>
    <x:row r="1072">
      <x:c r="A1072" t="str">
        <x:v>Stage01</x:v>
      </x:c>
      <x:c r="B1072" t="str">
        <x:v>WAVE_36</x:v>
      </x:c>
      <x:c r="C1072" s="409" t="n">
        <x:v>359.6</x:v>
      </x:c>
      <x:c r="D1072" s="410" t="n">
        <x:v>61</x:v>
      </x:c>
      <x:c r="E1072" t="str">
        <x:v>BOTTOM_01</x:v>
      </x:c>
      <x:c r="F1072" t="str">
        <x:v>GoblinMelee</x:v>
      </x:c>
      <x:c r="G1072" s="410" t="n">
        <x:v>30</x:v>
      </x:c>
    </x:row>
    <x:row r="1073">
      <x:c r="A1073" t="str">
        <x:v>Stage01</x:v>
      </x:c>
      <x:c r="B1073" t="str">
        <x:v>WAVE_37</x:v>
      </x:c>
      <x:c r="C1073" s="409" t="n">
        <x:v>361</x:v>
      </x:c>
      <x:c r="D1073" s="410" t="n">
        <x:v>1</x:v>
      </x:c>
      <x:c r="E1073" t="str">
        <x:v>BOTTOM_04</x:v>
      </x:c>
      <x:c r="F1073" t="str">
        <x:v>GoblinMelee</x:v>
      </x:c>
      <x:c r="G1073" s="410" t="n">
        <x:v>31</x:v>
      </x:c>
    </x:row>
    <x:row r="1074">
      <x:c r="A1074" t="str">
        <x:v>Stage01</x:v>
      </x:c>
      <x:c r="B1074" t="str">
        <x:v>WAVE_37</x:v>
      </x:c>
      <x:c r="C1074" s="409" t="n">
        <x:v>361.14</x:v>
      </x:c>
      <x:c r="D1074" s="410" t="n">
        <x:v>2</x:v>
      </x:c>
      <x:c r="E1074" t="str">
        <x:v>LEFT_05</x:v>
      </x:c>
      <x:c r="F1074" t="str">
        <x:v>GoblinRanged</x:v>
      </x:c>
      <x:c r="G1074" s="410" t="n">
        <x:v>31</x:v>
      </x:c>
    </x:row>
    <x:row r="1075">
      <x:c r="A1075" t="str">
        <x:v>Stage01</x:v>
      </x:c>
      <x:c r="B1075" t="str">
        <x:v>WAVE_37</x:v>
      </x:c>
      <x:c r="C1075" s="409" t="n">
        <x:v>361.28</x:v>
      </x:c>
      <x:c r="D1075" s="410" t="n">
        <x:v>3</x:v>
      </x:c>
      <x:c r="E1075" t="str">
        <x:v>TOP_07</x:v>
      </x:c>
      <x:c r="F1075" t="str">
        <x:v>GoblinMelee</x:v>
      </x:c>
      <x:c r="G1075" s="410" t="n">
        <x:v>32</x:v>
      </x:c>
    </x:row>
    <x:row r="1076">
      <x:c r="A1076" t="str">
        <x:v>Stage01</x:v>
      </x:c>
      <x:c r="B1076" t="str">
        <x:v>WAVE_37</x:v>
      </x:c>
      <x:c r="C1076" s="409" t="n">
        <x:v>361.42</x:v>
      </x:c>
      <x:c r="D1076" s="410" t="n">
        <x:v>4</x:v>
      </x:c>
      <x:c r="E1076" t="str">
        <x:v>RIGHT_08</x:v>
      </x:c>
      <x:c r="F1076" t="str">
        <x:v>GoblinMelee</x:v>
      </x:c>
      <x:c r="G1076" s="410" t="n">
        <x:v>31</x:v>
      </x:c>
    </x:row>
    <x:row r="1077">
      <x:c r="A1077" t="str">
        <x:v>Stage01</x:v>
      </x:c>
      <x:c r="B1077" t="str">
        <x:v>WAVE_37</x:v>
      </x:c>
      <x:c r="C1077" s="409" t="n">
        <x:v>361.55</x:v>
      </x:c>
      <x:c r="D1077" s="410" t="n">
        <x:v>5</x:v>
      </x:c>
      <x:c r="E1077" t="str">
        <x:v>BOTTOM_01</x:v>
      </x:c>
      <x:c r="F1077" t="str">
        <x:v>ShieldSkeleton</x:v>
      </x:c>
      <x:c r="G1077" s="410" t="n">
        <x:v>31</x:v>
      </x:c>
    </x:row>
    <x:row r="1078">
      <x:c r="A1078" t="str">
        <x:v>Stage01</x:v>
      </x:c>
      <x:c r="B1078" t="str">
        <x:v>WAVE_37</x:v>
      </x:c>
      <x:c r="C1078" s="409" t="n">
        <x:v>361.69</x:v>
      </x:c>
      <x:c r="D1078" s="410" t="n">
        <x:v>6</x:v>
      </x:c>
      <x:c r="E1078" t="str">
        <x:v>LEFT_02</x:v>
      </x:c>
      <x:c r="F1078" t="str">
        <x:v>GoblinMelee</x:v>
      </x:c>
      <x:c r="G1078" s="410" t="n">
        <x:v>31</x:v>
      </x:c>
    </x:row>
    <x:row r="1079">
      <x:c r="A1079" t="str">
        <x:v>Stage01</x:v>
      </x:c>
      <x:c r="B1079" t="str">
        <x:v>WAVE_37</x:v>
      </x:c>
      <x:c r="C1079" s="409" t="n">
        <x:v>361.83</x:v>
      </x:c>
      <x:c r="D1079" s="410" t="n">
        <x:v>7</x:v>
      </x:c>
      <x:c r="E1079" t="str">
        <x:v>TOP_04</x:v>
      </x:c>
      <x:c r="F1079" t="str">
        <x:v>GoblinRanged</x:v>
      </x:c>
      <x:c r="G1079" s="410" t="n">
        <x:v>32</x:v>
      </x:c>
    </x:row>
    <x:row r="1080">
      <x:c r="A1080" t="str">
        <x:v>Stage01</x:v>
      </x:c>
      <x:c r="B1080" t="str">
        <x:v>WAVE_37</x:v>
      </x:c>
      <x:c r="C1080" s="409" t="n">
        <x:v>361.97</x:v>
      </x:c>
      <x:c r="D1080" s="410" t="n">
        <x:v>8</x:v>
      </x:c>
      <x:c r="E1080" t="str">
        <x:v>RIGHT_05</x:v>
      </x:c>
      <x:c r="F1080" t="str">
        <x:v>GoblinMelee</x:v>
      </x:c>
      <x:c r="G1080" s="410" t="n">
        <x:v>31</x:v>
      </x:c>
    </x:row>
    <x:row r="1081">
      <x:c r="A1081" t="str">
        <x:v>Stage01</x:v>
      </x:c>
      <x:c r="B1081" t="str">
        <x:v>WAVE_37</x:v>
      </x:c>
      <x:c r="C1081" s="409" t="n">
        <x:v>362.11</x:v>
      </x:c>
      <x:c r="D1081" s="410" t="n">
        <x:v>9</x:v>
      </x:c>
      <x:c r="E1081" t="str">
        <x:v>BOTTOM_06</x:v>
      </x:c>
      <x:c r="F1081" t="str">
        <x:v>GoblinMelee</x:v>
      </x:c>
      <x:c r="G1081" s="410" t="n">
        <x:v>31</x:v>
      </x:c>
    </x:row>
    <x:row r="1082">
      <x:c r="A1082" t="str">
        <x:v>Stage01</x:v>
      </x:c>
      <x:c r="B1082" t="str">
        <x:v>WAVE_37</x:v>
      </x:c>
      <x:c r="C1082" s="409" t="n">
        <x:v>362.25</x:v>
      </x:c>
      <x:c r="D1082" s="410" t="n">
        <x:v>10</x:v>
      </x:c>
      <x:c r="E1082" t="str">
        <x:v>LEFT_07</x:v>
      </x:c>
      <x:c r="F1082" t="str">
        <x:v>GoblinRanged</x:v>
      </x:c>
      <x:c r="G1082" s="410" t="n">
        <x:v>31</x:v>
      </x:c>
    </x:row>
    <x:row r="1083">
      <x:c r="A1083" t="str">
        <x:v>Stage01</x:v>
      </x:c>
      <x:c r="B1083" t="str">
        <x:v>WAVE_37</x:v>
      </x:c>
      <x:c r="C1083" s="409" t="n">
        <x:v>362.39</x:v>
      </x:c>
      <x:c r="D1083" s="410" t="n">
        <x:v>11</x:v>
      </x:c>
      <x:c r="E1083" t="str">
        <x:v>TOP_01</x:v>
      </x:c>
      <x:c r="F1083" t="str">
        <x:v>GoblinMelee</x:v>
      </x:c>
      <x:c r="G1083" s="410" t="n">
        <x:v>31</x:v>
      </x:c>
    </x:row>
    <x:row r="1084">
      <x:c r="A1084" t="str">
        <x:v>Stage01</x:v>
      </x:c>
      <x:c r="B1084" t="str">
        <x:v>WAVE_37</x:v>
      </x:c>
      <x:c r="C1084" s="409" t="n">
        <x:v>362.53</x:v>
      </x:c>
      <x:c r="D1084" s="410" t="n">
        <x:v>12</x:v>
      </x:c>
      <x:c r="E1084" t="str">
        <x:v>RIGHT_02</x:v>
      </x:c>
      <x:c r="F1084" t="str">
        <x:v>FlyingEye</x:v>
      </x:c>
      <x:c r="G1084" s="410" t="n">
        <x:v>32</x:v>
      </x:c>
    </x:row>
    <x:row r="1085">
      <x:c r="A1085" t="str">
        <x:v>Stage01</x:v>
      </x:c>
      <x:c r="B1085" t="str">
        <x:v>WAVE_37</x:v>
      </x:c>
      <x:c r="C1085" s="409" t="n">
        <x:v>362.66</x:v>
      </x:c>
      <x:c r="D1085" s="410" t="n">
        <x:v>13</x:v>
      </x:c>
      <x:c r="E1085" t="str">
        <x:v>BOTTOM_03</x:v>
      </x:c>
      <x:c r="F1085" t="str">
        <x:v>ShieldSkeleton</x:v>
      </x:c>
      <x:c r="G1085" s="410" t="n">
        <x:v>31</x:v>
      </x:c>
    </x:row>
    <x:row r="1086">
      <x:c r="A1086" t="str">
        <x:v>Stage01</x:v>
      </x:c>
      <x:c r="B1086" t="str">
        <x:v>WAVE_37</x:v>
      </x:c>
      <x:c r="C1086" s="409" t="n">
        <x:v>362.8</x:v>
      </x:c>
      <x:c r="D1086" s="410" t="n">
        <x:v>14</x:v>
      </x:c>
      <x:c r="E1086" t="str">
        <x:v>LEFT_04</x:v>
      </x:c>
      <x:c r="F1086" t="str">
        <x:v>GoblinMelee</x:v>
      </x:c>
      <x:c r="G1086" s="410" t="n">
        <x:v>31</x:v>
      </x:c>
    </x:row>
    <x:row r="1087">
      <x:c r="A1087" t="str">
        <x:v>Stage01</x:v>
      </x:c>
      <x:c r="B1087" t="str">
        <x:v>WAVE_37</x:v>
      </x:c>
      <x:c r="C1087" s="409" t="n">
        <x:v>362.94</x:v>
      </x:c>
      <x:c r="D1087" s="410" t="n">
        <x:v>15</x:v>
      </x:c>
      <x:c r="E1087" t="str">
        <x:v>TOP_06</x:v>
      </x:c>
      <x:c r="F1087" t="str">
        <x:v>GoblinRanged</x:v>
      </x:c>
      <x:c r="G1087" s="410" t="n">
        <x:v>31</x:v>
      </x:c>
    </x:row>
    <x:row r="1088">
      <x:c r="A1088" t="str">
        <x:v>Stage01</x:v>
      </x:c>
      <x:c r="B1088" t="str">
        <x:v>WAVE_37</x:v>
      </x:c>
      <x:c r="C1088" s="409" t="n">
        <x:v>363.08</x:v>
      </x:c>
      <x:c r="D1088" s="410" t="n">
        <x:v>16</x:v>
      </x:c>
      <x:c r="E1088" t="str">
        <x:v>RIGHT_07</x:v>
      </x:c>
      <x:c r="F1088" t="str">
        <x:v>GoblinMelee</x:v>
      </x:c>
      <x:c r="G1088" s="410" t="n">
        <x:v>32</x:v>
      </x:c>
    </x:row>
    <x:row r="1089">
      <x:c r="A1089" t="str">
        <x:v>Stage01</x:v>
      </x:c>
      <x:c r="B1089" t="str">
        <x:v>WAVE_37</x:v>
      </x:c>
      <x:c r="C1089" s="409" t="n">
        <x:v>363.22</x:v>
      </x:c>
      <x:c r="D1089" s="410" t="n">
        <x:v>17</x:v>
      </x:c>
      <x:c r="E1089" t="str">
        <x:v>BOTTOM_08</x:v>
      </x:c>
      <x:c r="F1089" t="str">
        <x:v>GoblinMelee</x:v>
      </x:c>
      <x:c r="G1089" s="410" t="n">
        <x:v>31</x:v>
      </x:c>
    </x:row>
    <x:row r="1090">
      <x:c r="A1090" t="str">
        <x:v>Stage01</x:v>
      </x:c>
      <x:c r="B1090" t="str">
        <x:v>WAVE_37</x:v>
      </x:c>
      <x:c r="C1090" s="409" t="n">
        <x:v>363.36</x:v>
      </x:c>
      <x:c r="D1090" s="410" t="n">
        <x:v>18</x:v>
      </x:c>
      <x:c r="E1090" t="str">
        <x:v>LEFT_01</x:v>
      </x:c>
      <x:c r="F1090" t="str">
        <x:v>GoblinRanged</x:v>
      </x:c>
      <x:c r="G1090" s="410" t="n">
        <x:v>31</x:v>
      </x:c>
    </x:row>
    <x:row r="1091">
      <x:c r="A1091" t="str">
        <x:v>Stage01</x:v>
      </x:c>
      <x:c r="B1091" t="str">
        <x:v>WAVE_37</x:v>
      </x:c>
      <x:c r="C1091" s="409" t="n">
        <x:v>363.5</x:v>
      </x:c>
      <x:c r="D1091" s="410" t="n">
        <x:v>19</x:v>
      </x:c>
      <x:c r="E1091" t="str">
        <x:v>TOP_03</x:v>
      </x:c>
      <x:c r="F1091" t="str">
        <x:v>GoblinMelee</x:v>
      </x:c>
      <x:c r="G1091" s="410" t="n">
        <x:v>31</x:v>
      </x:c>
    </x:row>
    <x:row r="1092">
      <x:c r="A1092" t="str">
        <x:v>Stage01</x:v>
      </x:c>
      <x:c r="B1092" t="str">
        <x:v>WAVE_37</x:v>
      </x:c>
      <x:c r="C1092" s="409" t="n">
        <x:v>363.64</x:v>
      </x:c>
      <x:c r="D1092" s="410" t="n">
        <x:v>20</x:v>
      </x:c>
      <x:c r="E1092" t="str">
        <x:v>RIGHT_04</x:v>
      </x:c>
      <x:c r="F1092" t="str">
        <x:v>GoblinMelee</x:v>
      </x:c>
      <x:c r="G1092" s="410" t="n">
        <x:v>31</x:v>
      </x:c>
    </x:row>
    <x:row r="1093">
      <x:c r="A1093" t="str">
        <x:v>Stage01</x:v>
      </x:c>
      <x:c r="B1093" t="str">
        <x:v>WAVE_37</x:v>
      </x:c>
      <x:c r="C1093" s="409" t="n">
        <x:v>363.77</x:v>
      </x:c>
      <x:c r="D1093" s="410" t="n">
        <x:v>21</x:v>
      </x:c>
      <x:c r="E1093" t="str">
        <x:v>BOTTOM_05</x:v>
      </x:c>
      <x:c r="F1093" t="str">
        <x:v>GoblinMelee</x:v>
      </x:c>
      <x:c r="G1093" s="410" t="n">
        <x:v>32</x:v>
      </x:c>
    </x:row>
    <x:row r="1094">
      <x:c r="A1094" t="str">
        <x:v>Stage01</x:v>
      </x:c>
      <x:c r="B1094" t="str">
        <x:v>WAVE_37</x:v>
      </x:c>
      <x:c r="C1094" s="409" t="n">
        <x:v>363.91</x:v>
      </x:c>
      <x:c r="D1094" s="410" t="n">
        <x:v>22</x:v>
      </x:c>
      <x:c r="E1094" t="str">
        <x:v>LEFT_06</x:v>
      </x:c>
      <x:c r="F1094" t="str">
        <x:v>GoblinRanged</x:v>
      </x:c>
      <x:c r="G1094" s="410" t="n">
        <x:v>31</x:v>
      </x:c>
    </x:row>
    <x:row r="1095">
      <x:c r="A1095" t="str">
        <x:v>Stage01</x:v>
      </x:c>
      <x:c r="B1095" t="str">
        <x:v>WAVE_37</x:v>
      </x:c>
      <x:c r="C1095" s="409" t="n">
        <x:v>364.05</x:v>
      </x:c>
      <x:c r="D1095" s="410" t="n">
        <x:v>23</x:v>
      </x:c>
      <x:c r="E1095" t="str">
        <x:v>TOP_08</x:v>
      </x:c>
      <x:c r="F1095" t="str">
        <x:v>GoblinMelee</x:v>
      </x:c>
      <x:c r="G1095" s="410" t="n">
        <x:v>31</x:v>
      </x:c>
    </x:row>
    <x:row r="1096">
      <x:c r="A1096" t="str">
        <x:v>Stage01</x:v>
      </x:c>
      <x:c r="B1096" t="str">
        <x:v>WAVE_37</x:v>
      </x:c>
      <x:c r="C1096" s="409" t="n">
        <x:v>364.19</x:v>
      </x:c>
      <x:c r="D1096" s="410" t="n">
        <x:v>24</x:v>
      </x:c>
      <x:c r="E1096" t="str">
        <x:v>RIGHT_01</x:v>
      </x:c>
      <x:c r="F1096" t="str">
        <x:v>ShieldSkeleton</x:v>
      </x:c>
      <x:c r="G1096" s="410" t="n">
        <x:v>31</x:v>
      </x:c>
    </x:row>
    <x:row r="1097">
      <x:c r="A1097" t="str">
        <x:v>Stage01</x:v>
      </x:c>
      <x:c r="B1097" t="str">
        <x:v>WAVE_37</x:v>
      </x:c>
      <x:c r="C1097" s="409" t="n">
        <x:v>364.33</x:v>
      </x:c>
      <x:c r="D1097" s="410" t="n">
        <x:v>25</x:v>
      </x:c>
      <x:c r="E1097" t="str">
        <x:v>BOTTOM_02</x:v>
      </x:c>
      <x:c r="F1097" t="str">
        <x:v>FlyingEye</x:v>
      </x:c>
      <x:c r="G1097" s="410" t="n">
        <x:v>32</x:v>
      </x:c>
    </x:row>
    <x:row r="1098">
      <x:c r="A1098" t="str">
        <x:v>Stage01</x:v>
      </x:c>
      <x:c r="B1098" t="str">
        <x:v>WAVE_37</x:v>
      </x:c>
      <x:c r="C1098" s="409" t="n">
        <x:v>364.47</x:v>
      </x:c>
      <x:c r="D1098" s="410" t="n">
        <x:v>26</x:v>
      </x:c>
      <x:c r="E1098" t="str">
        <x:v>LEFT_03</x:v>
      </x:c>
      <x:c r="F1098" t="str">
        <x:v>GoblinRanged</x:v>
      </x:c>
      <x:c r="G1098" s="410" t="n">
        <x:v>31</x:v>
      </x:c>
    </x:row>
    <x:row r="1099">
      <x:c r="A1099" t="str">
        <x:v>Stage01</x:v>
      </x:c>
      <x:c r="B1099" t="str">
        <x:v>WAVE_37</x:v>
      </x:c>
      <x:c r="C1099" s="409" t="n">
        <x:v>364.61</x:v>
      </x:c>
      <x:c r="D1099" s="410" t="n">
        <x:v>27</x:v>
      </x:c>
      <x:c r="E1099" t="str">
        <x:v>TOP_05</x:v>
      </x:c>
      <x:c r="F1099" t="str">
        <x:v>GoblinMelee</x:v>
      </x:c>
      <x:c r="G1099" s="410" t="n">
        <x:v>31</x:v>
      </x:c>
    </x:row>
    <x:row r="1100">
      <x:c r="A1100" t="str">
        <x:v>Stage01</x:v>
      </x:c>
      <x:c r="B1100" t="str">
        <x:v>WAVE_37</x:v>
      </x:c>
      <x:c r="C1100" s="409" t="n">
        <x:v>364.75</x:v>
      </x:c>
      <x:c r="D1100" s="410" t="n">
        <x:v>28</x:v>
      </x:c>
      <x:c r="E1100" t="str">
        <x:v>RIGHT_06</x:v>
      </x:c>
      <x:c r="F1100" t="str">
        <x:v>GoblinMelee</x:v>
      </x:c>
      <x:c r="G1100" s="410" t="n">
        <x:v>31</x:v>
      </x:c>
    </x:row>
    <x:row r="1101">
      <x:c r="A1101" t="str">
        <x:v>Stage01</x:v>
      </x:c>
      <x:c r="B1101" t="str">
        <x:v>WAVE_37</x:v>
      </x:c>
      <x:c r="C1101" s="409" t="n">
        <x:v>364.88</x:v>
      </x:c>
      <x:c r="D1101" s="410" t="n">
        <x:v>29</x:v>
      </x:c>
      <x:c r="E1101" t="str">
        <x:v>BOTTOM_07</x:v>
      </x:c>
      <x:c r="F1101" t="str">
        <x:v>GoblinMelee</x:v>
      </x:c>
      <x:c r="G1101" s="410" t="n">
        <x:v>31</x:v>
      </x:c>
    </x:row>
    <x:row r="1102">
      <x:c r="A1102" t="str">
        <x:v>Stage01</x:v>
      </x:c>
      <x:c r="B1102" t="str">
        <x:v>WAVE_37</x:v>
      </x:c>
      <x:c r="C1102" s="409" t="n">
        <x:v>365.02</x:v>
      </x:c>
      <x:c r="D1102" s="410" t="n">
        <x:v>30</x:v>
      </x:c>
      <x:c r="E1102" t="str">
        <x:v>LEFT_08</x:v>
      </x:c>
      <x:c r="F1102" t="str">
        <x:v>GoblinRanged</x:v>
      </x:c>
      <x:c r="G1102" s="410" t="n">
        <x:v>32</x:v>
      </x:c>
    </x:row>
    <x:row r="1103">
      <x:c r="A1103" t="str">
        <x:v>Stage01</x:v>
      </x:c>
      <x:c r="B1103" t="str">
        <x:v>WAVE_37</x:v>
      </x:c>
      <x:c r="C1103" s="409" t="n">
        <x:v>365.16</x:v>
      </x:c>
      <x:c r="D1103" s="410" t="n">
        <x:v>31</x:v>
      </x:c>
      <x:c r="E1103" t="str">
        <x:v>TOP_02</x:v>
      </x:c>
      <x:c r="F1103" t="str">
        <x:v>GoblinMelee</x:v>
      </x:c>
      <x:c r="G1103" s="410" t="n">
        <x:v>31</x:v>
      </x:c>
    </x:row>
    <x:row r="1104">
      <x:c r="A1104" t="str">
        <x:v>Stage01</x:v>
      </x:c>
      <x:c r="B1104" t="str">
        <x:v>WAVE_37</x:v>
      </x:c>
      <x:c r="C1104" s="409" t="n">
        <x:v>365.3</x:v>
      </x:c>
      <x:c r="D1104" s="410" t="n">
        <x:v>32</x:v>
      </x:c>
      <x:c r="E1104" t="str">
        <x:v>RIGHT_03</x:v>
      </x:c>
      <x:c r="F1104" t="str">
        <x:v>ShieldSkeleton</x:v>
      </x:c>
      <x:c r="G1104" s="410" t="n">
        <x:v>31</x:v>
      </x:c>
    </x:row>
    <x:row r="1105">
      <x:c r="A1105" t="str">
        <x:v>Stage01</x:v>
      </x:c>
      <x:c r="B1105" t="str">
        <x:v>WAVE_37</x:v>
      </x:c>
      <x:c r="C1105" s="409" t="n">
        <x:v>365.44</x:v>
      </x:c>
      <x:c r="D1105" s="410" t="n">
        <x:v>33</x:v>
      </x:c>
      <x:c r="E1105" t="str">
        <x:v>BOTTOM_04</x:v>
      </x:c>
      <x:c r="F1105" t="str">
        <x:v>GoblinMelee</x:v>
      </x:c>
      <x:c r="G1105" s="410" t="n">
        <x:v>31</x:v>
      </x:c>
    </x:row>
    <x:row r="1106">
      <x:c r="A1106" t="str">
        <x:v>Stage01</x:v>
      </x:c>
      <x:c r="B1106" t="str">
        <x:v>WAVE_37</x:v>
      </x:c>
      <x:c r="C1106" s="409" t="n">
        <x:v>365.58</x:v>
      </x:c>
      <x:c r="D1106" s="410" t="n">
        <x:v>34</x:v>
      </x:c>
      <x:c r="E1106" t="str">
        <x:v>LEFT_05</x:v>
      </x:c>
      <x:c r="F1106" t="str">
        <x:v>GoblinRanged</x:v>
      </x:c>
      <x:c r="G1106" s="410" t="n">
        <x:v>32</x:v>
      </x:c>
    </x:row>
    <x:row r="1107">
      <x:c r="A1107" t="str">
        <x:v>Stage01</x:v>
      </x:c>
      <x:c r="B1107" t="str">
        <x:v>WAVE_37</x:v>
      </x:c>
      <x:c r="C1107" s="409" t="n">
        <x:v>365.72</x:v>
      </x:c>
      <x:c r="D1107" s="410" t="n">
        <x:v>35</x:v>
      </x:c>
      <x:c r="E1107" t="str">
        <x:v>TOP_07</x:v>
      </x:c>
      <x:c r="F1107" t="str">
        <x:v>GoblinMelee</x:v>
      </x:c>
      <x:c r="G1107" s="410" t="n">
        <x:v>31</x:v>
      </x:c>
    </x:row>
    <x:row r="1108">
      <x:c r="A1108" t="str">
        <x:v>Stage01</x:v>
      </x:c>
      <x:c r="B1108" t="str">
        <x:v>WAVE_37</x:v>
      </x:c>
      <x:c r="C1108" s="409" t="n">
        <x:v>365.85</x:v>
      </x:c>
      <x:c r="D1108" s="410" t="n">
        <x:v>36</x:v>
      </x:c>
      <x:c r="E1108" t="str">
        <x:v>RIGHT_08</x:v>
      </x:c>
      <x:c r="F1108" t="str">
        <x:v>GoblinMelee</x:v>
      </x:c>
      <x:c r="G1108" s="410" t="n">
        <x:v>31</x:v>
      </x:c>
    </x:row>
    <x:row r="1109">
      <x:c r="A1109" t="str">
        <x:v>Stage01</x:v>
      </x:c>
      <x:c r="B1109" t="str">
        <x:v>WAVE_37</x:v>
      </x:c>
      <x:c r="C1109" s="409" t="n">
        <x:v>365.99</x:v>
      </x:c>
      <x:c r="D1109" s="410" t="n">
        <x:v>37</x:v>
      </x:c>
      <x:c r="E1109" t="str">
        <x:v>BOTTOM_01</x:v>
      </x:c>
      <x:c r="F1109" t="str">
        <x:v>FlyingEye</x:v>
      </x:c>
      <x:c r="G1109" s="410" t="n">
        <x:v>31</x:v>
      </x:c>
    </x:row>
    <x:row r="1110">
      <x:c r="A1110" t="str">
        <x:v>Stage01</x:v>
      </x:c>
      <x:c r="B1110" t="str">
        <x:v>WAVE_37</x:v>
      </x:c>
      <x:c r="C1110" s="409" t="n">
        <x:v>366.13</x:v>
      </x:c>
      <x:c r="D1110" s="410" t="n">
        <x:v>38</x:v>
      </x:c>
      <x:c r="E1110" t="str">
        <x:v>LEFT_02</x:v>
      </x:c>
      <x:c r="F1110" t="str">
        <x:v>GoblinRanged</x:v>
      </x:c>
      <x:c r="G1110" s="410" t="n">
        <x:v>31</x:v>
      </x:c>
    </x:row>
    <x:row r="1111">
      <x:c r="A1111" t="str">
        <x:v>Stage01</x:v>
      </x:c>
      <x:c r="B1111" t="str">
        <x:v>WAVE_37</x:v>
      </x:c>
      <x:c r="C1111" s="409" t="n">
        <x:v>366.27</x:v>
      </x:c>
      <x:c r="D1111" s="410" t="n">
        <x:v>39</x:v>
      </x:c>
      <x:c r="E1111" t="str">
        <x:v>TOP_04</x:v>
      </x:c>
      <x:c r="F1111" t="str">
        <x:v>GoblinMelee</x:v>
      </x:c>
      <x:c r="G1111" s="410" t="n">
        <x:v>32</x:v>
      </x:c>
    </x:row>
    <x:row r="1112">
      <x:c r="A1112" t="str">
        <x:v>Stage01</x:v>
      </x:c>
      <x:c r="B1112" t="str">
        <x:v>WAVE_37</x:v>
      </x:c>
      <x:c r="C1112" s="409" t="n">
        <x:v>366.41</x:v>
      </x:c>
      <x:c r="D1112" s="410" t="n">
        <x:v>40</x:v>
      </x:c>
      <x:c r="E1112" t="str">
        <x:v>RIGHT_05</x:v>
      </x:c>
      <x:c r="F1112" t="str">
        <x:v>ShieldSkeleton</x:v>
      </x:c>
      <x:c r="G1112" s="410" t="n">
        <x:v>31</x:v>
      </x:c>
    </x:row>
    <x:row r="1113">
      <x:c r="A1113" t="str">
        <x:v>Stage01</x:v>
      </x:c>
      <x:c r="B1113" t="str">
        <x:v>WAVE_37</x:v>
      </x:c>
      <x:c r="C1113" s="409" t="n">
        <x:v>366.55</x:v>
      </x:c>
      <x:c r="D1113" s="410" t="n">
        <x:v>41</x:v>
      </x:c>
      <x:c r="E1113" t="str">
        <x:v>BOTTOM_06</x:v>
      </x:c>
      <x:c r="F1113" t="str">
        <x:v>GoblinMelee</x:v>
      </x:c>
      <x:c r="G1113" s="410" t="n">
        <x:v>31</x:v>
      </x:c>
    </x:row>
    <x:row r="1114">
      <x:c r="A1114" t="str">
        <x:v>Stage01</x:v>
      </x:c>
      <x:c r="B1114" t="str">
        <x:v>WAVE_37</x:v>
      </x:c>
      <x:c r="C1114" s="409" t="n">
        <x:v>366.69</x:v>
      </x:c>
      <x:c r="D1114" s="410" t="n">
        <x:v>42</x:v>
      </x:c>
      <x:c r="E1114" t="str">
        <x:v>LEFT_07</x:v>
      </x:c>
      <x:c r="F1114" t="str">
        <x:v>GoblinMelee</x:v>
      </x:c>
      <x:c r="G1114" s="410" t="n">
        <x:v>31</x:v>
      </x:c>
    </x:row>
    <x:row r="1115">
      <x:c r="A1115" t="str">
        <x:v>Stage01</x:v>
      </x:c>
      <x:c r="B1115" t="str">
        <x:v>WAVE_37</x:v>
      </x:c>
      <x:c r="C1115" s="409" t="n">
        <x:v>366.83</x:v>
      </x:c>
      <x:c r="D1115" s="410" t="n">
        <x:v>43</x:v>
      </x:c>
      <x:c r="E1115" t="str">
        <x:v>TOP_01</x:v>
      </x:c>
      <x:c r="F1115" t="str">
        <x:v>GoblinRanged</x:v>
      </x:c>
      <x:c r="G1115" s="410" t="n">
        <x:v>32</x:v>
      </x:c>
    </x:row>
    <x:row r="1116">
      <x:c r="A1116" t="str">
        <x:v>Stage01</x:v>
      </x:c>
      <x:c r="B1116" t="str">
        <x:v>WAVE_37</x:v>
      </x:c>
      <x:c r="C1116" s="409" t="n">
        <x:v>366.96</x:v>
      </x:c>
      <x:c r="D1116" s="410" t="n">
        <x:v>44</x:v>
      </x:c>
      <x:c r="E1116" t="str">
        <x:v>RIGHT_02</x:v>
      </x:c>
      <x:c r="F1116" t="str">
        <x:v>GoblinMelee</x:v>
      </x:c>
      <x:c r="G1116" s="410" t="n">
        <x:v>31</x:v>
      </x:c>
    </x:row>
    <x:row r="1117">
      <x:c r="A1117" t="str">
        <x:v>Stage01</x:v>
      </x:c>
      <x:c r="B1117" t="str">
        <x:v>WAVE_37</x:v>
      </x:c>
      <x:c r="C1117" s="409" t="n">
        <x:v>367.1</x:v>
      </x:c>
      <x:c r="D1117" s="410" t="n">
        <x:v>45</x:v>
      </x:c>
      <x:c r="E1117" t="str">
        <x:v>BOTTOM_03</x:v>
      </x:c>
      <x:c r="F1117" t="str">
        <x:v>GoblinMelee</x:v>
      </x:c>
      <x:c r="G1117" s="410" t="n">
        <x:v>31</x:v>
      </x:c>
    </x:row>
    <x:row r="1118">
      <x:c r="A1118" t="str">
        <x:v>Stage01</x:v>
      </x:c>
      <x:c r="B1118" t="str">
        <x:v>WAVE_37</x:v>
      </x:c>
      <x:c r="C1118" s="409" t="n">
        <x:v>367.24</x:v>
      </x:c>
      <x:c r="D1118" s="410" t="n">
        <x:v>46</x:v>
      </x:c>
      <x:c r="E1118" t="str">
        <x:v>LEFT_04</x:v>
      </x:c>
      <x:c r="F1118" t="str">
        <x:v>GoblinRanged</x:v>
      </x:c>
      <x:c r="G1118" s="410" t="n">
        <x:v>31</x:v>
      </x:c>
    </x:row>
    <x:row r="1119">
      <x:c r="A1119" t="str">
        <x:v>Stage01</x:v>
      </x:c>
      <x:c r="B1119" t="str">
        <x:v>WAVE_37</x:v>
      </x:c>
      <x:c r="C1119" s="409" t="n">
        <x:v>367.38</x:v>
      </x:c>
      <x:c r="D1119" s="410" t="n">
        <x:v>47</x:v>
      </x:c>
      <x:c r="E1119" t="str">
        <x:v>TOP_06</x:v>
      </x:c>
      <x:c r="F1119" t="str">
        <x:v>GoblinMelee</x:v>
      </x:c>
      <x:c r="G1119" s="410" t="n">
        <x:v>31</x:v>
      </x:c>
    </x:row>
    <x:row r="1120">
      <x:c r="A1120" t="str">
        <x:v>Stage01</x:v>
      </x:c>
      <x:c r="B1120" t="str">
        <x:v>WAVE_37</x:v>
      </x:c>
      <x:c r="C1120" s="409" t="n">
        <x:v>367.52</x:v>
      </x:c>
      <x:c r="D1120" s="410" t="n">
        <x:v>48</x:v>
      </x:c>
      <x:c r="E1120" t="str">
        <x:v>RIGHT_07</x:v>
      </x:c>
      <x:c r="F1120" t="str">
        <x:v>GoblinMelee</x:v>
      </x:c>
      <x:c r="G1120" s="410" t="n">
        <x:v>32</x:v>
      </x:c>
    </x:row>
    <x:row r="1121">
      <x:c r="A1121" t="str">
        <x:v>Stage01</x:v>
      </x:c>
      <x:c r="B1121" t="str">
        <x:v>WAVE_37</x:v>
      </x:c>
      <x:c r="C1121" s="409" t="n">
        <x:v>367.66</x:v>
      </x:c>
      <x:c r="D1121" s="410" t="n">
        <x:v>49</x:v>
      </x:c>
      <x:c r="E1121" t="str">
        <x:v>BOTTOM_08</x:v>
      </x:c>
      <x:c r="F1121" t="str">
        <x:v>GoblinRanged</x:v>
      </x:c>
      <x:c r="G1121" s="410" t="n">
        <x:v>31</x:v>
      </x:c>
    </x:row>
    <x:row r="1122">
      <x:c r="A1122" t="str">
        <x:v>Stage01</x:v>
      </x:c>
      <x:c r="B1122" t="str">
        <x:v>WAVE_37</x:v>
      </x:c>
      <x:c r="C1122" s="409" t="n">
        <x:v>367.8</x:v>
      </x:c>
      <x:c r="D1122" s="410" t="n">
        <x:v>50</x:v>
      </x:c>
      <x:c r="E1122" t="str">
        <x:v>LEFT_01</x:v>
      </x:c>
      <x:c r="F1122" t="str">
        <x:v>FlyingEye</x:v>
      </x:c>
      <x:c r="G1122" s="410" t="n">
        <x:v>31</x:v>
      </x:c>
    </x:row>
    <x:row r="1123">
      <x:c r="A1123" t="str">
        <x:v>Stage01</x:v>
      </x:c>
      <x:c r="B1123" t="str">
        <x:v>WAVE_37</x:v>
      </x:c>
      <x:c r="C1123" s="409" t="n">
        <x:v>367.94</x:v>
      </x:c>
      <x:c r="D1123" s="410" t="n">
        <x:v>51</x:v>
      </x:c>
      <x:c r="E1123" t="str">
        <x:v>TOP_03</x:v>
      </x:c>
      <x:c r="F1123" t="str">
        <x:v>ShieldSkeleton</x:v>
      </x:c>
      <x:c r="G1123" s="410" t="n">
        <x:v>31</x:v>
      </x:c>
    </x:row>
    <x:row r="1124">
      <x:c r="A1124" t="str">
        <x:v>Stage01</x:v>
      </x:c>
      <x:c r="B1124" t="str">
        <x:v>WAVE_37</x:v>
      </x:c>
      <x:c r="C1124" s="409" t="n">
        <x:v>368.07</x:v>
      </x:c>
      <x:c r="D1124" s="410" t="n">
        <x:v>52</x:v>
      </x:c>
      <x:c r="E1124" t="str">
        <x:v>RIGHT_04</x:v>
      </x:c>
      <x:c r="F1124" t="str">
        <x:v>GoblinMelee</x:v>
      </x:c>
      <x:c r="G1124" s="410" t="n">
        <x:v>32</x:v>
      </x:c>
    </x:row>
    <x:row r="1125">
      <x:c r="A1125" t="str">
        <x:v>Stage01</x:v>
      </x:c>
      <x:c r="B1125" t="str">
        <x:v>WAVE_37</x:v>
      </x:c>
      <x:c r="C1125" s="409" t="n">
        <x:v>368.21</x:v>
      </x:c>
      <x:c r="D1125" s="410" t="n">
        <x:v>53</x:v>
      </x:c>
      <x:c r="E1125" t="str">
        <x:v>BOTTOM_05</x:v>
      </x:c>
      <x:c r="F1125" t="str">
        <x:v>GoblinMelee</x:v>
      </x:c>
      <x:c r="G1125" s="410" t="n">
        <x:v>31</x:v>
      </x:c>
    </x:row>
    <x:row r="1126">
      <x:c r="A1126" t="str">
        <x:v>Stage01</x:v>
      </x:c>
      <x:c r="B1126" t="str">
        <x:v>WAVE_37</x:v>
      </x:c>
      <x:c r="C1126" s="409" t="n">
        <x:v>368.35</x:v>
      </x:c>
      <x:c r="D1126" s="410" t="n">
        <x:v>54</x:v>
      </x:c>
      <x:c r="E1126" t="str">
        <x:v>LEFT_06</x:v>
      </x:c>
      <x:c r="F1126" t="str">
        <x:v>GoblinRanged</x:v>
      </x:c>
      <x:c r="G1126" s="410" t="n">
        <x:v>31</x:v>
      </x:c>
    </x:row>
    <x:row r="1127">
      <x:c r="A1127" t="str">
        <x:v>Stage01</x:v>
      </x:c>
      <x:c r="B1127" t="str">
        <x:v>WAVE_37</x:v>
      </x:c>
      <x:c r="C1127" s="409" t="n">
        <x:v>368.49</x:v>
      </x:c>
      <x:c r="D1127" s="410" t="n">
        <x:v>55</x:v>
      </x:c>
      <x:c r="E1127" t="str">
        <x:v>TOP_08</x:v>
      </x:c>
      <x:c r="F1127" t="str">
        <x:v>GoblinMelee</x:v>
      </x:c>
      <x:c r="G1127" s="410" t="n">
        <x:v>31</x:v>
      </x:c>
    </x:row>
    <x:row r="1128">
      <x:c r="A1128" t="str">
        <x:v>Stage01</x:v>
      </x:c>
      <x:c r="B1128" t="str">
        <x:v>WAVE_37</x:v>
      </x:c>
      <x:c r="C1128" s="409" t="n">
        <x:v>368.63</x:v>
      </x:c>
      <x:c r="D1128" s="410" t="n">
        <x:v>56</x:v>
      </x:c>
      <x:c r="E1128" t="str">
        <x:v>RIGHT_01</x:v>
      </x:c>
      <x:c r="F1128" t="str">
        <x:v>GoblinMelee</x:v>
      </x:c>
      <x:c r="G1128" s="410" t="n">
        <x:v>31</x:v>
      </x:c>
    </x:row>
    <x:row r="1129">
      <x:c r="A1129" t="str">
        <x:v>Stage01</x:v>
      </x:c>
      <x:c r="B1129" t="str">
        <x:v>WAVE_37</x:v>
      </x:c>
      <x:c r="C1129" s="409" t="n">
        <x:v>368.77</x:v>
      </x:c>
      <x:c r="D1129" s="410" t="n">
        <x:v>57</x:v>
      </x:c>
      <x:c r="E1129" t="str">
        <x:v>BOTTOM_02</x:v>
      </x:c>
      <x:c r="F1129" t="str">
        <x:v>GoblinRanged</x:v>
      </x:c>
      <x:c r="G1129" s="410" t="n">
        <x:v>32</x:v>
      </x:c>
    </x:row>
    <x:row r="1130">
      <x:c r="A1130" t="str">
        <x:v>Stage01</x:v>
      </x:c>
      <x:c r="B1130" t="str">
        <x:v>WAVE_37</x:v>
      </x:c>
      <x:c r="C1130" s="409" t="n">
        <x:v>368.91</x:v>
      </x:c>
      <x:c r="D1130" s="410" t="n">
        <x:v>58</x:v>
      </x:c>
      <x:c r="E1130" t="str">
        <x:v>LEFT_03</x:v>
      </x:c>
      <x:c r="F1130" t="str">
        <x:v>GoblinMelee</x:v>
      </x:c>
      <x:c r="G1130" s="410" t="n">
        <x:v>31</x:v>
      </x:c>
    </x:row>
    <x:row r="1131">
      <x:c r="A1131" t="str">
        <x:v>Stage01</x:v>
      </x:c>
      <x:c r="B1131" t="str">
        <x:v>WAVE_37</x:v>
      </x:c>
      <x:c r="C1131" s="409" t="n">
        <x:v>369.05</x:v>
      </x:c>
      <x:c r="D1131" s="410" t="n">
        <x:v>59</x:v>
      </x:c>
      <x:c r="E1131" t="str">
        <x:v>TOP_05</x:v>
      </x:c>
      <x:c r="F1131" t="str">
        <x:v>ShieldSkeleton</x:v>
      </x:c>
      <x:c r="G1131" s="410" t="n">
        <x:v>31</x:v>
      </x:c>
    </x:row>
    <x:row r="1132">
      <x:c r="A1132" t="str">
        <x:v>Stage01</x:v>
      </x:c>
      <x:c r="B1132" t="str">
        <x:v>WAVE_37</x:v>
      </x:c>
      <x:c r="C1132" s="409" t="n">
        <x:v>369.18</x:v>
      </x:c>
      <x:c r="D1132" s="410" t="n">
        <x:v>60</x:v>
      </x:c>
      <x:c r="E1132" t="str">
        <x:v>RIGHT_06</x:v>
      </x:c>
      <x:c r="F1132" t="str">
        <x:v>GoblinMelee</x:v>
      </x:c>
      <x:c r="G1132" s="410" t="n">
        <x:v>31</x:v>
      </x:c>
    </x:row>
    <x:row r="1133">
      <x:c r="A1133" t="str">
        <x:v>Stage01</x:v>
      </x:c>
      <x:c r="B1133" t="str">
        <x:v>WAVE_37</x:v>
      </x:c>
      <x:c r="C1133" s="409" t="n">
        <x:v>369.32</x:v>
      </x:c>
      <x:c r="D1133" s="410" t="n">
        <x:v>61</x:v>
      </x:c>
      <x:c r="E1133" t="str">
        <x:v>BOTTOM_07</x:v>
      </x:c>
      <x:c r="F1133" t="str">
        <x:v>GoblinMelee</x:v>
      </x:c>
      <x:c r="G1133" s="410" t="n">
        <x:v>32</x:v>
      </x:c>
    </x:row>
    <x:row r="1134">
      <x:c r="A1134" t="str">
        <x:v>Stage01</x:v>
      </x:c>
      <x:c r="B1134" t="str">
        <x:v>WAVE_37</x:v>
      </x:c>
      <x:c r="C1134" s="409" t="n">
        <x:v>369.46</x:v>
      </x:c>
      <x:c r="D1134" s="410" t="n">
        <x:v>62</x:v>
      </x:c>
      <x:c r="E1134" t="str">
        <x:v>LEFT_08</x:v>
      </x:c>
      <x:c r="F1134" t="str">
        <x:v>GoblinRanged</x:v>
      </x:c>
      <x:c r="G1134" s="410" t="n">
        <x:v>31</x:v>
      </x:c>
    </x:row>
    <x:row r="1135">
      <x:c r="A1135" t="str">
        <x:v>Stage01</x:v>
      </x:c>
      <x:c r="B1135" t="str">
        <x:v>WAVE_37</x:v>
      </x:c>
      <x:c r="C1135" s="409" t="n">
        <x:v>369.6</x:v>
      </x:c>
      <x:c r="D1135" s="410" t="n">
        <x:v>63</x:v>
      </x:c>
      <x:c r="E1135" t="str">
        <x:v>TOP_02</x:v>
      </x:c>
      <x:c r="F1135" t="str">
        <x:v>FlyingEye</x:v>
      </x:c>
      <x:c r="G1135" s="410" t="n">
        <x:v>31</x:v>
      </x:c>
    </x:row>
    <x:row r="1136">
      <x:c r="A1136" t="str">
        <x:v>Stage01</x:v>
      </x:c>
      <x:c r="B1136" t="str">
        <x:v>WAVE_38</x:v>
      </x:c>
      <x:c r="C1136" s="409" t="n">
        <x:v>371</x:v>
      </x:c>
      <x:c r="D1136" s="410" t="n">
        <x:v>1</x:v>
      </x:c>
      <x:c r="E1136" t="str">
        <x:v>TOP_05</x:v>
      </x:c>
      <x:c r="F1136" t="str">
        <x:v>GoblinMelee</x:v>
      </x:c>
      <x:c r="G1136" s="410" t="n">
        <x:v>32</x:v>
      </x:c>
    </x:row>
    <x:row r="1137">
      <x:c r="A1137" t="str">
        <x:v>Stage01</x:v>
      </x:c>
      <x:c r="B1137" t="str">
        <x:v>WAVE_38</x:v>
      </x:c>
      <x:c r="C1137" s="409" t="n">
        <x:v>371.13</x:v>
      </x:c>
      <x:c r="D1137" s="410" t="n">
        <x:v>2</x:v>
      </x:c>
      <x:c r="E1137" t="str">
        <x:v>RIGHT_06</x:v>
      </x:c>
      <x:c r="F1137" t="str">
        <x:v>GoblinRanged</x:v>
      </x:c>
      <x:c r="G1137" s="410" t="n">
        <x:v>33</x:v>
      </x:c>
    </x:row>
    <x:row r="1138">
      <x:c r="A1138" t="str">
        <x:v>Stage01</x:v>
      </x:c>
      <x:c r="B1138" t="str">
        <x:v>WAVE_38</x:v>
      </x:c>
      <x:c r="C1138" s="409" t="n">
        <x:v>371.26</x:v>
      </x:c>
      <x:c r="D1138" s="410" t="n">
        <x:v>3</x:v>
      </x:c>
      <x:c r="E1138" t="str">
        <x:v>BOTTOM_07</x:v>
      </x:c>
      <x:c r="F1138" t="str">
        <x:v>GoblinMelee</x:v>
      </x:c>
      <x:c r="G1138" s="410" t="n">
        <x:v>32</x:v>
      </x:c>
    </x:row>
    <x:row r="1139">
      <x:c r="A1139" t="str">
        <x:v>Stage01</x:v>
      </x:c>
      <x:c r="B1139" t="str">
        <x:v>WAVE_38</x:v>
      </x:c>
      <x:c r="C1139" s="409" t="n">
        <x:v>371.4</x:v>
      </x:c>
      <x:c r="D1139" s="410" t="n">
        <x:v>4</x:v>
      </x:c>
      <x:c r="E1139" t="str">
        <x:v>LEFT_08</x:v>
      </x:c>
      <x:c r="F1139" t="str">
        <x:v>GoblinMelee</x:v>
      </x:c>
      <x:c r="G1139" s="410" t="n">
        <x:v>32</x:v>
      </x:c>
    </x:row>
    <x:row r="1140">
      <x:c r="A1140" t="str">
        <x:v>Stage01</x:v>
      </x:c>
      <x:c r="B1140" t="str">
        <x:v>WAVE_38</x:v>
      </x:c>
      <x:c r="C1140" s="409" t="n">
        <x:v>371.53</x:v>
      </x:c>
      <x:c r="D1140" s="410" t="n">
        <x:v>5</x:v>
      </x:c>
      <x:c r="E1140" t="str">
        <x:v>TOP_02</x:v>
      </x:c>
      <x:c r="F1140" t="str">
        <x:v>ShieldSkeleton</x:v>
      </x:c>
      <x:c r="G1140" s="410" t="n">
        <x:v>32</x:v>
      </x:c>
    </x:row>
    <x:row r="1141">
      <x:c r="A1141" t="str">
        <x:v>Stage01</x:v>
      </x:c>
      <x:c r="B1141" t="str">
        <x:v>WAVE_38</x:v>
      </x:c>
      <x:c r="C1141" s="409" t="n">
        <x:v>371.66</x:v>
      </x:c>
      <x:c r="D1141" s="410" t="n">
        <x:v>6</x:v>
      </x:c>
      <x:c r="E1141" t="str">
        <x:v>RIGHT_03</x:v>
      </x:c>
      <x:c r="F1141" t="str">
        <x:v>GoblinMelee</x:v>
      </x:c>
      <x:c r="G1141" s="410" t="n">
        <x:v>33</x:v>
      </x:c>
    </x:row>
    <x:row r="1142">
      <x:c r="A1142" t="str">
        <x:v>Stage01</x:v>
      </x:c>
      <x:c r="B1142" t="str">
        <x:v>WAVE_38</x:v>
      </x:c>
      <x:c r="C1142" s="409" t="n">
        <x:v>371.79</x:v>
      </x:c>
      <x:c r="D1142" s="410" t="n">
        <x:v>7</x:v>
      </x:c>
      <x:c r="E1142" t="str">
        <x:v>BOTTOM_04</x:v>
      </x:c>
      <x:c r="F1142" t="str">
        <x:v>GoblinRanged</x:v>
      </x:c>
      <x:c r="G1142" s="410" t="n">
        <x:v>32</x:v>
      </x:c>
    </x:row>
    <x:row r="1143">
      <x:c r="A1143" t="str">
        <x:v>Stage01</x:v>
      </x:c>
      <x:c r="B1143" t="str">
        <x:v>WAVE_38</x:v>
      </x:c>
      <x:c r="C1143" s="409" t="n">
        <x:v>371.93</x:v>
      </x:c>
      <x:c r="D1143" s="410" t="n">
        <x:v>8</x:v>
      </x:c>
      <x:c r="E1143" t="str">
        <x:v>LEFT_05</x:v>
      </x:c>
      <x:c r="F1143" t="str">
        <x:v>GoblinMelee</x:v>
      </x:c>
      <x:c r="G1143" s="410" t="n">
        <x:v>32</x:v>
      </x:c>
    </x:row>
    <x:row r="1144">
      <x:c r="A1144" t="str">
        <x:v>Stage01</x:v>
      </x:c>
      <x:c r="B1144" t="str">
        <x:v>WAVE_38</x:v>
      </x:c>
      <x:c r="C1144" s="409" t="n">
        <x:v>372.06</x:v>
      </x:c>
      <x:c r="D1144" s="410" t="n">
        <x:v>9</x:v>
      </x:c>
      <x:c r="E1144" t="str">
        <x:v>TOP_07</x:v>
      </x:c>
      <x:c r="F1144" t="str">
        <x:v>GoblinMelee</x:v>
      </x:c>
      <x:c r="G1144" s="410" t="n">
        <x:v>32</x:v>
      </x:c>
    </x:row>
    <x:row r="1145">
      <x:c r="A1145" t="str">
        <x:v>Stage01</x:v>
      </x:c>
      <x:c r="B1145" t="str">
        <x:v>WAVE_38</x:v>
      </x:c>
      <x:c r="C1145" s="409" t="n">
        <x:v>372.19</x:v>
      </x:c>
      <x:c r="D1145" s="410" t="n">
        <x:v>10</x:v>
      </x:c>
      <x:c r="E1145" t="str">
        <x:v>RIGHT_08</x:v>
      </x:c>
      <x:c r="F1145" t="str">
        <x:v>GoblinRanged</x:v>
      </x:c>
      <x:c r="G1145" s="410" t="n">
        <x:v>33</x:v>
      </x:c>
    </x:row>
    <x:row r="1146">
      <x:c r="A1146" t="str">
        <x:v>Stage01</x:v>
      </x:c>
      <x:c r="B1146" t="str">
        <x:v>WAVE_38</x:v>
      </x:c>
      <x:c r="C1146" s="409" t="n">
        <x:v>372.32</x:v>
      </x:c>
      <x:c r="D1146" s="410" t="n">
        <x:v>11</x:v>
      </x:c>
      <x:c r="E1146" t="str">
        <x:v>BOTTOM_01</x:v>
      </x:c>
      <x:c r="F1146" t="str">
        <x:v>GoblinMelee</x:v>
      </x:c>
      <x:c r="G1146" s="410" t="n">
        <x:v>32</x:v>
      </x:c>
    </x:row>
    <x:row r="1147">
      <x:c r="A1147" t="str">
        <x:v>Stage01</x:v>
      </x:c>
      <x:c r="B1147" t="str">
        <x:v>WAVE_38</x:v>
      </x:c>
      <x:c r="C1147" s="409" t="n">
        <x:v>372.46</x:v>
      </x:c>
      <x:c r="D1147" s="410" t="n">
        <x:v>12</x:v>
      </x:c>
      <x:c r="E1147" t="str">
        <x:v>LEFT_02</x:v>
      </x:c>
      <x:c r="F1147" t="str">
        <x:v>FlyingEye</x:v>
      </x:c>
      <x:c r="G1147" s="410" t="n">
        <x:v>32</x:v>
      </x:c>
    </x:row>
    <x:row r="1148">
      <x:c r="A1148" t="str">
        <x:v>Stage01</x:v>
      </x:c>
      <x:c r="B1148" t="str">
        <x:v>WAVE_38</x:v>
      </x:c>
      <x:c r="C1148" s="409" t="n">
        <x:v>372.59</x:v>
      </x:c>
      <x:c r="D1148" s="410" t="n">
        <x:v>13</x:v>
      </x:c>
      <x:c r="E1148" t="str">
        <x:v>TOP_04</x:v>
      </x:c>
      <x:c r="F1148" t="str">
        <x:v>ShieldSkeleton</x:v>
      </x:c>
      <x:c r="G1148" s="410" t="n">
        <x:v>32</x:v>
      </x:c>
    </x:row>
    <x:row r="1149">
      <x:c r="A1149" t="str">
        <x:v>Stage01</x:v>
      </x:c>
      <x:c r="B1149" t="str">
        <x:v>WAVE_38</x:v>
      </x:c>
      <x:c r="C1149" s="409" t="n">
        <x:v>372.72</x:v>
      </x:c>
      <x:c r="D1149" s="410" t="n">
        <x:v>14</x:v>
      </x:c>
      <x:c r="E1149" t="str">
        <x:v>RIGHT_05</x:v>
      </x:c>
      <x:c r="F1149" t="str">
        <x:v>GoblinMelee</x:v>
      </x:c>
      <x:c r="G1149" s="410" t="n">
        <x:v>33</x:v>
      </x:c>
    </x:row>
    <x:row r="1150">
      <x:c r="A1150" t="str">
        <x:v>Stage01</x:v>
      </x:c>
      <x:c r="B1150" t="str">
        <x:v>WAVE_38</x:v>
      </x:c>
      <x:c r="C1150" s="409" t="n">
        <x:v>372.85</x:v>
      </x:c>
      <x:c r="D1150" s="410" t="n">
        <x:v>15</x:v>
      </x:c>
      <x:c r="E1150" t="str">
        <x:v>BOTTOM_06</x:v>
      </x:c>
      <x:c r="F1150" t="str">
        <x:v>GoblinRanged</x:v>
      </x:c>
      <x:c r="G1150" s="410" t="n">
        <x:v>32</x:v>
      </x:c>
    </x:row>
    <x:row r="1151">
      <x:c r="A1151" t="str">
        <x:v>Stage01</x:v>
      </x:c>
      <x:c r="B1151" t="str">
        <x:v>WAVE_38</x:v>
      </x:c>
      <x:c r="C1151" s="409" t="n">
        <x:v>372.98</x:v>
      </x:c>
      <x:c r="D1151" s="410" t="n">
        <x:v>16</x:v>
      </x:c>
      <x:c r="E1151" t="str">
        <x:v>LEFT_07</x:v>
      </x:c>
      <x:c r="F1151" t="str">
        <x:v>GoblinMelee</x:v>
      </x:c>
      <x:c r="G1151" s="410" t="n">
        <x:v>32</x:v>
      </x:c>
    </x:row>
    <x:row r="1152">
      <x:c r="A1152" t="str">
        <x:v>Stage01</x:v>
      </x:c>
      <x:c r="B1152" t="str">
        <x:v>WAVE_38</x:v>
      </x:c>
      <x:c r="C1152" s="409" t="n">
        <x:v>373.12</x:v>
      </x:c>
      <x:c r="D1152" s="410" t="n">
        <x:v>17</x:v>
      </x:c>
      <x:c r="E1152" t="str">
        <x:v>TOP_01</x:v>
      </x:c>
      <x:c r="F1152" t="str">
        <x:v>GoblinMelee</x:v>
      </x:c>
      <x:c r="G1152" s="410" t="n">
        <x:v>32</x:v>
      </x:c>
    </x:row>
    <x:row r="1153">
      <x:c r="A1153" t="str">
        <x:v>Stage01</x:v>
      </x:c>
      <x:c r="B1153" t="str">
        <x:v>WAVE_38</x:v>
      </x:c>
      <x:c r="C1153" s="409" t="n">
        <x:v>373.25</x:v>
      </x:c>
      <x:c r="D1153" s="410" t="n">
        <x:v>18</x:v>
      </x:c>
      <x:c r="E1153" t="str">
        <x:v>RIGHT_02</x:v>
      </x:c>
      <x:c r="F1153" t="str">
        <x:v>GoblinRanged</x:v>
      </x:c>
      <x:c r="G1153" s="410" t="n">
        <x:v>33</x:v>
      </x:c>
    </x:row>
    <x:row r="1154">
      <x:c r="A1154" t="str">
        <x:v>Stage01</x:v>
      </x:c>
      <x:c r="B1154" t="str">
        <x:v>WAVE_38</x:v>
      </x:c>
      <x:c r="C1154" s="409" t="n">
        <x:v>373.38</x:v>
      </x:c>
      <x:c r="D1154" s="410" t="n">
        <x:v>19</x:v>
      </x:c>
      <x:c r="E1154" t="str">
        <x:v>BOTTOM_03</x:v>
      </x:c>
      <x:c r="F1154" t="str">
        <x:v>GoblinMelee</x:v>
      </x:c>
      <x:c r="G1154" s="410" t="n">
        <x:v>32</x:v>
      </x:c>
    </x:row>
    <x:row r="1155">
      <x:c r="A1155" t="str">
        <x:v>Stage01</x:v>
      </x:c>
      <x:c r="B1155" t="str">
        <x:v>WAVE_38</x:v>
      </x:c>
      <x:c r="C1155" s="409" t="n">
        <x:v>373.51</x:v>
      </x:c>
      <x:c r="D1155" s="410" t="n">
        <x:v>20</x:v>
      </x:c>
      <x:c r="E1155" t="str">
        <x:v>LEFT_04</x:v>
      </x:c>
      <x:c r="F1155" t="str">
        <x:v>GoblinMelee</x:v>
      </x:c>
      <x:c r="G1155" s="410" t="n">
        <x:v>32</x:v>
      </x:c>
    </x:row>
    <x:row r="1156">
      <x:c r="A1156" t="str">
        <x:v>Stage01</x:v>
      </x:c>
      <x:c r="B1156" t="str">
        <x:v>WAVE_38</x:v>
      </x:c>
      <x:c r="C1156" s="409" t="n">
        <x:v>373.65</x:v>
      </x:c>
      <x:c r="D1156" s="410" t="n">
        <x:v>21</x:v>
      </x:c>
      <x:c r="E1156" t="str">
        <x:v>TOP_06</x:v>
      </x:c>
      <x:c r="F1156" t="str">
        <x:v>GoblinRanged</x:v>
      </x:c>
      <x:c r="G1156" s="410" t="n">
        <x:v>32</x:v>
      </x:c>
    </x:row>
    <x:row r="1157">
      <x:c r="A1157" t="str">
        <x:v>Stage01</x:v>
      </x:c>
      <x:c r="B1157" t="str">
        <x:v>WAVE_38</x:v>
      </x:c>
      <x:c r="C1157" s="409" t="n">
        <x:v>373.78</x:v>
      </x:c>
      <x:c r="D1157" s="410" t="n">
        <x:v>22</x:v>
      </x:c>
      <x:c r="E1157" t="str">
        <x:v>RIGHT_07</x:v>
      </x:c>
      <x:c r="F1157" t="str">
        <x:v>GoblinMelee</x:v>
      </x:c>
      <x:c r="G1157" s="410" t="n">
        <x:v>33</x:v>
      </x:c>
    </x:row>
    <x:row r="1158">
      <x:c r="A1158" t="str">
        <x:v>Stage01</x:v>
      </x:c>
      <x:c r="B1158" t="str">
        <x:v>WAVE_38</x:v>
      </x:c>
      <x:c r="C1158" s="409" t="n">
        <x:v>373.91</x:v>
      </x:c>
      <x:c r="D1158" s="410" t="n">
        <x:v>23</x:v>
      </x:c>
      <x:c r="E1158" t="str">
        <x:v>BOTTOM_08</x:v>
      </x:c>
      <x:c r="F1158" t="str">
        <x:v>GoblinMelee</x:v>
      </x:c>
      <x:c r="G1158" s="410" t="n">
        <x:v>32</x:v>
      </x:c>
    </x:row>
    <x:row r="1159">
      <x:c r="A1159" t="str">
        <x:v>Stage01</x:v>
      </x:c>
      <x:c r="B1159" t="str">
        <x:v>WAVE_38</x:v>
      </x:c>
      <x:c r="C1159" s="409" t="n">
        <x:v>374.04</x:v>
      </x:c>
      <x:c r="D1159" s="410" t="n">
        <x:v>24</x:v>
      </x:c>
      <x:c r="E1159" t="str">
        <x:v>LEFT_01</x:v>
      </x:c>
      <x:c r="F1159" t="str">
        <x:v>ShieldSkeleton</x:v>
      </x:c>
      <x:c r="G1159" s="410" t="n">
        <x:v>32</x:v>
      </x:c>
    </x:row>
    <x:row r="1160">
      <x:c r="A1160" t="str">
        <x:v>Stage01</x:v>
      </x:c>
      <x:c r="B1160" t="str">
        <x:v>WAVE_38</x:v>
      </x:c>
      <x:c r="C1160" s="409" t="n">
        <x:v>374.18</x:v>
      </x:c>
      <x:c r="D1160" s="410" t="n">
        <x:v>25</x:v>
      </x:c>
      <x:c r="E1160" t="str">
        <x:v>TOP_03</x:v>
      </x:c>
      <x:c r="F1160" t="str">
        <x:v>FlyingEye</x:v>
      </x:c>
      <x:c r="G1160" s="410" t="n">
        <x:v>32</x:v>
      </x:c>
    </x:row>
    <x:row r="1161">
      <x:c r="A1161" t="str">
        <x:v>Stage01</x:v>
      </x:c>
      <x:c r="B1161" t="str">
        <x:v>WAVE_38</x:v>
      </x:c>
      <x:c r="C1161" s="409" t="n">
        <x:v>374.31</x:v>
      </x:c>
      <x:c r="D1161" s="410" t="n">
        <x:v>26</x:v>
      </x:c>
      <x:c r="E1161" t="str">
        <x:v>RIGHT_04</x:v>
      </x:c>
      <x:c r="F1161" t="str">
        <x:v>GoblinRanged</x:v>
      </x:c>
      <x:c r="G1161" s="410" t="n">
        <x:v>33</x:v>
      </x:c>
    </x:row>
    <x:row r="1162">
      <x:c r="A1162" t="str">
        <x:v>Stage01</x:v>
      </x:c>
      <x:c r="B1162" t="str">
        <x:v>WAVE_38</x:v>
      </x:c>
      <x:c r="C1162" s="409" t="n">
        <x:v>374.44</x:v>
      </x:c>
      <x:c r="D1162" s="410" t="n">
        <x:v>27</x:v>
      </x:c>
      <x:c r="E1162" t="str">
        <x:v>BOTTOM_05</x:v>
      </x:c>
      <x:c r="F1162" t="str">
        <x:v>GoblinMelee</x:v>
      </x:c>
      <x:c r="G1162" s="410" t="n">
        <x:v>32</x:v>
      </x:c>
    </x:row>
    <x:row r="1163">
      <x:c r="A1163" t="str">
        <x:v>Stage01</x:v>
      </x:c>
      <x:c r="B1163" t="str">
        <x:v>WAVE_38</x:v>
      </x:c>
      <x:c r="C1163" s="409" t="n">
        <x:v>374.57</x:v>
      </x:c>
      <x:c r="D1163" s="410" t="n">
        <x:v>28</x:v>
      </x:c>
      <x:c r="E1163" t="str">
        <x:v>LEFT_06</x:v>
      </x:c>
      <x:c r="F1163" t="str">
        <x:v>GoblinMelee</x:v>
      </x:c>
      <x:c r="G1163" s="410" t="n">
        <x:v>32</x:v>
      </x:c>
    </x:row>
    <x:row r="1164">
      <x:c r="A1164" t="str">
        <x:v>Stage01</x:v>
      </x:c>
      <x:c r="B1164" t="str">
        <x:v>WAVE_38</x:v>
      </x:c>
      <x:c r="C1164" s="409" t="n">
        <x:v>374.7</x:v>
      </x:c>
      <x:c r="D1164" s="410" t="n">
        <x:v>29</x:v>
      </x:c>
      <x:c r="E1164" t="str">
        <x:v>TOP_08</x:v>
      </x:c>
      <x:c r="F1164" t="str">
        <x:v>GoblinRanged</x:v>
      </x:c>
      <x:c r="G1164" s="410" t="n">
        <x:v>32</x:v>
      </x:c>
    </x:row>
    <x:row r="1165">
      <x:c r="A1165" t="str">
        <x:v>Stage01</x:v>
      </x:c>
      <x:c r="B1165" t="str">
        <x:v>WAVE_38</x:v>
      </x:c>
      <x:c r="C1165" s="409" t="n">
        <x:v>374.84</x:v>
      </x:c>
      <x:c r="D1165" s="410" t="n">
        <x:v>30</x:v>
      </x:c>
      <x:c r="E1165" t="str">
        <x:v>RIGHT_01</x:v>
      </x:c>
      <x:c r="F1165" t="str">
        <x:v>GoblinMelee</x:v>
      </x:c>
      <x:c r="G1165" s="410" t="n">
        <x:v>33</x:v>
      </x:c>
    </x:row>
    <x:row r="1166">
      <x:c r="A1166" t="str">
        <x:v>Stage01</x:v>
      </x:c>
      <x:c r="B1166" t="str">
        <x:v>WAVE_38</x:v>
      </x:c>
      <x:c r="C1166" s="409" t="n">
        <x:v>374.97</x:v>
      </x:c>
      <x:c r="D1166" s="410" t="n">
        <x:v>31</x:v>
      </x:c>
      <x:c r="E1166" t="str">
        <x:v>BOTTOM_02</x:v>
      </x:c>
      <x:c r="F1166" t="str">
        <x:v>GoblinMelee</x:v>
      </x:c>
      <x:c r="G1166" s="410" t="n">
        <x:v>32</x:v>
      </x:c>
    </x:row>
    <x:row r="1167">
      <x:c r="A1167" t="str">
        <x:v>Stage01</x:v>
      </x:c>
      <x:c r="B1167" t="str">
        <x:v>WAVE_38</x:v>
      </x:c>
      <x:c r="C1167" s="409" t="n">
        <x:v>375.1</x:v>
      </x:c>
      <x:c r="D1167" s="410" t="n">
        <x:v>32</x:v>
      </x:c>
      <x:c r="E1167" t="str">
        <x:v>LEFT_03</x:v>
      </x:c>
      <x:c r="F1167" t="str">
        <x:v>ShieldSkeleton</x:v>
      </x:c>
      <x:c r="G1167" s="410" t="n">
        <x:v>32</x:v>
      </x:c>
    </x:row>
    <x:row r="1168">
      <x:c r="A1168" t="str">
        <x:v>Stage01</x:v>
      </x:c>
      <x:c r="B1168" t="str">
        <x:v>WAVE_38</x:v>
      </x:c>
      <x:c r="C1168" s="409" t="n">
        <x:v>375.23</x:v>
      </x:c>
      <x:c r="D1168" s="410" t="n">
        <x:v>33</x:v>
      </x:c>
      <x:c r="E1168" t="str">
        <x:v>TOP_05</x:v>
      </x:c>
      <x:c r="F1168" t="str">
        <x:v>GoblinMelee</x:v>
      </x:c>
      <x:c r="G1168" s="410" t="n">
        <x:v>32</x:v>
      </x:c>
    </x:row>
    <x:row r="1169">
      <x:c r="A1169" t="str">
        <x:v>Stage01</x:v>
      </x:c>
      <x:c r="B1169" t="str">
        <x:v>WAVE_38</x:v>
      </x:c>
      <x:c r="C1169" s="409" t="n">
        <x:v>375.37</x:v>
      </x:c>
      <x:c r="D1169" s="410" t="n">
        <x:v>34</x:v>
      </x:c>
      <x:c r="E1169" t="str">
        <x:v>RIGHT_06</x:v>
      </x:c>
      <x:c r="F1169" t="str">
        <x:v>GoblinRanged</x:v>
      </x:c>
      <x:c r="G1169" s="410" t="n">
        <x:v>33</x:v>
      </x:c>
    </x:row>
    <x:row r="1170">
      <x:c r="A1170" t="str">
        <x:v>Stage01</x:v>
      </x:c>
      <x:c r="B1170" t="str">
        <x:v>WAVE_38</x:v>
      </x:c>
      <x:c r="C1170" s="409" t="n">
        <x:v>375.5</x:v>
      </x:c>
      <x:c r="D1170" s="410" t="n">
        <x:v>35</x:v>
      </x:c>
      <x:c r="E1170" t="str">
        <x:v>BOTTOM_07</x:v>
      </x:c>
      <x:c r="F1170" t="str">
        <x:v>GoblinMelee</x:v>
      </x:c>
      <x:c r="G1170" s="410" t="n">
        <x:v>32</x:v>
      </x:c>
    </x:row>
    <x:row r="1171">
      <x:c r="A1171" t="str">
        <x:v>Stage01</x:v>
      </x:c>
      <x:c r="B1171" t="str">
        <x:v>WAVE_38</x:v>
      </x:c>
      <x:c r="C1171" s="409" t="n">
        <x:v>375.63</x:v>
      </x:c>
      <x:c r="D1171" s="410" t="n">
        <x:v>36</x:v>
      </x:c>
      <x:c r="E1171" t="str">
        <x:v>LEFT_08</x:v>
      </x:c>
      <x:c r="F1171" t="str">
        <x:v>GoblinMelee</x:v>
      </x:c>
      <x:c r="G1171" s="410" t="n">
        <x:v>32</x:v>
      </x:c>
    </x:row>
    <x:row r="1172">
      <x:c r="A1172" t="str">
        <x:v>Stage01</x:v>
      </x:c>
      <x:c r="B1172" t="str">
        <x:v>WAVE_38</x:v>
      </x:c>
      <x:c r="C1172" s="409" t="n">
        <x:v>375.76</x:v>
      </x:c>
      <x:c r="D1172" s="410" t="n">
        <x:v>37</x:v>
      </x:c>
      <x:c r="E1172" t="str">
        <x:v>TOP_02</x:v>
      </x:c>
      <x:c r="F1172" t="str">
        <x:v>FlyingEye</x:v>
      </x:c>
      <x:c r="G1172" s="410" t="n">
        <x:v>33</x:v>
      </x:c>
    </x:row>
    <x:row r="1173">
      <x:c r="A1173" t="str">
        <x:v>Stage01</x:v>
      </x:c>
      <x:c r="B1173" t="str">
        <x:v>WAVE_38</x:v>
      </x:c>
      <x:c r="C1173" s="409" t="n">
        <x:v>375.9</x:v>
      </x:c>
      <x:c r="D1173" s="410" t="n">
        <x:v>38</x:v>
      </x:c>
      <x:c r="E1173" t="str">
        <x:v>RIGHT_03</x:v>
      </x:c>
      <x:c r="F1173" t="str">
        <x:v>GoblinRanged</x:v>
      </x:c>
      <x:c r="G1173" s="410" t="n">
        <x:v>32</x:v>
      </x:c>
    </x:row>
    <x:row r="1174">
      <x:c r="A1174" t="str">
        <x:v>Stage01</x:v>
      </x:c>
      <x:c r="B1174" t="str">
        <x:v>WAVE_38</x:v>
      </x:c>
      <x:c r="C1174" s="409" t="n">
        <x:v>376.03</x:v>
      </x:c>
      <x:c r="D1174" s="410" t="n">
        <x:v>39</x:v>
      </x:c>
      <x:c r="E1174" t="str">
        <x:v>BOTTOM_04</x:v>
      </x:c>
      <x:c r="F1174" t="str">
        <x:v>GoblinMelee</x:v>
      </x:c>
      <x:c r="G1174" s="410" t="n">
        <x:v>32</x:v>
      </x:c>
    </x:row>
    <x:row r="1175">
      <x:c r="A1175" t="str">
        <x:v>Stage01</x:v>
      </x:c>
      <x:c r="B1175" t="str">
        <x:v>WAVE_38</x:v>
      </x:c>
      <x:c r="C1175" s="409" t="n">
        <x:v>376.16</x:v>
      </x:c>
      <x:c r="D1175" s="410" t="n">
        <x:v>40</x:v>
      </x:c>
      <x:c r="E1175" t="str">
        <x:v>LEFT_05</x:v>
      </x:c>
      <x:c r="F1175" t="str">
        <x:v>GoblinMelee</x:v>
      </x:c>
      <x:c r="G1175" s="410" t="n">
        <x:v>32</x:v>
      </x:c>
    </x:row>
    <x:row r="1176">
      <x:c r="A1176" t="str">
        <x:v>Stage01</x:v>
      </x:c>
      <x:c r="B1176" t="str">
        <x:v>WAVE_38</x:v>
      </x:c>
      <x:c r="C1176" s="409" t="n">
        <x:v>376.29</x:v>
      </x:c>
      <x:c r="D1176" s="410" t="n">
        <x:v>41</x:v>
      </x:c>
      <x:c r="E1176" t="str">
        <x:v>TOP_07</x:v>
      </x:c>
      <x:c r="F1176" t="str">
        <x:v>GoblinRanged</x:v>
      </x:c>
      <x:c r="G1176" s="410" t="n">
        <x:v>33</x:v>
      </x:c>
    </x:row>
    <x:row r="1177">
      <x:c r="A1177" t="str">
        <x:v>Stage01</x:v>
      </x:c>
      <x:c r="B1177" t="str">
        <x:v>WAVE_38</x:v>
      </x:c>
      <x:c r="C1177" s="409" t="n">
        <x:v>376.42</x:v>
      </x:c>
      <x:c r="D1177" s="410" t="n">
        <x:v>42</x:v>
      </x:c>
      <x:c r="E1177" t="str">
        <x:v>RIGHT_08</x:v>
      </x:c>
      <x:c r="F1177" t="str">
        <x:v>GoblinMelee</x:v>
      </x:c>
      <x:c r="G1177" s="410" t="n">
        <x:v>32</x:v>
      </x:c>
    </x:row>
    <x:row r="1178">
      <x:c r="A1178" t="str">
        <x:v>Stage01</x:v>
      </x:c>
      <x:c r="B1178" t="str">
        <x:v>WAVE_38</x:v>
      </x:c>
      <x:c r="C1178" s="409" t="n">
        <x:v>376.56</x:v>
      </x:c>
      <x:c r="D1178" s="410" t="n">
        <x:v>43</x:v>
      </x:c>
      <x:c r="E1178" t="str">
        <x:v>BOTTOM_01</x:v>
      </x:c>
      <x:c r="F1178" t="str">
        <x:v>ShieldSkeleton</x:v>
      </x:c>
      <x:c r="G1178" s="410" t="n">
        <x:v>32</x:v>
      </x:c>
    </x:row>
    <x:row r="1179">
      <x:c r="A1179" t="str">
        <x:v>Stage01</x:v>
      </x:c>
      <x:c r="B1179" t="str">
        <x:v>WAVE_38</x:v>
      </x:c>
      <x:c r="C1179" s="409" t="n">
        <x:v>376.69</x:v>
      </x:c>
      <x:c r="D1179" s="410" t="n">
        <x:v>44</x:v>
      </x:c>
      <x:c r="E1179" t="str">
        <x:v>LEFT_02</x:v>
      </x:c>
      <x:c r="F1179" t="str">
        <x:v>GoblinMelee</x:v>
      </x:c>
      <x:c r="G1179" s="410" t="n">
        <x:v>32</x:v>
      </x:c>
    </x:row>
    <x:row r="1180">
      <x:c r="A1180" t="str">
        <x:v>Stage01</x:v>
      </x:c>
      <x:c r="B1180" t="str">
        <x:v>WAVE_38</x:v>
      </x:c>
      <x:c r="C1180" s="409" t="n">
        <x:v>376.82</x:v>
      </x:c>
      <x:c r="D1180" s="410" t="n">
        <x:v>45</x:v>
      </x:c>
      <x:c r="E1180" t="str">
        <x:v>TOP_04</x:v>
      </x:c>
      <x:c r="F1180" t="str">
        <x:v>GoblinMelee</x:v>
      </x:c>
      <x:c r="G1180" s="410" t="n">
        <x:v>33</x:v>
      </x:c>
    </x:row>
    <x:row r="1181">
      <x:c r="A1181" t="str">
        <x:v>Stage01</x:v>
      </x:c>
      <x:c r="B1181" t="str">
        <x:v>WAVE_38</x:v>
      </x:c>
      <x:c r="C1181" s="409" t="n">
        <x:v>376.95</x:v>
      </x:c>
      <x:c r="D1181" s="410" t="n">
        <x:v>46</x:v>
      </x:c>
      <x:c r="E1181" t="str">
        <x:v>RIGHT_05</x:v>
      </x:c>
      <x:c r="F1181" t="str">
        <x:v>GoblinRanged</x:v>
      </x:c>
      <x:c r="G1181" s="410" t="n">
        <x:v>32</x:v>
      </x:c>
    </x:row>
    <x:row r="1182">
      <x:c r="A1182" t="str">
        <x:v>Stage01</x:v>
      </x:c>
      <x:c r="B1182" t="str">
        <x:v>WAVE_38</x:v>
      </x:c>
      <x:c r="C1182" s="409" t="n">
        <x:v>377.09</x:v>
      </x:c>
      <x:c r="D1182" s="410" t="n">
        <x:v>47</x:v>
      </x:c>
      <x:c r="E1182" t="str">
        <x:v>BOTTOM_06</x:v>
      </x:c>
      <x:c r="F1182" t="str">
        <x:v>GoblinMelee</x:v>
      </x:c>
      <x:c r="G1182" s="410" t="n">
        <x:v>32</x:v>
      </x:c>
    </x:row>
    <x:row r="1183">
      <x:c r="A1183" t="str">
        <x:v>Stage01</x:v>
      </x:c>
      <x:c r="B1183" t="str">
        <x:v>WAVE_38</x:v>
      </x:c>
      <x:c r="C1183" s="409" t="n">
        <x:v>377.22</x:v>
      </x:c>
      <x:c r="D1183" s="410" t="n">
        <x:v>48</x:v>
      </x:c>
      <x:c r="E1183" t="str">
        <x:v>LEFT_07</x:v>
      </x:c>
      <x:c r="F1183" t="str">
        <x:v>GoblinMelee</x:v>
      </x:c>
      <x:c r="G1183" s="410" t="n">
        <x:v>32</x:v>
      </x:c>
    </x:row>
    <x:row r="1184">
      <x:c r="A1184" t="str">
        <x:v>Stage01</x:v>
      </x:c>
      <x:c r="B1184" t="str">
        <x:v>WAVE_38</x:v>
      </x:c>
      <x:c r="C1184" s="409" t="n">
        <x:v>377.35</x:v>
      </x:c>
      <x:c r="D1184" s="410" t="n">
        <x:v>49</x:v>
      </x:c>
      <x:c r="E1184" t="str">
        <x:v>TOP_01</x:v>
      </x:c>
      <x:c r="F1184" t="str">
        <x:v>GoblinRanged</x:v>
      </x:c>
      <x:c r="G1184" s="410" t="n">
        <x:v>33</x:v>
      </x:c>
    </x:row>
    <x:row r="1185">
      <x:c r="A1185" t="str">
        <x:v>Stage01</x:v>
      </x:c>
      <x:c r="B1185" t="str">
        <x:v>WAVE_38</x:v>
      </x:c>
      <x:c r="C1185" s="409" t="n">
        <x:v>377.48</x:v>
      </x:c>
      <x:c r="D1185" s="410" t="n">
        <x:v>50</x:v>
      </x:c>
      <x:c r="E1185" t="str">
        <x:v>RIGHT_02</x:v>
      </x:c>
      <x:c r="F1185" t="str">
        <x:v>FlyingEye</x:v>
      </x:c>
      <x:c r="G1185" s="410" t="n">
        <x:v>32</x:v>
      </x:c>
    </x:row>
    <x:row r="1186">
      <x:c r="A1186" t="str">
        <x:v>Stage01</x:v>
      </x:c>
      <x:c r="B1186" t="str">
        <x:v>WAVE_38</x:v>
      </x:c>
      <x:c r="C1186" s="409" t="n">
        <x:v>377.62</x:v>
      </x:c>
      <x:c r="D1186" s="410" t="n">
        <x:v>51</x:v>
      </x:c>
      <x:c r="E1186" t="str">
        <x:v>BOTTOM_03</x:v>
      </x:c>
      <x:c r="F1186" t="str">
        <x:v>GoblinMelee</x:v>
      </x:c>
      <x:c r="G1186" s="410" t="n">
        <x:v>32</x:v>
      </x:c>
    </x:row>
    <x:row r="1187">
      <x:c r="A1187" t="str">
        <x:v>Stage01</x:v>
      </x:c>
      <x:c r="B1187" t="str">
        <x:v>WAVE_38</x:v>
      </x:c>
      <x:c r="C1187" s="409" t="n">
        <x:v>377.75</x:v>
      </x:c>
      <x:c r="D1187" s="410" t="n">
        <x:v>52</x:v>
      </x:c>
      <x:c r="E1187" t="str">
        <x:v>LEFT_04</x:v>
      </x:c>
      <x:c r="F1187" t="str">
        <x:v>ShieldSkeleton</x:v>
      </x:c>
      <x:c r="G1187" s="410" t="n">
        <x:v>32</x:v>
      </x:c>
    </x:row>
    <x:row r="1188">
      <x:c r="A1188" t="str">
        <x:v>Stage01</x:v>
      </x:c>
      <x:c r="B1188" t="str">
        <x:v>WAVE_38</x:v>
      </x:c>
      <x:c r="C1188" s="409" t="n">
        <x:v>377.88</x:v>
      </x:c>
      <x:c r="D1188" s="410" t="n">
        <x:v>53</x:v>
      </x:c>
      <x:c r="E1188" t="str">
        <x:v>TOP_06</x:v>
      </x:c>
      <x:c r="F1188" t="str">
        <x:v>GoblinMelee</x:v>
      </x:c>
      <x:c r="G1188" s="410" t="n">
        <x:v>33</x:v>
      </x:c>
    </x:row>
    <x:row r="1189">
      <x:c r="A1189" t="str">
        <x:v>Stage01</x:v>
      </x:c>
      <x:c r="B1189" t="str">
        <x:v>WAVE_38</x:v>
      </x:c>
      <x:c r="C1189" s="409" t="n">
        <x:v>378.01</x:v>
      </x:c>
      <x:c r="D1189" s="410" t="n">
        <x:v>54</x:v>
      </x:c>
      <x:c r="E1189" t="str">
        <x:v>RIGHT_07</x:v>
      </x:c>
      <x:c r="F1189" t="str">
        <x:v>GoblinRanged</x:v>
      </x:c>
      <x:c r="G1189" s="410" t="n">
        <x:v>32</x:v>
      </x:c>
    </x:row>
    <x:row r="1190">
      <x:c r="A1190" t="str">
        <x:v>Stage01</x:v>
      </x:c>
      <x:c r="B1190" t="str">
        <x:v>WAVE_38</x:v>
      </x:c>
      <x:c r="C1190" s="409" t="n">
        <x:v>378.14</x:v>
      </x:c>
      <x:c r="D1190" s="410" t="n">
        <x:v>55</x:v>
      </x:c>
      <x:c r="E1190" t="str">
        <x:v>BOTTOM_08</x:v>
      </x:c>
      <x:c r="F1190" t="str">
        <x:v>GoblinMelee</x:v>
      </x:c>
      <x:c r="G1190" s="410" t="n">
        <x:v>32</x:v>
      </x:c>
    </x:row>
    <x:row r="1191">
      <x:c r="A1191" t="str">
        <x:v>Stage01</x:v>
      </x:c>
      <x:c r="B1191" t="str">
        <x:v>WAVE_38</x:v>
      </x:c>
      <x:c r="C1191" s="409" t="n">
        <x:v>378.28</x:v>
      </x:c>
      <x:c r="D1191" s="410" t="n">
        <x:v>56</x:v>
      </x:c>
      <x:c r="E1191" t="str">
        <x:v>LEFT_01</x:v>
      </x:c>
      <x:c r="F1191" t="str">
        <x:v>GoblinMelee</x:v>
      </x:c>
      <x:c r="G1191" s="410" t="n">
        <x:v>32</x:v>
      </x:c>
    </x:row>
    <x:row r="1192">
      <x:c r="A1192" t="str">
        <x:v>Stage01</x:v>
      </x:c>
      <x:c r="B1192" t="str">
        <x:v>WAVE_38</x:v>
      </x:c>
      <x:c r="C1192" s="409" t="n">
        <x:v>378.41</x:v>
      </x:c>
      <x:c r="D1192" s="410" t="n">
        <x:v>57</x:v>
      </x:c>
      <x:c r="E1192" t="str">
        <x:v>TOP_03</x:v>
      </x:c>
      <x:c r="F1192" t="str">
        <x:v>GoblinRanged</x:v>
      </x:c>
      <x:c r="G1192" s="410" t="n">
        <x:v>33</x:v>
      </x:c>
    </x:row>
    <x:row r="1193">
      <x:c r="A1193" t="str">
        <x:v>Stage01</x:v>
      </x:c>
      <x:c r="B1193" t="str">
        <x:v>WAVE_38</x:v>
      </x:c>
      <x:c r="C1193" s="409" t="n">
        <x:v>378.54</x:v>
      </x:c>
      <x:c r="D1193" s="410" t="n">
        <x:v>58</x:v>
      </x:c>
      <x:c r="E1193" t="str">
        <x:v>RIGHT_04</x:v>
      </x:c>
      <x:c r="F1193" t="str">
        <x:v>GoblinMelee</x:v>
      </x:c>
      <x:c r="G1193" s="410" t="n">
        <x:v>32</x:v>
      </x:c>
    </x:row>
    <x:row r="1194">
      <x:c r="A1194" t="str">
        <x:v>Stage01</x:v>
      </x:c>
      <x:c r="B1194" t="str">
        <x:v>WAVE_38</x:v>
      </x:c>
      <x:c r="C1194" s="409" t="n">
        <x:v>378.67</x:v>
      </x:c>
      <x:c r="D1194" s="410" t="n">
        <x:v>59</x:v>
      </x:c>
      <x:c r="E1194" t="str">
        <x:v>BOTTOM_05</x:v>
      </x:c>
      <x:c r="F1194" t="str">
        <x:v>GoblinMelee</x:v>
      </x:c>
      <x:c r="G1194" s="410" t="n">
        <x:v>32</x:v>
      </x:c>
    </x:row>
    <x:row r="1195">
      <x:c r="A1195" t="str">
        <x:v>Stage01</x:v>
      </x:c>
      <x:c r="B1195" t="str">
        <x:v>WAVE_38</x:v>
      </x:c>
      <x:c r="C1195" s="409" t="n">
        <x:v>378.81</x:v>
      </x:c>
      <x:c r="D1195" s="410" t="n">
        <x:v>60</x:v>
      </x:c>
      <x:c r="E1195" t="str">
        <x:v>LEFT_06</x:v>
      </x:c>
      <x:c r="F1195" t="str">
        <x:v>GoblinRanged</x:v>
      </x:c>
      <x:c r="G1195" s="410" t="n">
        <x:v>32</x:v>
      </x:c>
    </x:row>
    <x:row r="1196">
      <x:c r="A1196" t="str">
        <x:v>Stage01</x:v>
      </x:c>
      <x:c r="B1196" t="str">
        <x:v>WAVE_38</x:v>
      </x:c>
      <x:c r="C1196" s="409" t="n">
        <x:v>378.94</x:v>
      </x:c>
      <x:c r="D1196" s="410" t="n">
        <x:v>61</x:v>
      </x:c>
      <x:c r="E1196" t="str">
        <x:v>TOP_08</x:v>
      </x:c>
      <x:c r="F1196" t="str">
        <x:v>GoblinMelee</x:v>
      </x:c>
      <x:c r="G1196" s="410" t="n">
        <x:v>33</x:v>
      </x:c>
    </x:row>
    <x:row r="1197">
      <x:c r="A1197" t="str">
        <x:v>Stage01</x:v>
      </x:c>
      <x:c r="B1197" t="str">
        <x:v>WAVE_38</x:v>
      </x:c>
      <x:c r="C1197" s="409" t="n">
        <x:v>379.07</x:v>
      </x:c>
      <x:c r="D1197" s="410" t="n">
        <x:v>62</x:v>
      </x:c>
      <x:c r="E1197" t="str">
        <x:v>RIGHT_01</x:v>
      </x:c>
      <x:c r="F1197" t="str">
        <x:v>ShieldSkeleton</x:v>
      </x:c>
      <x:c r="G1197" s="410" t="n">
        <x:v>32</x:v>
      </x:c>
    </x:row>
    <x:row r="1198">
      <x:c r="A1198" t="str">
        <x:v>Stage01</x:v>
      </x:c>
      <x:c r="B1198" t="str">
        <x:v>WAVE_38</x:v>
      </x:c>
      <x:c r="C1198" s="409" t="n">
        <x:v>379.2</x:v>
      </x:c>
      <x:c r="D1198" s="410" t="n">
        <x:v>63</x:v>
      </x:c>
      <x:c r="E1198" t="str">
        <x:v>BOTTOM_02</x:v>
      </x:c>
      <x:c r="F1198" t="str">
        <x:v>FlyingEye</x:v>
      </x:c>
      <x:c r="G1198" s="410" t="n">
        <x:v>32</x:v>
      </x:c>
    </x:row>
    <x:row r="1199">
      <x:c r="A1199" t="str">
        <x:v>Stage01</x:v>
      </x:c>
      <x:c r="B1199" t="str">
        <x:v>WAVE_38</x:v>
      </x:c>
      <x:c r="C1199" s="409" t="n">
        <x:v>379.34</x:v>
      </x:c>
      <x:c r="D1199" s="410" t="n">
        <x:v>64</x:v>
      </x:c>
      <x:c r="E1199" t="str">
        <x:v>LEFT_03</x:v>
      </x:c>
      <x:c r="F1199" t="str">
        <x:v>GoblinMelee</x:v>
      </x:c>
      <x:c r="G1199" s="410" t="n">
        <x:v>32</x:v>
      </x:c>
    </x:row>
    <x:row r="1200">
      <x:c r="A1200" t="str">
        <x:v>Stage01</x:v>
      </x:c>
      <x:c r="B1200" t="str">
        <x:v>WAVE_38</x:v>
      </x:c>
      <x:c r="C1200" s="409" t="n">
        <x:v>379.47</x:v>
      </x:c>
      <x:c r="D1200" s="410" t="n">
        <x:v>65</x:v>
      </x:c>
      <x:c r="E1200" t="str">
        <x:v>TOP_05</x:v>
      </x:c>
      <x:c r="F1200" t="str">
        <x:v>GoblinRanged</x:v>
      </x:c>
      <x:c r="G1200" s="410" t="n">
        <x:v>33</x:v>
      </x:c>
    </x:row>
    <x:row r="1201">
      <x:c r="A1201" t="str">
        <x:v>Stage01</x:v>
      </x:c>
      <x:c r="B1201" t="str">
        <x:v>WAVE_38</x:v>
      </x:c>
      <x:c r="C1201" s="409" t="n">
        <x:v>379.6</x:v>
      </x:c>
      <x:c r="D1201" s="410" t="n">
        <x:v>66</x:v>
      </x:c>
      <x:c r="E1201" t="str">
        <x:v>RIGHT_06</x:v>
      </x:c>
      <x:c r="F1201" t="str">
        <x:v>GoblinMelee</x:v>
      </x:c>
      <x:c r="G1201" s="410" t="n">
        <x:v>32</x:v>
      </x:c>
    </x:row>
    <x:row r="1202">
      <x:c r="A1202" t="str">
        <x:v>Stage01</x:v>
      </x:c>
      <x:c r="B1202" t="str">
        <x:v>WAVE_39</x:v>
      </x:c>
      <x:c r="C1202" s="409" t="n">
        <x:v>381</x:v>
      </x:c>
      <x:c r="D1202" s="410" t="n">
        <x:v>1</x:v>
      </x:c>
      <x:c r="E1202" t="str">
        <x:v>RIGHT_01</x:v>
      </x:c>
      <x:c r="F1202" t="str">
        <x:v>GoblinMelee</x:v>
      </x:c>
      <x:c r="G1202" s="410" t="n">
        <x:v>33</x:v>
      </x:c>
    </x:row>
    <x:row r="1203">
      <x:c r="A1203" t="str">
        <x:v>Stage01</x:v>
      </x:c>
      <x:c r="B1203" t="str">
        <x:v>WAVE_39</x:v>
      </x:c>
      <x:c r="C1203" s="409" t="n">
        <x:v>381.13</x:v>
      </x:c>
      <x:c r="D1203" s="410" t="n">
        <x:v>2</x:v>
      </x:c>
      <x:c r="E1203" t="str">
        <x:v>BOTTOM_02</x:v>
      </x:c>
      <x:c r="F1203" t="str">
        <x:v>GoblinRanged</x:v>
      </x:c>
      <x:c r="G1203" s="410" t="n">
        <x:v>34</x:v>
      </x:c>
    </x:row>
    <x:row r="1204">
      <x:c r="A1204" t="str">
        <x:v>Stage01</x:v>
      </x:c>
      <x:c r="B1204" t="str">
        <x:v>WAVE_39</x:v>
      </x:c>
      <x:c r="C1204" s="409" t="n">
        <x:v>381.26</x:v>
      </x:c>
      <x:c r="D1204" s="410" t="n">
        <x:v>3</x:v>
      </x:c>
      <x:c r="E1204" t="str">
        <x:v>LEFT_03</x:v>
      </x:c>
      <x:c r="F1204" t="str">
        <x:v>GoblinMelee</x:v>
      </x:c>
      <x:c r="G1204" s="410" t="n">
        <x:v>33</x:v>
      </x:c>
    </x:row>
    <x:row r="1205">
      <x:c r="A1205" t="str">
        <x:v>Stage01</x:v>
      </x:c>
      <x:c r="B1205" t="str">
        <x:v>WAVE_39</x:v>
      </x:c>
      <x:c r="C1205" s="409" t="n">
        <x:v>381.39</x:v>
      </x:c>
      <x:c r="D1205" s="410" t="n">
        <x:v>4</x:v>
      </x:c>
      <x:c r="E1205" t="str">
        <x:v>TOP_05</x:v>
      </x:c>
      <x:c r="F1205" t="str">
        <x:v>GoblinMelee</x:v>
      </x:c>
      <x:c r="G1205" s="410" t="n">
        <x:v>33</x:v>
      </x:c>
    </x:row>
    <x:row r="1206">
      <x:c r="A1206" t="str">
        <x:v>Stage01</x:v>
      </x:c>
      <x:c r="B1206" t="str">
        <x:v>WAVE_39</x:v>
      </x:c>
      <x:c r="C1206" s="409" t="n">
        <x:v>381.51</x:v>
      </x:c>
      <x:c r="D1206" s="410" t="n">
        <x:v>5</x:v>
      </x:c>
      <x:c r="E1206" t="str">
        <x:v>RIGHT_06</x:v>
      </x:c>
      <x:c r="F1206" t="str">
        <x:v>ShieldSkeleton</x:v>
      </x:c>
      <x:c r="G1206" s="410" t="n">
        <x:v>33</x:v>
      </x:c>
    </x:row>
    <x:row r="1207">
      <x:c r="A1207" t="str">
        <x:v>Stage01</x:v>
      </x:c>
      <x:c r="B1207" t="str">
        <x:v>WAVE_39</x:v>
      </x:c>
      <x:c r="C1207" s="409" t="n">
        <x:v>381.64</x:v>
      </x:c>
      <x:c r="D1207" s="410" t="n">
        <x:v>6</x:v>
      </x:c>
      <x:c r="E1207" t="str">
        <x:v>BOTTOM_07</x:v>
      </x:c>
      <x:c r="F1207" t="str">
        <x:v>GoblinMelee</x:v>
      </x:c>
      <x:c r="G1207" s="410" t="n">
        <x:v>34</x:v>
      </x:c>
    </x:row>
    <x:row r="1208">
      <x:c r="A1208" t="str">
        <x:v>Stage01</x:v>
      </x:c>
      <x:c r="B1208" t="str">
        <x:v>WAVE_39</x:v>
      </x:c>
      <x:c r="C1208" s="409" t="n">
        <x:v>381.77</x:v>
      </x:c>
      <x:c r="D1208" s="410" t="n">
        <x:v>7</x:v>
      </x:c>
      <x:c r="E1208" t="str">
        <x:v>LEFT_08</x:v>
      </x:c>
      <x:c r="F1208" t="str">
        <x:v>GoblinRanged</x:v>
      </x:c>
      <x:c r="G1208" s="410" t="n">
        <x:v>33</x:v>
      </x:c>
    </x:row>
    <x:row r="1209">
      <x:c r="A1209" t="str">
        <x:v>Stage01</x:v>
      </x:c>
      <x:c r="B1209" t="str">
        <x:v>WAVE_39</x:v>
      </x:c>
      <x:c r="C1209" s="409" t="n">
        <x:v>381.9</x:v>
      </x:c>
      <x:c r="D1209" s="410" t="n">
        <x:v>8</x:v>
      </x:c>
      <x:c r="E1209" t="str">
        <x:v>TOP_02</x:v>
      </x:c>
      <x:c r="F1209" t="str">
        <x:v>GoblinMelee</x:v>
      </x:c>
      <x:c r="G1209" s="410" t="n">
        <x:v>33</x:v>
      </x:c>
    </x:row>
    <x:row r="1210">
      <x:c r="A1210" t="str">
        <x:v>Stage01</x:v>
      </x:c>
      <x:c r="B1210" t="str">
        <x:v>WAVE_39</x:v>
      </x:c>
      <x:c r="C1210" s="409" t="n">
        <x:v>382.03</x:v>
      </x:c>
      <x:c r="D1210" s="410" t="n">
        <x:v>9</x:v>
      </x:c>
      <x:c r="E1210" t="str">
        <x:v>RIGHT_03</x:v>
      </x:c>
      <x:c r="F1210" t="str">
        <x:v>GoblinMelee</x:v>
      </x:c>
      <x:c r="G1210" s="410" t="n">
        <x:v>34</x:v>
      </x:c>
    </x:row>
    <x:row r="1211">
      <x:c r="A1211" t="str">
        <x:v>Stage01</x:v>
      </x:c>
      <x:c r="B1211" t="str">
        <x:v>WAVE_39</x:v>
      </x:c>
      <x:c r="C1211" s="409" t="n">
        <x:v>382.16</x:v>
      </x:c>
      <x:c r="D1211" s="410" t="n">
        <x:v>10</x:v>
      </x:c>
      <x:c r="E1211" t="str">
        <x:v>BOTTOM_04</x:v>
      </x:c>
      <x:c r="F1211" t="str">
        <x:v>GoblinRanged</x:v>
      </x:c>
      <x:c r="G1211" s="410" t="n">
        <x:v>33</x:v>
      </x:c>
    </x:row>
    <x:row r="1212">
      <x:c r="A1212" t="str">
        <x:v>Stage01</x:v>
      </x:c>
      <x:c r="B1212" t="str">
        <x:v>WAVE_39</x:v>
      </x:c>
      <x:c r="C1212" s="409" t="n">
        <x:v>382.28</x:v>
      </x:c>
      <x:c r="D1212" s="410" t="n">
        <x:v>11</x:v>
      </x:c>
      <x:c r="E1212" t="str">
        <x:v>LEFT_05</x:v>
      </x:c>
      <x:c r="F1212" t="str">
        <x:v>GoblinMelee</x:v>
      </x:c>
      <x:c r="G1212" s="410" t="n">
        <x:v>33</x:v>
      </x:c>
    </x:row>
    <x:row r="1213">
      <x:c r="A1213" t="str">
        <x:v>Stage01</x:v>
      </x:c>
      <x:c r="B1213" t="str">
        <x:v>WAVE_39</x:v>
      </x:c>
      <x:c r="C1213" s="409" t="n">
        <x:v>382.41</x:v>
      </x:c>
      <x:c r="D1213" s="410" t="n">
        <x:v>12</x:v>
      </x:c>
      <x:c r="E1213" t="str">
        <x:v>TOP_07</x:v>
      </x:c>
      <x:c r="F1213" t="str">
        <x:v>FlyingEye</x:v>
      </x:c>
      <x:c r="G1213" s="410" t="n">
        <x:v>34</x:v>
      </x:c>
    </x:row>
    <x:row r="1214">
      <x:c r="A1214" t="str">
        <x:v>Stage01</x:v>
      </x:c>
      <x:c r="B1214" t="str">
        <x:v>WAVE_39</x:v>
      </x:c>
      <x:c r="C1214" s="409" t="n">
        <x:v>382.54</x:v>
      </x:c>
      <x:c r="D1214" s="410" t="n">
        <x:v>13</x:v>
      </x:c>
      <x:c r="E1214" t="str">
        <x:v>RIGHT_08</x:v>
      </x:c>
      <x:c r="F1214" t="str">
        <x:v>ShieldSkeleton</x:v>
      </x:c>
      <x:c r="G1214" s="410" t="n">
        <x:v>33</x:v>
      </x:c>
    </x:row>
    <x:row r="1215">
      <x:c r="A1215" t="str">
        <x:v>Stage01</x:v>
      </x:c>
      <x:c r="B1215" t="str">
        <x:v>WAVE_39</x:v>
      </x:c>
      <x:c r="C1215" s="409" t="n">
        <x:v>382.67</x:v>
      </x:c>
      <x:c r="D1215" s="410" t="n">
        <x:v>14</x:v>
      </x:c>
      <x:c r="E1215" t="str">
        <x:v>BOTTOM_01</x:v>
      </x:c>
      <x:c r="F1215" t="str">
        <x:v>GoblinMelee</x:v>
      </x:c>
      <x:c r="G1215" s="410" t="n">
        <x:v>33</x:v>
      </x:c>
    </x:row>
    <x:row r="1216">
      <x:c r="A1216" t="str">
        <x:v>Stage01</x:v>
      </x:c>
      <x:c r="B1216" t="str">
        <x:v>WAVE_39</x:v>
      </x:c>
      <x:c r="C1216" s="409" t="n">
        <x:v>382.8</x:v>
      </x:c>
      <x:c r="D1216" s="410" t="n">
        <x:v>15</x:v>
      </x:c>
      <x:c r="E1216" t="str">
        <x:v>LEFT_02</x:v>
      </x:c>
      <x:c r="F1216" t="str">
        <x:v>GoblinRanged</x:v>
      </x:c>
      <x:c r="G1216" s="410" t="n">
        <x:v>33</x:v>
      </x:c>
    </x:row>
    <x:row r="1217">
      <x:c r="A1217" t="str">
        <x:v>Stage01</x:v>
      </x:c>
      <x:c r="B1217" t="str">
        <x:v>WAVE_39</x:v>
      </x:c>
      <x:c r="C1217" s="409" t="n">
        <x:v>382.93</x:v>
      </x:c>
      <x:c r="D1217" s="410" t="n">
        <x:v>16</x:v>
      </x:c>
      <x:c r="E1217" t="str">
        <x:v>TOP_04</x:v>
      </x:c>
      <x:c r="F1217" t="str">
        <x:v>GoblinMelee</x:v>
      </x:c>
      <x:c r="G1217" s="410" t="n">
        <x:v>34</x:v>
      </x:c>
    </x:row>
    <x:row r="1218">
      <x:c r="A1218" t="str">
        <x:v>Stage01</x:v>
      </x:c>
      <x:c r="B1218" t="str">
        <x:v>WAVE_39</x:v>
      </x:c>
      <x:c r="C1218" s="409" t="n">
        <x:v>383.05</x:v>
      </x:c>
      <x:c r="D1218" s="410" t="n">
        <x:v>17</x:v>
      </x:c>
      <x:c r="E1218" t="str">
        <x:v>RIGHT_05</x:v>
      </x:c>
      <x:c r="F1218" t="str">
        <x:v>GoblinMelee</x:v>
      </x:c>
      <x:c r="G1218" s="410" t="n">
        <x:v>33</x:v>
      </x:c>
    </x:row>
    <x:row r="1219">
      <x:c r="A1219" t="str">
        <x:v>Stage01</x:v>
      </x:c>
      <x:c r="B1219" t="str">
        <x:v>WAVE_39</x:v>
      </x:c>
      <x:c r="C1219" s="409" t="n">
        <x:v>383.18</x:v>
      </x:c>
      <x:c r="D1219" s="410" t="n">
        <x:v>18</x:v>
      </x:c>
      <x:c r="E1219" t="str">
        <x:v>BOTTOM_06</x:v>
      </x:c>
      <x:c r="F1219" t="str">
        <x:v>GoblinRanged</x:v>
      </x:c>
      <x:c r="G1219" s="410" t="n">
        <x:v>33</x:v>
      </x:c>
    </x:row>
    <x:row r="1220">
      <x:c r="A1220" t="str">
        <x:v>Stage01</x:v>
      </x:c>
      <x:c r="B1220" t="str">
        <x:v>WAVE_39</x:v>
      </x:c>
      <x:c r="C1220" s="409" t="n">
        <x:v>383.31</x:v>
      </x:c>
      <x:c r="D1220" s="410" t="n">
        <x:v>19</x:v>
      </x:c>
      <x:c r="E1220" t="str">
        <x:v>LEFT_07</x:v>
      </x:c>
      <x:c r="F1220" t="str">
        <x:v>GoblinMelee</x:v>
      </x:c>
      <x:c r="G1220" s="410" t="n">
        <x:v>34</x:v>
      </x:c>
    </x:row>
    <x:row r="1221">
      <x:c r="A1221" t="str">
        <x:v>Stage01</x:v>
      </x:c>
      <x:c r="B1221" t="str">
        <x:v>WAVE_39</x:v>
      </x:c>
      <x:c r="C1221" s="409" t="n">
        <x:v>383.44</x:v>
      </x:c>
      <x:c r="D1221" s="410" t="n">
        <x:v>20</x:v>
      </x:c>
      <x:c r="E1221" t="str">
        <x:v>TOP_01</x:v>
      </x:c>
      <x:c r="F1221" t="str">
        <x:v>GoblinMelee</x:v>
      </x:c>
      <x:c r="G1221" s="410" t="n">
        <x:v>33</x:v>
      </x:c>
    </x:row>
    <x:row r="1222">
      <x:c r="A1222" t="str">
        <x:v>Stage01</x:v>
      </x:c>
      <x:c r="B1222" t="str">
        <x:v>WAVE_39</x:v>
      </x:c>
      <x:c r="C1222" s="409" t="n">
        <x:v>383.57</x:v>
      </x:c>
      <x:c r="D1222" s="410" t="n">
        <x:v>21</x:v>
      </x:c>
      <x:c r="E1222" t="str">
        <x:v>RIGHT_02</x:v>
      </x:c>
      <x:c r="F1222" t="str">
        <x:v>ShieldSkeleton</x:v>
      </x:c>
      <x:c r="G1222" s="410" t="n">
        <x:v>33</x:v>
      </x:c>
    </x:row>
    <x:row r="1223">
      <x:c r="A1223" t="str">
        <x:v>Stage01</x:v>
      </x:c>
      <x:c r="B1223" t="str">
        <x:v>WAVE_39</x:v>
      </x:c>
      <x:c r="C1223" s="409" t="n">
        <x:v>383.7</x:v>
      </x:c>
      <x:c r="D1223" s="410" t="n">
        <x:v>22</x:v>
      </x:c>
      <x:c r="E1223" t="str">
        <x:v>BOTTOM_03</x:v>
      </x:c>
      <x:c r="F1223" t="str">
        <x:v>GoblinMelee</x:v>
      </x:c>
      <x:c r="G1223" s="410" t="n">
        <x:v>33</x:v>
      </x:c>
    </x:row>
    <x:row r="1224">
      <x:c r="A1224" t="str">
        <x:v>Stage01</x:v>
      </x:c>
      <x:c r="B1224" t="str">
        <x:v>WAVE_39</x:v>
      </x:c>
      <x:c r="C1224" s="409" t="n">
        <x:v>383.82</x:v>
      </x:c>
      <x:c r="D1224" s="410" t="n">
        <x:v>23</x:v>
      </x:c>
      <x:c r="E1224" t="str">
        <x:v>LEFT_04</x:v>
      </x:c>
      <x:c r="F1224" t="str">
        <x:v>GoblinRanged</x:v>
      </x:c>
      <x:c r="G1224" s="410" t="n">
        <x:v>34</x:v>
      </x:c>
    </x:row>
    <x:row r="1225">
      <x:c r="A1225" t="str">
        <x:v>Stage01</x:v>
      </x:c>
      <x:c r="B1225" t="str">
        <x:v>WAVE_39</x:v>
      </x:c>
      <x:c r="C1225" s="409" t="n">
        <x:v>383.95</x:v>
      </x:c>
      <x:c r="D1225" s="410" t="n">
        <x:v>24</x:v>
      </x:c>
      <x:c r="E1225" t="str">
        <x:v>TOP_06</x:v>
      </x:c>
      <x:c r="F1225" t="str">
        <x:v>GoblinMelee</x:v>
      </x:c>
      <x:c r="G1225" s="410" t="n">
        <x:v>33</x:v>
      </x:c>
    </x:row>
    <x:row r="1226">
      <x:c r="A1226" t="str">
        <x:v>Stage01</x:v>
      </x:c>
      <x:c r="B1226" t="str">
        <x:v>WAVE_39</x:v>
      </x:c>
      <x:c r="C1226" s="409" t="n">
        <x:v>384.08</x:v>
      </x:c>
      <x:c r="D1226" s="410" t="n">
        <x:v>25</x:v>
      </x:c>
      <x:c r="E1226" t="str">
        <x:v>RIGHT_07</x:v>
      </x:c>
      <x:c r="F1226" t="str">
        <x:v>FlyingEye</x:v>
      </x:c>
      <x:c r="G1226" s="410" t="n">
        <x:v>33</x:v>
      </x:c>
    </x:row>
    <x:row r="1227">
      <x:c r="A1227" t="str">
        <x:v>Stage01</x:v>
      </x:c>
      <x:c r="B1227" t="str">
        <x:v>WAVE_39</x:v>
      </x:c>
      <x:c r="C1227" s="409" t="n">
        <x:v>384.21</x:v>
      </x:c>
      <x:c r="D1227" s="410" t="n">
        <x:v>26</x:v>
      </x:c>
      <x:c r="E1227" t="str">
        <x:v>BOTTOM_08</x:v>
      </x:c>
      <x:c r="F1227" t="str">
        <x:v>GoblinRanged</x:v>
      </x:c>
      <x:c r="G1227" s="410" t="n">
        <x:v>34</x:v>
      </x:c>
    </x:row>
    <x:row r="1228">
      <x:c r="A1228" t="str">
        <x:v>Stage01</x:v>
      </x:c>
      <x:c r="B1228" t="str">
        <x:v>WAVE_39</x:v>
      </x:c>
      <x:c r="C1228" s="409" t="n">
        <x:v>384.34</x:v>
      </x:c>
      <x:c r="D1228" s="410" t="n">
        <x:v>27</x:v>
      </x:c>
      <x:c r="E1228" t="str">
        <x:v>LEFT_01</x:v>
      </x:c>
      <x:c r="F1228" t="str">
        <x:v>GoblinMelee</x:v>
      </x:c>
      <x:c r="G1228" s="410" t="n">
        <x:v>33</x:v>
      </x:c>
    </x:row>
    <x:row r="1229">
      <x:c r="A1229" t="str">
        <x:v>Stage01</x:v>
      </x:c>
      <x:c r="B1229" t="str">
        <x:v>WAVE_39</x:v>
      </x:c>
      <x:c r="C1229" s="409" t="n">
        <x:v>384.47</x:v>
      </x:c>
      <x:c r="D1229" s="410" t="n">
        <x:v>28</x:v>
      </x:c>
      <x:c r="E1229" t="str">
        <x:v>TOP_03</x:v>
      </x:c>
      <x:c r="F1229" t="str">
        <x:v>GoblinMelee</x:v>
      </x:c>
      <x:c r="G1229" s="410" t="n">
        <x:v>33</x:v>
      </x:c>
    </x:row>
    <x:row r="1230">
      <x:c r="A1230" t="str">
        <x:v>Stage01</x:v>
      </x:c>
      <x:c r="B1230" t="str">
        <x:v>WAVE_39</x:v>
      </x:c>
      <x:c r="C1230" s="409" t="n">
        <x:v>384.59</x:v>
      </x:c>
      <x:c r="D1230" s="410" t="n">
        <x:v>29</x:v>
      </x:c>
      <x:c r="E1230" t="str">
        <x:v>RIGHT_04</x:v>
      </x:c>
      <x:c r="F1230" t="str">
        <x:v>ShieldSkeleton</x:v>
      </x:c>
      <x:c r="G1230" s="410" t="n">
        <x:v>34</x:v>
      </x:c>
    </x:row>
    <x:row r="1231">
      <x:c r="A1231" t="str">
        <x:v>Stage01</x:v>
      </x:c>
      <x:c r="B1231" t="str">
        <x:v>WAVE_39</x:v>
      </x:c>
      <x:c r="C1231" s="409" t="n">
        <x:v>384.72</x:v>
      </x:c>
      <x:c r="D1231" s="410" t="n">
        <x:v>30</x:v>
      </x:c>
      <x:c r="E1231" t="str">
        <x:v>BOTTOM_05</x:v>
      </x:c>
      <x:c r="F1231" t="str">
        <x:v>GoblinMelee</x:v>
      </x:c>
      <x:c r="G1231" s="410" t="n">
        <x:v>33</x:v>
      </x:c>
    </x:row>
    <x:row r="1232">
      <x:c r="A1232" t="str">
        <x:v>Stage01</x:v>
      </x:c>
      <x:c r="B1232" t="str">
        <x:v>WAVE_39</x:v>
      </x:c>
      <x:c r="C1232" s="409" t="n">
        <x:v>384.85</x:v>
      </x:c>
      <x:c r="D1232" s="410" t="n">
        <x:v>31</x:v>
      </x:c>
      <x:c r="E1232" t="str">
        <x:v>LEFT_06</x:v>
      </x:c>
      <x:c r="F1232" t="str">
        <x:v>GoblinRanged</x:v>
      </x:c>
      <x:c r="G1232" s="410" t="n">
        <x:v>33</x:v>
      </x:c>
    </x:row>
    <x:row r="1233">
      <x:c r="A1233" t="str">
        <x:v>Stage01</x:v>
      </x:c>
      <x:c r="B1233" t="str">
        <x:v>WAVE_39</x:v>
      </x:c>
      <x:c r="C1233" s="409" t="n">
        <x:v>384.98</x:v>
      </x:c>
      <x:c r="D1233" s="410" t="n">
        <x:v>32</x:v>
      </x:c>
      <x:c r="E1233" t="str">
        <x:v>TOP_08</x:v>
      </x:c>
      <x:c r="F1233" t="str">
        <x:v>GoblinMelee</x:v>
      </x:c>
      <x:c r="G1233" s="410" t="n">
        <x:v>33</x:v>
      </x:c>
    </x:row>
    <x:row r="1234">
      <x:c r="A1234" t="str">
        <x:v>Stage01</x:v>
      </x:c>
      <x:c r="B1234" t="str">
        <x:v>WAVE_39</x:v>
      </x:c>
      <x:c r="C1234" s="409" t="n">
        <x:v>385.11</x:v>
      </x:c>
      <x:c r="D1234" s="410" t="n">
        <x:v>33</x:v>
      </x:c>
      <x:c r="E1234" t="str">
        <x:v>RIGHT_01</x:v>
      </x:c>
      <x:c r="F1234" t="str">
        <x:v>GoblinMelee</x:v>
      </x:c>
      <x:c r="G1234" s="410" t="n">
        <x:v>34</x:v>
      </x:c>
    </x:row>
    <x:row r="1235">
      <x:c r="A1235" t="str">
        <x:v>Stage01</x:v>
      </x:c>
      <x:c r="B1235" t="str">
        <x:v>WAVE_39</x:v>
      </x:c>
      <x:c r="C1235" s="409" t="n">
        <x:v>385.24</x:v>
      </x:c>
      <x:c r="D1235" s="410" t="n">
        <x:v>34</x:v>
      </x:c>
      <x:c r="E1235" t="str">
        <x:v>BOTTOM_02</x:v>
      </x:c>
      <x:c r="F1235" t="str">
        <x:v>GoblinMelee</x:v>
      </x:c>
      <x:c r="G1235" s="410" t="n">
        <x:v>33</x:v>
      </x:c>
    </x:row>
    <x:row r="1236">
      <x:c r="A1236" t="str">
        <x:v>Stage01</x:v>
      </x:c>
      <x:c r="B1236" t="str">
        <x:v>WAVE_39</x:v>
      </x:c>
      <x:c r="C1236" s="409" t="n">
        <x:v>385.36</x:v>
      </x:c>
      <x:c r="D1236" s="410" t="n">
        <x:v>35</x:v>
      </x:c>
      <x:c r="E1236" t="str">
        <x:v>LEFT_03</x:v>
      </x:c>
      <x:c r="F1236" t="str">
        <x:v>GoblinRanged</x:v>
      </x:c>
      <x:c r="G1236" s="410" t="n">
        <x:v>33</x:v>
      </x:c>
    </x:row>
    <x:row r="1237">
      <x:c r="A1237" t="str">
        <x:v>Stage01</x:v>
      </x:c>
      <x:c r="B1237" t="str">
        <x:v>WAVE_39</x:v>
      </x:c>
      <x:c r="C1237" s="409" t="n">
        <x:v>385.49</x:v>
      </x:c>
      <x:c r="D1237" s="410" t="n">
        <x:v>36</x:v>
      </x:c>
      <x:c r="E1237" t="str">
        <x:v>TOP_05</x:v>
      </x:c>
      <x:c r="F1237" t="str">
        <x:v>GoblinMelee</x:v>
      </x:c>
      <x:c r="G1237" s="410" t="n">
        <x:v>34</x:v>
      </x:c>
    </x:row>
    <x:row r="1238">
      <x:c r="A1238" t="str">
        <x:v>Stage01</x:v>
      </x:c>
      <x:c r="B1238" t="str">
        <x:v>WAVE_39</x:v>
      </x:c>
      <x:c r="C1238" s="409" t="n">
        <x:v>385.62</x:v>
      </x:c>
      <x:c r="D1238" s="410" t="n">
        <x:v>37</x:v>
      </x:c>
      <x:c r="E1238" t="str">
        <x:v>RIGHT_06</x:v>
      </x:c>
      <x:c r="F1238" t="str">
        <x:v>FlyingEye</x:v>
      </x:c>
      <x:c r="G1238" s="410" t="n">
        <x:v>33</x:v>
      </x:c>
    </x:row>
    <x:row r="1239">
      <x:c r="A1239" t="str">
        <x:v>Stage01</x:v>
      </x:c>
      <x:c r="B1239" t="str">
        <x:v>WAVE_39</x:v>
      </x:c>
      <x:c r="C1239" s="409" t="n">
        <x:v>385.75</x:v>
      </x:c>
      <x:c r="D1239" s="410" t="n">
        <x:v>38</x:v>
      </x:c>
      <x:c r="E1239" t="str">
        <x:v>BOTTOM_07</x:v>
      </x:c>
      <x:c r="F1239" t="str">
        <x:v>GoblinRanged</x:v>
      </x:c>
      <x:c r="G1239" s="410" t="n">
        <x:v>33</x:v>
      </x:c>
    </x:row>
    <x:row r="1240">
      <x:c r="A1240" t="str">
        <x:v>Stage01</x:v>
      </x:c>
      <x:c r="B1240" t="str">
        <x:v>WAVE_39</x:v>
      </x:c>
      <x:c r="C1240" s="409" t="n">
        <x:v>385.88</x:v>
      </x:c>
      <x:c r="D1240" s="410" t="n">
        <x:v>39</x:v>
      </x:c>
      <x:c r="E1240" t="str">
        <x:v>LEFT_08</x:v>
      </x:c>
      <x:c r="F1240" t="str">
        <x:v>GoblinMelee</x:v>
      </x:c>
      <x:c r="G1240" s="410" t="n">
        <x:v>33</x:v>
      </x:c>
    </x:row>
    <x:row r="1241">
      <x:c r="A1241" t="str">
        <x:v>Stage01</x:v>
      </x:c>
      <x:c r="B1241" t="str">
        <x:v>WAVE_39</x:v>
      </x:c>
      <x:c r="C1241" s="409" t="n">
        <x:v>386.01</x:v>
      </x:c>
      <x:c r="D1241" s="410" t="n">
        <x:v>40</x:v>
      </x:c>
      <x:c r="E1241" t="str">
        <x:v>TOP_02</x:v>
      </x:c>
      <x:c r="F1241" t="str">
        <x:v>ShieldSkeleton</x:v>
      </x:c>
      <x:c r="G1241" s="410" t="n">
        <x:v>34</x:v>
      </x:c>
    </x:row>
    <x:row r="1242">
      <x:c r="A1242" t="str">
        <x:v>Stage01</x:v>
      </x:c>
      <x:c r="B1242" t="str">
        <x:v>WAVE_39</x:v>
      </x:c>
      <x:c r="C1242" s="409" t="n">
        <x:v>386.13</x:v>
      </x:c>
      <x:c r="D1242" s="410" t="n">
        <x:v>41</x:v>
      </x:c>
      <x:c r="E1242" t="str">
        <x:v>RIGHT_03</x:v>
      </x:c>
      <x:c r="F1242" t="str">
        <x:v>GoblinMelee</x:v>
      </x:c>
      <x:c r="G1242" s="410" t="n">
        <x:v>33</x:v>
      </x:c>
    </x:row>
    <x:row r="1243">
      <x:c r="A1243" t="str">
        <x:v>Stage01</x:v>
      </x:c>
      <x:c r="B1243" t="str">
        <x:v>WAVE_39</x:v>
      </x:c>
      <x:c r="C1243" s="409" t="n">
        <x:v>386.26</x:v>
      </x:c>
      <x:c r="D1243" s="410" t="n">
        <x:v>42</x:v>
      </x:c>
      <x:c r="E1243" t="str">
        <x:v>BOTTOM_04</x:v>
      </x:c>
      <x:c r="F1243" t="str">
        <x:v>GoblinMelee</x:v>
      </x:c>
      <x:c r="G1243" s="410" t="n">
        <x:v>33</x:v>
      </x:c>
    </x:row>
    <x:row r="1244">
      <x:c r="A1244" t="str">
        <x:v>Stage01</x:v>
      </x:c>
      <x:c r="B1244" t="str">
        <x:v>WAVE_39</x:v>
      </x:c>
      <x:c r="C1244" s="409" t="n">
        <x:v>386.39</x:v>
      </x:c>
      <x:c r="D1244" s="410" t="n">
        <x:v>43</x:v>
      </x:c>
      <x:c r="E1244" t="str">
        <x:v>LEFT_05</x:v>
      </x:c>
      <x:c r="F1244" t="str">
        <x:v>GoblinRanged</x:v>
      </x:c>
      <x:c r="G1244" s="410" t="n">
        <x:v>34</x:v>
      </x:c>
    </x:row>
    <x:row r="1245">
      <x:c r="A1245" t="str">
        <x:v>Stage01</x:v>
      </x:c>
      <x:c r="B1245" t="str">
        <x:v>WAVE_39</x:v>
      </x:c>
      <x:c r="C1245" s="409" t="n">
        <x:v>386.52</x:v>
      </x:c>
      <x:c r="D1245" s="410" t="n">
        <x:v>44</x:v>
      </x:c>
      <x:c r="E1245" t="str">
        <x:v>TOP_07</x:v>
      </x:c>
      <x:c r="F1245" t="str">
        <x:v>GoblinMelee</x:v>
      </x:c>
      <x:c r="G1245" s="410" t="n">
        <x:v>33</x:v>
      </x:c>
    </x:row>
    <x:row r="1246">
      <x:c r="A1246" t="str">
        <x:v>Stage01</x:v>
      </x:c>
      <x:c r="B1246" t="str">
        <x:v>WAVE_39</x:v>
      </x:c>
      <x:c r="C1246" s="409" t="n">
        <x:v>386.65</x:v>
      </x:c>
      <x:c r="D1246" s="410" t="n">
        <x:v>45</x:v>
      </x:c>
      <x:c r="E1246" t="str">
        <x:v>RIGHT_08</x:v>
      </x:c>
      <x:c r="F1246" t="str">
        <x:v>GoblinMelee</x:v>
      </x:c>
      <x:c r="G1246" s="410" t="n">
        <x:v>33</x:v>
      </x:c>
    </x:row>
    <x:row r="1247">
      <x:c r="A1247" t="str">
        <x:v>Stage01</x:v>
      </x:c>
      <x:c r="B1247" t="str">
        <x:v>WAVE_39</x:v>
      </x:c>
      <x:c r="C1247" s="409" t="n">
        <x:v>386.78</x:v>
      </x:c>
      <x:c r="D1247" s="410" t="n">
        <x:v>46</x:v>
      </x:c>
      <x:c r="E1247" t="str">
        <x:v>BOTTOM_01</x:v>
      </x:c>
      <x:c r="F1247" t="str">
        <x:v>GoblinRanged</x:v>
      </x:c>
      <x:c r="G1247" s="410" t="n">
        <x:v>34</x:v>
      </x:c>
    </x:row>
    <x:row r="1248">
      <x:c r="A1248" t="str">
        <x:v>Stage01</x:v>
      </x:c>
      <x:c r="B1248" t="str">
        <x:v>WAVE_39</x:v>
      </x:c>
      <x:c r="C1248" s="409" t="n">
        <x:v>386.9</x:v>
      </x:c>
      <x:c r="D1248" s="410" t="n">
        <x:v>47</x:v>
      </x:c>
      <x:c r="E1248" t="str">
        <x:v>LEFT_02</x:v>
      </x:c>
      <x:c r="F1248" t="str">
        <x:v>GoblinMelee</x:v>
      </x:c>
      <x:c r="G1248" s="410" t="n">
        <x:v>33</x:v>
      </x:c>
    </x:row>
    <x:row r="1249">
      <x:c r="A1249" t="str">
        <x:v>Stage01</x:v>
      </x:c>
      <x:c r="B1249" t="str">
        <x:v>WAVE_39</x:v>
      </x:c>
      <x:c r="C1249" s="409" t="n">
        <x:v>387.03</x:v>
      </x:c>
      <x:c r="D1249" s="410" t="n">
        <x:v>48</x:v>
      </x:c>
      <x:c r="E1249" t="str">
        <x:v>TOP_04</x:v>
      </x:c>
      <x:c r="F1249" t="str">
        <x:v>ShieldSkeleton</x:v>
      </x:c>
      <x:c r="G1249" s="410" t="n">
        <x:v>33</x:v>
      </x:c>
    </x:row>
    <x:row r="1250">
      <x:c r="A1250" t="str">
        <x:v>Stage01</x:v>
      </x:c>
      <x:c r="B1250" t="str">
        <x:v>WAVE_39</x:v>
      </x:c>
      <x:c r="C1250" s="409" t="n">
        <x:v>387.16</x:v>
      </x:c>
      <x:c r="D1250" s="410" t="n">
        <x:v>49</x:v>
      </x:c>
      <x:c r="E1250" t="str">
        <x:v>RIGHT_05</x:v>
      </x:c>
      <x:c r="F1250" t="str">
        <x:v>GoblinMelee</x:v>
      </x:c>
      <x:c r="G1250" s="410" t="n">
        <x:v>33</x:v>
      </x:c>
    </x:row>
    <x:row r="1251">
      <x:c r="A1251" t="str">
        <x:v>Stage01</x:v>
      </x:c>
      <x:c r="B1251" t="str">
        <x:v>WAVE_39</x:v>
      </x:c>
      <x:c r="C1251" s="409" t="n">
        <x:v>387.29</x:v>
      </x:c>
      <x:c r="D1251" s="410" t="n">
        <x:v>50</x:v>
      </x:c>
      <x:c r="E1251" t="str">
        <x:v>BOTTOM_06</x:v>
      </x:c>
      <x:c r="F1251" t="str">
        <x:v>FlyingEye</x:v>
      </x:c>
      <x:c r="G1251" s="410" t="n">
        <x:v>34</x:v>
      </x:c>
    </x:row>
    <x:row r="1252">
      <x:c r="A1252" t="str">
        <x:v>Stage01</x:v>
      </x:c>
      <x:c r="B1252" t="str">
        <x:v>WAVE_39</x:v>
      </x:c>
      <x:c r="C1252" s="409" t="n">
        <x:v>387.42</x:v>
      </x:c>
      <x:c r="D1252" s="410" t="n">
        <x:v>51</x:v>
      </x:c>
      <x:c r="E1252" t="str">
        <x:v>LEFT_07</x:v>
      </x:c>
      <x:c r="F1252" t="str">
        <x:v>GoblinRanged</x:v>
      </x:c>
      <x:c r="G1252" s="410" t="n">
        <x:v>33</x:v>
      </x:c>
    </x:row>
    <x:row r="1253">
      <x:c r="A1253" t="str">
        <x:v>Stage01</x:v>
      </x:c>
      <x:c r="B1253" t="str">
        <x:v>WAVE_39</x:v>
      </x:c>
      <x:c r="C1253" s="409" t="n">
        <x:v>387.55</x:v>
      </x:c>
      <x:c r="D1253" s="410" t="n">
        <x:v>52</x:v>
      </x:c>
      <x:c r="E1253" t="str">
        <x:v>TOP_01</x:v>
      </x:c>
      <x:c r="F1253" t="str">
        <x:v>GoblinMelee</x:v>
      </x:c>
      <x:c r="G1253" s="410" t="n">
        <x:v>33</x:v>
      </x:c>
    </x:row>
    <x:row r="1254">
      <x:c r="A1254" t="str">
        <x:v>Stage01</x:v>
      </x:c>
      <x:c r="B1254" t="str">
        <x:v>WAVE_39</x:v>
      </x:c>
      <x:c r="C1254" s="409" t="n">
        <x:v>387.67</x:v>
      </x:c>
      <x:c r="D1254" s="410" t="n">
        <x:v>53</x:v>
      </x:c>
      <x:c r="E1254" t="str">
        <x:v>RIGHT_02</x:v>
      </x:c>
      <x:c r="F1254" t="str">
        <x:v>GoblinMelee</x:v>
      </x:c>
      <x:c r="G1254" s="410" t="n">
        <x:v>34</x:v>
      </x:c>
    </x:row>
    <x:row r="1255">
      <x:c r="A1255" t="str">
        <x:v>Stage01</x:v>
      </x:c>
      <x:c r="B1255" t="str">
        <x:v>WAVE_39</x:v>
      </x:c>
      <x:c r="C1255" s="409" t="n">
        <x:v>387.8</x:v>
      </x:c>
      <x:c r="D1255" s="410" t="n">
        <x:v>54</x:v>
      </x:c>
      <x:c r="E1255" t="str">
        <x:v>BOTTOM_03</x:v>
      </x:c>
      <x:c r="F1255" t="str">
        <x:v>GoblinRanged</x:v>
      </x:c>
      <x:c r="G1255" s="410" t="n">
        <x:v>33</x:v>
      </x:c>
    </x:row>
    <x:row r="1256">
      <x:c r="A1256" t="str">
        <x:v>Stage01</x:v>
      </x:c>
      <x:c r="B1256" t="str">
        <x:v>WAVE_39</x:v>
      </x:c>
      <x:c r="C1256" s="409" t="n">
        <x:v>387.93</x:v>
      </x:c>
      <x:c r="D1256" s="410" t="n">
        <x:v>55</x:v>
      </x:c>
      <x:c r="E1256" t="str">
        <x:v>LEFT_04</x:v>
      </x:c>
      <x:c r="F1256" t="str">
        <x:v>GoblinMelee</x:v>
      </x:c>
      <x:c r="G1256" s="410" t="n">
        <x:v>33</x:v>
      </x:c>
    </x:row>
    <x:row r="1257">
      <x:c r="A1257" t="str">
        <x:v>Stage01</x:v>
      </x:c>
      <x:c r="B1257" t="str">
        <x:v>WAVE_39</x:v>
      </x:c>
      <x:c r="C1257" s="409" t="n">
        <x:v>388.06</x:v>
      </x:c>
      <x:c r="D1257" s="410" t="n">
        <x:v>56</x:v>
      </x:c>
      <x:c r="E1257" t="str">
        <x:v>TOP_06</x:v>
      </x:c>
      <x:c r="F1257" t="str">
        <x:v>ShieldSkeleton</x:v>
      </x:c>
      <x:c r="G1257" s="410" t="n">
        <x:v>33</x:v>
      </x:c>
    </x:row>
    <x:row r="1258">
      <x:c r="A1258" t="str">
        <x:v>Stage01</x:v>
      </x:c>
      <x:c r="B1258" t="str">
        <x:v>WAVE_39</x:v>
      </x:c>
      <x:c r="C1258" s="409" t="n">
        <x:v>388.19</x:v>
      </x:c>
      <x:c r="D1258" s="410" t="n">
        <x:v>57</x:v>
      </x:c>
      <x:c r="E1258" t="str">
        <x:v>RIGHT_07</x:v>
      </x:c>
      <x:c r="F1258" t="str">
        <x:v>GoblinMelee</x:v>
      </x:c>
      <x:c r="G1258" s="410" t="n">
        <x:v>34</x:v>
      </x:c>
    </x:row>
    <x:row r="1259">
      <x:c r="A1259" t="str">
        <x:v>Stage01</x:v>
      </x:c>
      <x:c r="B1259" t="str">
        <x:v>WAVE_39</x:v>
      </x:c>
      <x:c r="C1259" s="409" t="n">
        <x:v>388.32</x:v>
      </x:c>
      <x:c r="D1259" s="410" t="n">
        <x:v>58</x:v>
      </x:c>
      <x:c r="E1259" t="str">
        <x:v>BOTTOM_08</x:v>
      </x:c>
      <x:c r="F1259" t="str">
        <x:v>GoblinMelee</x:v>
      </x:c>
      <x:c r="G1259" s="410" t="n">
        <x:v>33</x:v>
      </x:c>
    </x:row>
    <x:row r="1260">
      <x:c r="A1260" t="str">
        <x:v>Stage01</x:v>
      </x:c>
      <x:c r="B1260" t="str">
        <x:v>WAVE_39</x:v>
      </x:c>
      <x:c r="C1260" s="409" t="n">
        <x:v>388.44</x:v>
      </x:c>
      <x:c r="D1260" s="410" t="n">
        <x:v>59</x:v>
      </x:c>
      <x:c r="E1260" t="str">
        <x:v>LEFT_01</x:v>
      </x:c>
      <x:c r="F1260" t="str">
        <x:v>GoblinRanged</x:v>
      </x:c>
      <x:c r="G1260" s="410" t="n">
        <x:v>33</x:v>
      </x:c>
    </x:row>
    <x:row r="1261">
      <x:c r="A1261" t="str">
        <x:v>Stage01</x:v>
      </x:c>
      <x:c r="B1261" t="str">
        <x:v>WAVE_39</x:v>
      </x:c>
      <x:c r="C1261" s="409" t="n">
        <x:v>388.57</x:v>
      </x:c>
      <x:c r="D1261" s="410" t="n">
        <x:v>60</x:v>
      </x:c>
      <x:c r="E1261" t="str">
        <x:v>TOP_03</x:v>
      </x:c>
      <x:c r="F1261" t="str">
        <x:v>GoblinMelee</x:v>
      </x:c>
      <x:c r="G1261" s="410" t="n">
        <x:v>34</x:v>
      </x:c>
    </x:row>
    <x:row r="1262">
      <x:c r="A1262" t="str">
        <x:v>Stage01</x:v>
      </x:c>
      <x:c r="B1262" t="str">
        <x:v>WAVE_39</x:v>
      </x:c>
      <x:c r="C1262" s="409" t="n">
        <x:v>388.7</x:v>
      </x:c>
      <x:c r="D1262" s="410" t="n">
        <x:v>61</x:v>
      </x:c>
      <x:c r="E1262" t="str">
        <x:v>RIGHT_04</x:v>
      </x:c>
      <x:c r="F1262" t="str">
        <x:v>GoblinMelee</x:v>
      </x:c>
      <x:c r="G1262" s="410" t="n">
        <x:v>33</x:v>
      </x:c>
    </x:row>
    <x:row r="1263">
      <x:c r="A1263" t="str">
        <x:v>Stage01</x:v>
      </x:c>
      <x:c r="B1263" t="str">
        <x:v>WAVE_39</x:v>
      </x:c>
      <x:c r="C1263" s="409" t="n">
        <x:v>388.83</x:v>
      </x:c>
      <x:c r="D1263" s="410" t="n">
        <x:v>62</x:v>
      </x:c>
      <x:c r="E1263" t="str">
        <x:v>BOTTOM_05</x:v>
      </x:c>
      <x:c r="F1263" t="str">
        <x:v>GoblinRanged</x:v>
      </x:c>
      <x:c r="G1263" s="410" t="n">
        <x:v>33</x:v>
      </x:c>
    </x:row>
    <x:row r="1264">
      <x:c r="A1264" t="str">
        <x:v>Stage01</x:v>
      </x:c>
      <x:c r="B1264" t="str">
        <x:v>WAVE_39</x:v>
      </x:c>
      <x:c r="C1264" s="409" t="n">
        <x:v>388.96</x:v>
      </x:c>
      <x:c r="D1264" s="410" t="n">
        <x:v>63</x:v>
      </x:c>
      <x:c r="E1264" t="str">
        <x:v>LEFT_06</x:v>
      </x:c>
      <x:c r="F1264" t="str">
        <x:v>FlyingEye</x:v>
      </x:c>
      <x:c r="G1264" s="410" t="n">
        <x:v>34</x:v>
      </x:c>
    </x:row>
    <x:row r="1265">
      <x:c r="A1265" t="str">
        <x:v>Stage01</x:v>
      </x:c>
      <x:c r="B1265" t="str">
        <x:v>WAVE_39</x:v>
      </x:c>
      <x:c r="C1265" s="409" t="n">
        <x:v>389.09</x:v>
      </x:c>
      <x:c r="D1265" s="410" t="n">
        <x:v>64</x:v>
      </x:c>
      <x:c r="E1265" t="str">
        <x:v>TOP_08</x:v>
      </x:c>
      <x:c r="F1265" t="str">
        <x:v>ShieldSkeleton</x:v>
      </x:c>
      <x:c r="G1265" s="410" t="n">
        <x:v>33</x:v>
      </x:c>
    </x:row>
    <x:row r="1266">
      <x:c r="A1266" t="str">
        <x:v>Stage01</x:v>
      </x:c>
      <x:c r="B1266" t="str">
        <x:v>WAVE_39</x:v>
      </x:c>
      <x:c r="C1266" s="409" t="n">
        <x:v>389.21</x:v>
      </x:c>
      <x:c r="D1266" s="410" t="n">
        <x:v>65</x:v>
      </x:c>
      <x:c r="E1266" t="str">
        <x:v>RIGHT_01</x:v>
      </x:c>
      <x:c r="F1266" t="str">
        <x:v>GoblinMelee</x:v>
      </x:c>
      <x:c r="G1266" s="410" t="n">
        <x:v>33</x:v>
      </x:c>
    </x:row>
    <x:row r="1267">
      <x:c r="A1267" t="str">
        <x:v>Stage01</x:v>
      </x:c>
      <x:c r="B1267" t="str">
        <x:v>WAVE_39</x:v>
      </x:c>
      <x:c r="C1267" s="409" t="n">
        <x:v>389.34</x:v>
      </x:c>
      <x:c r="D1267" s="410" t="n">
        <x:v>66</x:v>
      </x:c>
      <x:c r="E1267" t="str">
        <x:v>BOTTOM_02</x:v>
      </x:c>
      <x:c r="F1267" t="str">
        <x:v>GoblinMelee</x:v>
      </x:c>
      <x:c r="G1267" s="410" t="n">
        <x:v>33</x:v>
      </x:c>
    </x:row>
    <x:row r="1268">
      <x:c r="A1268" t="str">
        <x:v>Stage01</x:v>
      </x:c>
      <x:c r="B1268" t="str">
        <x:v>WAVE_39</x:v>
      </x:c>
      <x:c r="C1268" s="409" t="n">
        <x:v>389.47</x:v>
      </x:c>
      <x:c r="D1268" s="410" t="n">
        <x:v>67</x:v>
      </x:c>
      <x:c r="E1268" t="str">
        <x:v>LEFT_03</x:v>
      </x:c>
      <x:c r="F1268" t="str">
        <x:v>GoblinRanged</x:v>
      </x:c>
      <x:c r="G1268" s="410" t="n">
        <x:v>34</x:v>
      </x:c>
    </x:row>
    <x:row r="1269">
      <x:c r="A1269" t="str">
        <x:v>Stage01</x:v>
      </x:c>
      <x:c r="B1269" t="str">
        <x:v>WAVE_39</x:v>
      </x:c>
      <x:c r="C1269" s="409" t="n">
        <x:v>389.6</x:v>
      </x:c>
      <x:c r="D1269" s="410" t="n">
        <x:v>68</x:v>
      </x:c>
      <x:c r="E1269" t="str">
        <x:v>TOP_05</x:v>
      </x:c>
      <x:c r="F1269" t="str">
        <x:v>GoblinMelee</x:v>
      </x:c>
      <x:c r="G1269" s="410" t="n">
        <x:v>33</x:v>
      </x:c>
    </x:row>
    <x:row r="1270">
      <x:c r="A1270" t="str">
        <x:v>Stage01</x:v>
      </x:c>
      <x:c r="B1270" t="str">
        <x:v>WAVE_40</x:v>
      </x:c>
      <x:c r="C1270" s="409" t="n">
        <x:v>391</x:v>
      </x:c>
      <x:c r="D1270" s="410" t="n">
        <x:v>1</x:v>
      </x:c>
      <x:c r="E1270" t="str">
        <x:v>TOP_08</x:v>
      </x:c>
      <x:c r="F1270" t="str">
        <x:v>GoblinMelee</x:v>
      </x:c>
      <x:c r="G1270" s="410" t="n">
        <x:v>33</x:v>
      </x:c>
    </x:row>
    <x:row r="1271">
      <x:c r="A1271" t="str">
        <x:v>Stage01</x:v>
      </x:c>
      <x:c r="B1271" t="str">
        <x:v>WAVE_40</x:v>
      </x:c>
      <x:c r="C1271" s="409" t="n">
        <x:v>391.12</x:v>
      </x:c>
      <x:c r="D1271" s="410" t="n">
        <x:v>2</x:v>
      </x:c>
      <x:c r="E1271" t="str">
        <x:v>RIGHT_01</x:v>
      </x:c>
      <x:c r="F1271" t="str">
        <x:v>GoblinRanged</x:v>
      </x:c>
      <x:c r="G1271" s="410" t="n">
        <x:v>34</x:v>
      </x:c>
    </x:row>
    <x:row r="1272">
      <x:c r="A1272" t="str">
        <x:v>Stage01</x:v>
      </x:c>
      <x:c r="B1272" t="str">
        <x:v>WAVE_40</x:v>
      </x:c>
      <x:c r="C1272" s="409" t="n">
        <x:v>391.25</x:v>
      </x:c>
      <x:c r="D1272" s="410" t="n">
        <x:v>3</x:v>
      </x:c>
      <x:c r="E1272" t="str">
        <x:v>BOTTOM_02</x:v>
      </x:c>
      <x:c r="F1272" t="str">
        <x:v>GoblinMelee</x:v>
      </x:c>
      <x:c r="G1272" s="410" t="n">
        <x:v>33</x:v>
      </x:c>
    </x:row>
    <x:row r="1273">
      <x:c r="A1273" t="str">
        <x:v>Stage01</x:v>
      </x:c>
      <x:c r="B1273" t="str">
        <x:v>WAVE_40</x:v>
      </x:c>
      <x:c r="C1273" s="409" t="n">
        <x:v>391.37</x:v>
      </x:c>
      <x:c r="D1273" s="410" t="n">
        <x:v>4</x:v>
      </x:c>
      <x:c r="E1273" t="str">
        <x:v>LEFT_03</x:v>
      </x:c>
      <x:c r="F1273" t="str">
        <x:v>GoblinMelee</x:v>
      </x:c>
      <x:c r="G1273" s="410" t="n">
        <x:v>33</x:v>
      </x:c>
    </x:row>
    <x:row r="1274">
      <x:c r="A1274" t="str">
        <x:v>Stage01</x:v>
      </x:c>
      <x:c r="B1274" t="str">
        <x:v>WAVE_40</x:v>
      </x:c>
      <x:c r="C1274" s="409" t="n">
        <x:v>391.5</x:v>
      </x:c>
      <x:c r="D1274" s="410" t="n">
        <x:v>5</x:v>
      </x:c>
      <x:c r="E1274" t="str">
        <x:v>TOP_05</x:v>
      </x:c>
      <x:c r="F1274" t="str">
        <x:v>ShieldSkeleton</x:v>
      </x:c>
      <x:c r="G1274" s="410" t="n">
        <x:v>34</x:v>
      </x:c>
    </x:row>
    <x:row r="1275">
      <x:c r="A1275" t="str">
        <x:v>Stage01</x:v>
      </x:c>
      <x:c r="B1275" t="str">
        <x:v>WAVE_40</x:v>
      </x:c>
      <x:c r="C1275" s="409" t="n">
        <x:v>391.62</x:v>
      </x:c>
      <x:c r="D1275" s="410" t="n">
        <x:v>6</x:v>
      </x:c>
      <x:c r="E1275" t="str">
        <x:v>RIGHT_06</x:v>
      </x:c>
      <x:c r="F1275" t="str">
        <x:v>GoblinMelee</x:v>
      </x:c>
      <x:c r="G1275" s="410" t="n">
        <x:v>33</x:v>
      </x:c>
    </x:row>
    <x:row r="1276">
      <x:c r="A1276" t="str">
        <x:v>Stage01</x:v>
      </x:c>
      <x:c r="B1276" t="str">
        <x:v>WAVE_40</x:v>
      </x:c>
      <x:c r="C1276" s="409" t="n">
        <x:v>391.75</x:v>
      </x:c>
      <x:c r="D1276" s="410" t="n">
        <x:v>7</x:v>
      </x:c>
      <x:c r="E1276" t="str">
        <x:v>BOTTOM_07</x:v>
      </x:c>
      <x:c r="F1276" t="str">
        <x:v>GoblinRanged</x:v>
      </x:c>
      <x:c r="G1276" s="410" t="n">
        <x:v>33</x:v>
      </x:c>
    </x:row>
    <x:row r="1277">
      <x:c r="A1277" t="str">
        <x:v>Stage01</x:v>
      </x:c>
      <x:c r="B1277" t="str">
        <x:v>WAVE_40</x:v>
      </x:c>
      <x:c r="C1277" s="409" t="n">
        <x:v>391.87</x:v>
      </x:c>
      <x:c r="D1277" s="410" t="n">
        <x:v>8</x:v>
      </x:c>
      <x:c r="E1277" t="str">
        <x:v>LEFT_08</x:v>
      </x:c>
      <x:c r="F1277" t="str">
        <x:v>GoblinMelee</x:v>
      </x:c>
      <x:c r="G1277" s="410" t="n">
        <x:v>34</x:v>
      </x:c>
    </x:row>
    <x:row r="1278">
      <x:c r="A1278" t="str">
        <x:v>Stage01</x:v>
      </x:c>
      <x:c r="B1278" t="str">
        <x:v>WAVE_40</x:v>
      </x:c>
      <x:c r="C1278" s="409" t="n">
        <x:v>392</x:v>
      </x:c>
      <x:c r="D1278" s="410" t="n">
        <x:v>9</x:v>
      </x:c>
      <x:c r="E1278" t="str">
        <x:v>TOP_02</x:v>
      </x:c>
      <x:c r="F1278" t="str">
        <x:v>GoblinMelee</x:v>
      </x:c>
      <x:c r="G1278" s="410" t="n">
        <x:v>33</x:v>
      </x:c>
    </x:row>
    <x:row r="1279">
      <x:c r="A1279" t="str">
        <x:v>Stage01</x:v>
      </x:c>
      <x:c r="B1279" t="str">
        <x:v>WAVE_40</x:v>
      </x:c>
      <x:c r="C1279" s="409" t="n">
        <x:v>392.12</x:v>
      </x:c>
      <x:c r="D1279" s="410" t="n">
        <x:v>10</x:v>
      </x:c>
      <x:c r="E1279" t="str">
        <x:v>RIGHT_03</x:v>
      </x:c>
      <x:c r="F1279" t="str">
        <x:v>GoblinRanged</x:v>
      </x:c>
      <x:c r="G1279" s="410" t="n">
        <x:v>33</x:v>
      </x:c>
    </x:row>
    <x:row r="1280">
      <x:c r="A1280" t="str">
        <x:v>Stage01</x:v>
      </x:c>
      <x:c r="B1280" t="str">
        <x:v>WAVE_40</x:v>
      </x:c>
      <x:c r="C1280" s="409" t="n">
        <x:v>392.25</x:v>
      </x:c>
      <x:c r="D1280" s="410" t="n">
        <x:v>11</x:v>
      </x:c>
      <x:c r="E1280" t="str">
        <x:v>BOTTOM_04</x:v>
      </x:c>
      <x:c r="F1280" t="str">
        <x:v>GoblinMelee</x:v>
      </x:c>
      <x:c r="G1280" s="410" t="n">
        <x:v>34</x:v>
      </x:c>
    </x:row>
    <x:row r="1281">
      <x:c r="A1281" t="str">
        <x:v>Stage01</x:v>
      </x:c>
      <x:c r="B1281" t="str">
        <x:v>WAVE_40</x:v>
      </x:c>
      <x:c r="C1281" s="409" t="n">
        <x:v>392.37</x:v>
      </x:c>
      <x:c r="D1281" s="410" t="n">
        <x:v>12</x:v>
      </x:c>
      <x:c r="E1281" t="str">
        <x:v>LEFT_05</x:v>
      </x:c>
      <x:c r="F1281" t="str">
        <x:v>FlyingEye</x:v>
      </x:c>
      <x:c r="G1281" s="410" t="n">
        <x:v>33</x:v>
      </x:c>
    </x:row>
    <x:row r="1282">
      <x:c r="A1282" t="str">
        <x:v>Stage01</x:v>
      </x:c>
      <x:c r="B1282" t="str">
        <x:v>WAVE_40</x:v>
      </x:c>
      <x:c r="C1282" s="409" t="n">
        <x:v>392.5</x:v>
      </x:c>
      <x:c r="D1282" s="410" t="n">
        <x:v>13</x:v>
      </x:c>
      <x:c r="E1282" t="str">
        <x:v>TOP_07</x:v>
      </x:c>
      <x:c r="F1282" t="str">
        <x:v>ShieldSkeleton</x:v>
      </x:c>
      <x:c r="G1282" s="410" t="n">
        <x:v>33</x:v>
      </x:c>
    </x:row>
    <x:row r="1283">
      <x:c r="A1283" t="str">
        <x:v>Stage01</x:v>
      </x:c>
      <x:c r="B1283" t="str">
        <x:v>WAVE_40</x:v>
      </x:c>
      <x:c r="C1283" s="409" t="n">
        <x:v>392.62</x:v>
      </x:c>
      <x:c r="D1283" s="410" t="n">
        <x:v>14</x:v>
      </x:c>
      <x:c r="E1283" t="str">
        <x:v>RIGHT_08</x:v>
      </x:c>
      <x:c r="F1283" t="str">
        <x:v>GoblinMelee</x:v>
      </x:c>
      <x:c r="G1283" s="410" t="n">
        <x:v>34</x:v>
      </x:c>
    </x:row>
    <x:row r="1284">
      <x:c r="A1284" t="str">
        <x:v>Stage01</x:v>
      </x:c>
      <x:c r="B1284" t="str">
        <x:v>WAVE_40</x:v>
      </x:c>
      <x:c r="C1284" s="409" t="n">
        <x:v>392.74</x:v>
      </x:c>
      <x:c r="D1284" s="410" t="n">
        <x:v>15</x:v>
      </x:c>
      <x:c r="E1284" t="str">
        <x:v>BOTTOM_01</x:v>
      </x:c>
      <x:c r="F1284" t="str">
        <x:v>GoblinRanged</x:v>
      </x:c>
      <x:c r="G1284" s="410" t="n">
        <x:v>33</x:v>
      </x:c>
    </x:row>
    <x:row r="1285">
      <x:c r="A1285" t="str">
        <x:v>Stage01</x:v>
      </x:c>
      <x:c r="B1285" t="str">
        <x:v>WAVE_40</x:v>
      </x:c>
      <x:c r="C1285" s="409" t="n">
        <x:v>392.87</x:v>
      </x:c>
      <x:c r="D1285" s="410" t="n">
        <x:v>16</x:v>
      </x:c>
      <x:c r="E1285" t="str">
        <x:v>LEFT_02</x:v>
      </x:c>
      <x:c r="F1285" t="str">
        <x:v>GoblinMelee</x:v>
      </x:c>
      <x:c r="G1285" s="410" t="n">
        <x:v>33</x:v>
      </x:c>
    </x:row>
    <x:row r="1286">
      <x:c r="A1286" t="str">
        <x:v>Stage01</x:v>
      </x:c>
      <x:c r="B1286" t="str">
        <x:v>WAVE_40</x:v>
      </x:c>
      <x:c r="C1286" s="409" t="n">
        <x:v>392.99</x:v>
      </x:c>
      <x:c r="D1286" s="410" t="n">
        <x:v>17</x:v>
      </x:c>
      <x:c r="E1286" t="str">
        <x:v>TOP_04</x:v>
      </x:c>
      <x:c r="F1286" t="str">
        <x:v>GoblinMelee</x:v>
      </x:c>
      <x:c r="G1286" s="410" t="n">
        <x:v>34</x:v>
      </x:c>
    </x:row>
    <x:row r="1287">
      <x:c r="A1287" t="str">
        <x:v>Stage01</x:v>
      </x:c>
      <x:c r="B1287" t="str">
        <x:v>WAVE_40</x:v>
      </x:c>
      <x:c r="C1287" s="409" t="n">
        <x:v>393.12</x:v>
      </x:c>
      <x:c r="D1287" s="410" t="n">
        <x:v>18</x:v>
      </x:c>
      <x:c r="E1287" t="str">
        <x:v>RIGHT_05</x:v>
      </x:c>
      <x:c r="F1287" t="str">
        <x:v>GoblinRanged</x:v>
      </x:c>
      <x:c r="G1287" s="410" t="n">
        <x:v>33</x:v>
      </x:c>
    </x:row>
    <x:row r="1288">
      <x:c r="A1288" t="str">
        <x:v>Stage01</x:v>
      </x:c>
      <x:c r="B1288" t="str">
        <x:v>WAVE_40</x:v>
      </x:c>
      <x:c r="C1288" s="409" t="n">
        <x:v>393.24</x:v>
      </x:c>
      <x:c r="D1288" s="410" t="n">
        <x:v>19</x:v>
      </x:c>
      <x:c r="E1288" t="str">
        <x:v>BOTTOM_06</x:v>
      </x:c>
      <x:c r="F1288" t="str">
        <x:v>GoblinMelee</x:v>
      </x:c>
      <x:c r="G1288" s="410" t="n">
        <x:v>33</x:v>
      </x:c>
    </x:row>
    <x:row r="1289">
      <x:c r="A1289" t="str">
        <x:v>Stage01</x:v>
      </x:c>
      <x:c r="B1289" t="str">
        <x:v>WAVE_40</x:v>
      </x:c>
      <x:c r="C1289" s="409" t="n">
        <x:v>393.37</x:v>
      </x:c>
      <x:c r="D1289" s="410" t="n">
        <x:v>20</x:v>
      </x:c>
      <x:c r="E1289" t="str">
        <x:v>LEFT_07</x:v>
      </x:c>
      <x:c r="F1289" t="str">
        <x:v>GoblinMelee</x:v>
      </x:c>
      <x:c r="G1289" s="410" t="n">
        <x:v>34</x:v>
      </x:c>
    </x:row>
    <x:row r="1290">
      <x:c r="A1290" t="str">
        <x:v>Stage01</x:v>
      </x:c>
      <x:c r="B1290" t="str">
        <x:v>WAVE_40</x:v>
      </x:c>
      <x:c r="C1290" s="409" t="n">
        <x:v>393.49</x:v>
      </x:c>
      <x:c r="D1290" s="410" t="n">
        <x:v>21</x:v>
      </x:c>
      <x:c r="E1290" t="str">
        <x:v>TOP_01</x:v>
      </x:c>
      <x:c r="F1290" t="str">
        <x:v>GoblinRanged</x:v>
      </x:c>
      <x:c r="G1290" s="410" t="n">
        <x:v>33</x:v>
      </x:c>
    </x:row>
    <x:row r="1291">
      <x:c r="A1291" t="str">
        <x:v>Stage01</x:v>
      </x:c>
      <x:c r="B1291" t="str">
        <x:v>WAVE_40</x:v>
      </x:c>
      <x:c r="C1291" s="409" t="n">
        <x:v>393.62</x:v>
      </x:c>
      <x:c r="D1291" s="410" t="n">
        <x:v>22</x:v>
      </x:c>
      <x:c r="E1291" t="str">
        <x:v>RIGHT_02</x:v>
      </x:c>
      <x:c r="F1291" t="str">
        <x:v>GoblinMelee</x:v>
      </x:c>
      <x:c r="G1291" s="410" t="n">
        <x:v>33</x:v>
      </x:c>
    </x:row>
    <x:row r="1292">
      <x:c r="A1292" t="str">
        <x:v>Stage01</x:v>
      </x:c>
      <x:c r="B1292" t="str">
        <x:v>WAVE_40</x:v>
      </x:c>
      <x:c r="C1292" s="409" t="n">
        <x:v>393.74</x:v>
      </x:c>
      <x:c r="D1292" s="410" t="n">
        <x:v>23</x:v>
      </x:c>
      <x:c r="E1292" t="str">
        <x:v>BOTTOM_03</x:v>
      </x:c>
      <x:c r="F1292" t="str">
        <x:v>ShieldSkeleton</x:v>
      </x:c>
      <x:c r="G1292" s="410" t="n">
        <x:v>34</x:v>
      </x:c>
    </x:row>
    <x:row r="1293">
      <x:c r="A1293" t="str">
        <x:v>Stage01</x:v>
      </x:c>
      <x:c r="B1293" t="str">
        <x:v>WAVE_40</x:v>
      </x:c>
      <x:c r="C1293" s="409" t="n">
        <x:v>393.87</x:v>
      </x:c>
      <x:c r="D1293" s="410" t="n">
        <x:v>24</x:v>
      </x:c>
      <x:c r="E1293" t="str">
        <x:v>LEFT_04</x:v>
      </x:c>
      <x:c r="F1293" t="str">
        <x:v>GoblinMelee</x:v>
      </x:c>
      <x:c r="G1293" s="410" t="n">
        <x:v>33</x:v>
      </x:c>
    </x:row>
    <x:row r="1294">
      <x:c r="A1294" t="str">
        <x:v>Stage01</x:v>
      </x:c>
      <x:c r="B1294" t="str">
        <x:v>WAVE_40</x:v>
      </x:c>
      <x:c r="C1294" s="409" t="n">
        <x:v>393.99</x:v>
      </x:c>
      <x:c r="D1294" s="410" t="n">
        <x:v>25</x:v>
      </x:c>
      <x:c r="E1294" t="str">
        <x:v>TOP_06</x:v>
      </x:c>
      <x:c r="F1294" t="str">
        <x:v>FlyingEye</x:v>
      </x:c>
      <x:c r="G1294" s="410" t="n">
        <x:v>33</x:v>
      </x:c>
    </x:row>
    <x:row r="1295">
      <x:c r="A1295" t="str">
        <x:v>Stage01</x:v>
      </x:c>
      <x:c r="B1295" t="str">
        <x:v>WAVE_40</x:v>
      </x:c>
      <x:c r="C1295" s="409" t="n">
        <x:v>394.12</x:v>
      </x:c>
      <x:c r="D1295" s="410" t="n">
        <x:v>26</x:v>
      </x:c>
      <x:c r="E1295" t="str">
        <x:v>RIGHT_07</x:v>
      </x:c>
      <x:c r="F1295" t="str">
        <x:v>GoblinRanged</x:v>
      </x:c>
      <x:c r="G1295" s="410" t="n">
        <x:v>34</x:v>
      </x:c>
    </x:row>
    <x:row r="1296">
      <x:c r="A1296" t="str">
        <x:v>Stage01</x:v>
      </x:c>
      <x:c r="B1296" t="str">
        <x:v>WAVE_40</x:v>
      </x:c>
      <x:c r="C1296" s="409" t="n">
        <x:v>394.24</x:v>
      </x:c>
      <x:c r="D1296" s="410" t="n">
        <x:v>27</x:v>
      </x:c>
      <x:c r="E1296" t="str">
        <x:v>BOTTOM_08</x:v>
      </x:c>
      <x:c r="F1296" t="str">
        <x:v>GoblinMelee</x:v>
      </x:c>
      <x:c r="G1296" s="410" t="n">
        <x:v>33</x:v>
      </x:c>
    </x:row>
    <x:row r="1297">
      <x:c r="A1297" t="str">
        <x:v>Stage01</x:v>
      </x:c>
      <x:c r="B1297" t="str">
        <x:v>WAVE_40</x:v>
      </x:c>
      <x:c r="C1297" s="409" t="n">
        <x:v>394.37</x:v>
      </x:c>
      <x:c r="D1297" s="410" t="n">
        <x:v>28</x:v>
      </x:c>
      <x:c r="E1297" t="str">
        <x:v>LEFT_01</x:v>
      </x:c>
      <x:c r="F1297" t="str">
        <x:v>GoblinMelee</x:v>
      </x:c>
      <x:c r="G1297" s="410" t="n">
        <x:v>33</x:v>
      </x:c>
    </x:row>
    <x:row r="1298">
      <x:c r="A1298" t="str">
        <x:v>Stage01</x:v>
      </x:c>
      <x:c r="B1298" t="str">
        <x:v>WAVE_40</x:v>
      </x:c>
      <x:c r="C1298" s="409" t="n">
        <x:v>394.49</x:v>
      </x:c>
      <x:c r="D1298" s="410" t="n">
        <x:v>29</x:v>
      </x:c>
      <x:c r="E1298" t="str">
        <x:v>TOP_03</x:v>
      </x:c>
      <x:c r="F1298" t="str">
        <x:v>GoblinRanged</x:v>
      </x:c>
      <x:c r="G1298" s="410" t="n">
        <x:v>34</x:v>
      </x:c>
    </x:row>
    <x:row r="1299">
      <x:c r="A1299" t="str">
        <x:v>Stage01</x:v>
      </x:c>
      <x:c r="B1299" t="str">
        <x:v>WAVE_40</x:v>
      </x:c>
      <x:c r="C1299" s="409" t="n">
        <x:v>394.61</x:v>
      </x:c>
      <x:c r="D1299" s="410" t="n">
        <x:v>30</x:v>
      </x:c>
      <x:c r="E1299" t="str">
        <x:v>RIGHT_04</x:v>
      </x:c>
      <x:c r="F1299" t="str">
        <x:v>GoblinMelee</x:v>
      </x:c>
      <x:c r="G1299" s="410" t="n">
        <x:v>33</x:v>
      </x:c>
    </x:row>
    <x:row r="1300">
      <x:c r="A1300" t="str">
        <x:v>Stage01</x:v>
      </x:c>
      <x:c r="B1300" t="str">
        <x:v>WAVE_40</x:v>
      </x:c>
      <x:c r="C1300" s="409" t="n">
        <x:v>394.74</x:v>
      </x:c>
      <x:c r="D1300" s="410" t="n">
        <x:v>31</x:v>
      </x:c>
      <x:c r="E1300" t="str">
        <x:v>BOTTOM_05</x:v>
      </x:c>
      <x:c r="F1300" t="str">
        <x:v>ShieldSkeleton</x:v>
      </x:c>
      <x:c r="G1300" s="410" t="n">
        <x:v>33</x:v>
      </x:c>
    </x:row>
    <x:row r="1301">
      <x:c r="A1301" t="str">
        <x:v>Stage01</x:v>
      </x:c>
      <x:c r="B1301" t="str">
        <x:v>WAVE_40</x:v>
      </x:c>
      <x:c r="C1301" s="409" t="n">
        <x:v>394.86</x:v>
      </x:c>
      <x:c r="D1301" s="410" t="n">
        <x:v>32</x:v>
      </x:c>
      <x:c r="E1301" t="str">
        <x:v>LEFT_06</x:v>
      </x:c>
      <x:c r="F1301" t="str">
        <x:v>GoblinMelee</x:v>
      </x:c>
      <x:c r="G1301" s="410" t="n">
        <x:v>34</x:v>
      </x:c>
    </x:row>
    <x:row r="1302">
      <x:c r="A1302" t="str">
        <x:v>Stage01</x:v>
      </x:c>
      <x:c r="B1302" t="str">
        <x:v>WAVE_40</x:v>
      </x:c>
      <x:c r="C1302" s="409" t="n">
        <x:v>394.99</x:v>
      </x:c>
      <x:c r="D1302" s="410" t="n">
        <x:v>33</x:v>
      </x:c>
      <x:c r="E1302" t="str">
        <x:v>TOP_08</x:v>
      </x:c>
      <x:c r="F1302" t="str">
        <x:v>GoblinMelee</x:v>
      </x:c>
      <x:c r="G1302" s="410" t="n">
        <x:v>33</x:v>
      </x:c>
    </x:row>
    <x:row r="1303">
      <x:c r="A1303" t="str">
        <x:v>Stage01</x:v>
      </x:c>
      <x:c r="B1303" t="str">
        <x:v>WAVE_40</x:v>
      </x:c>
      <x:c r="C1303" s="409" t="n">
        <x:v>395.11</x:v>
      </x:c>
      <x:c r="D1303" s="410" t="n">
        <x:v>34</x:v>
      </x:c>
      <x:c r="E1303" t="str">
        <x:v>RIGHT_01</x:v>
      </x:c>
      <x:c r="F1303" t="str">
        <x:v>GoblinRanged</x:v>
      </x:c>
      <x:c r="G1303" s="410" t="n">
        <x:v>33</x:v>
      </x:c>
    </x:row>
    <x:row r="1304">
      <x:c r="A1304" t="str">
        <x:v>Stage01</x:v>
      </x:c>
      <x:c r="B1304" t="str">
        <x:v>WAVE_40</x:v>
      </x:c>
      <x:c r="C1304" s="409" t="n">
        <x:v>395.24</x:v>
      </x:c>
      <x:c r="D1304" s="410" t="n">
        <x:v>35</x:v>
      </x:c>
      <x:c r="E1304" t="str">
        <x:v>BOTTOM_02</x:v>
      </x:c>
      <x:c r="F1304" t="str">
        <x:v>GoblinMelee</x:v>
      </x:c>
      <x:c r="G1304" s="410" t="n">
        <x:v>33</x:v>
      </x:c>
    </x:row>
    <x:row r="1305">
      <x:c r="A1305" t="str">
        <x:v>Stage01</x:v>
      </x:c>
      <x:c r="B1305" t="str">
        <x:v>WAVE_40</x:v>
      </x:c>
      <x:c r="C1305" s="409" t="n">
        <x:v>395.36</x:v>
      </x:c>
      <x:c r="D1305" s="410" t="n">
        <x:v>36</x:v>
      </x:c>
      <x:c r="E1305" t="str">
        <x:v>LEFT_03</x:v>
      </x:c>
      <x:c r="F1305" t="str">
        <x:v>GoblinMelee</x:v>
      </x:c>
      <x:c r="G1305" s="410" t="n">
        <x:v>34</x:v>
      </x:c>
    </x:row>
    <x:row r="1306">
      <x:c r="A1306" t="str">
        <x:v>Stage01</x:v>
      </x:c>
      <x:c r="B1306" t="str">
        <x:v>WAVE_40</x:v>
      </x:c>
      <x:c r="C1306" s="409" t="n">
        <x:v>395.49</x:v>
      </x:c>
      <x:c r="D1306" s="410" t="n">
        <x:v>37</x:v>
      </x:c>
      <x:c r="E1306" t="str">
        <x:v>TOP_05</x:v>
      </x:c>
      <x:c r="F1306" t="str">
        <x:v>GoblinRanged</x:v>
      </x:c>
      <x:c r="G1306" s="410" t="n">
        <x:v>33</x:v>
      </x:c>
    </x:row>
    <x:row r="1307">
      <x:c r="A1307" t="str">
        <x:v>Stage01</x:v>
      </x:c>
      <x:c r="B1307" t="str">
        <x:v>WAVE_40</x:v>
      </x:c>
      <x:c r="C1307" s="409" t="n">
        <x:v>395.61</x:v>
      </x:c>
      <x:c r="D1307" s="410" t="n">
        <x:v>38</x:v>
      </x:c>
      <x:c r="E1307" t="str">
        <x:v>RIGHT_06</x:v>
      </x:c>
      <x:c r="F1307" t="str">
        <x:v>FlyingEye</x:v>
      </x:c>
      <x:c r="G1307" s="410" t="n">
        <x:v>33</x:v>
      </x:c>
    </x:row>
    <x:row r="1308">
      <x:c r="A1308" t="str">
        <x:v>Stage01</x:v>
      </x:c>
      <x:c r="B1308" t="str">
        <x:v>WAVE_40</x:v>
      </x:c>
      <x:c r="C1308" s="409" t="n">
        <x:v>395.74</x:v>
      </x:c>
      <x:c r="D1308" s="410" t="n">
        <x:v>39</x:v>
      </x:c>
      <x:c r="E1308" t="str">
        <x:v>BOTTOM_07</x:v>
      </x:c>
      <x:c r="F1308" t="str">
        <x:v>GoblinMelee</x:v>
      </x:c>
      <x:c r="G1308" s="410" t="n">
        <x:v>34</x:v>
      </x:c>
    </x:row>
    <x:row r="1309">
      <x:c r="A1309" t="str">
        <x:v>Stage01</x:v>
      </x:c>
      <x:c r="B1309" t="str">
        <x:v>WAVE_40</x:v>
      </x:c>
      <x:c r="C1309" s="409" t="n">
        <x:v>395.86</x:v>
      </x:c>
      <x:c r="D1309" s="410" t="n">
        <x:v>40</x:v>
      </x:c>
      <x:c r="E1309" t="str">
        <x:v>LEFT_08</x:v>
      </x:c>
      <x:c r="F1309" t="str">
        <x:v>ShieldSkeleton</x:v>
      </x:c>
      <x:c r="G1309" s="410" t="n">
        <x:v>33</x:v>
      </x:c>
    </x:row>
    <x:row r="1310">
      <x:c r="A1310" t="str">
        <x:v>Stage01</x:v>
      </x:c>
      <x:c r="B1310" t="str">
        <x:v>WAVE_40</x:v>
      </x:c>
      <x:c r="C1310" s="409" t="n">
        <x:v>395.99</x:v>
      </x:c>
      <x:c r="D1310" s="410" t="n">
        <x:v>41</x:v>
      </x:c>
      <x:c r="E1310" t="str">
        <x:v>TOP_02</x:v>
      </x:c>
      <x:c r="F1310" t="str">
        <x:v>GoblinMelee</x:v>
      </x:c>
      <x:c r="G1310" s="410" t="n">
        <x:v>33</x:v>
      </x:c>
    </x:row>
    <x:row r="1311">
      <x:c r="A1311" t="str">
        <x:v>Stage01</x:v>
      </x:c>
      <x:c r="B1311" t="str">
        <x:v>WAVE_40</x:v>
      </x:c>
      <x:c r="C1311" s="409" t="n">
        <x:v>396.11</x:v>
      </x:c>
      <x:c r="D1311" s="410" t="n">
        <x:v>42</x:v>
      </x:c>
      <x:c r="E1311" t="str">
        <x:v>RIGHT_03</x:v>
      </x:c>
      <x:c r="F1311" t="str">
        <x:v>GoblinRanged</x:v>
      </x:c>
      <x:c r="G1311" s="410" t="n">
        <x:v>34</x:v>
      </x:c>
    </x:row>
    <x:row r="1312">
      <x:c r="A1312" t="str">
        <x:v>Stage01</x:v>
      </x:c>
      <x:c r="B1312" t="str">
        <x:v>WAVE_40</x:v>
      </x:c>
      <x:c r="C1312" s="409" t="n">
        <x:v>396.23</x:v>
      </x:c>
      <x:c r="D1312" s="410" t="n">
        <x:v>43</x:v>
      </x:c>
      <x:c r="E1312" t="str">
        <x:v>BOTTOM_04</x:v>
      </x:c>
      <x:c r="F1312" t="str">
        <x:v>GoblinMelee</x:v>
      </x:c>
      <x:c r="G1312" s="410" t="n">
        <x:v>33</x:v>
      </x:c>
    </x:row>
    <x:row r="1313">
      <x:c r="A1313" t="str">
        <x:v>Stage01</x:v>
      </x:c>
      <x:c r="B1313" t="str">
        <x:v>WAVE_40</x:v>
      </x:c>
      <x:c r="C1313" s="409" t="n">
        <x:v>396.36</x:v>
      </x:c>
      <x:c r="D1313" s="410" t="n">
        <x:v>44</x:v>
      </x:c>
      <x:c r="E1313" t="str">
        <x:v>LEFT_05</x:v>
      </x:c>
      <x:c r="F1313" t="str">
        <x:v>GoblinMelee</x:v>
      </x:c>
      <x:c r="G1313" s="410" t="n">
        <x:v>33</x:v>
      </x:c>
    </x:row>
    <x:row r="1314">
      <x:c r="A1314" t="str">
        <x:v>Stage01</x:v>
      </x:c>
      <x:c r="B1314" t="str">
        <x:v>WAVE_40</x:v>
      </x:c>
      <x:c r="C1314" s="409" t="n">
        <x:v>396.48</x:v>
      </x:c>
      <x:c r="D1314" s="410" t="n">
        <x:v>45</x:v>
      </x:c>
      <x:c r="E1314" t="str">
        <x:v>TOP_07</x:v>
      </x:c>
      <x:c r="F1314" t="str">
        <x:v>GoblinRanged</x:v>
      </x:c>
      <x:c r="G1314" s="410" t="n">
        <x:v>34</x:v>
      </x:c>
    </x:row>
    <x:row r="1315">
      <x:c r="A1315" t="str">
        <x:v>Stage01</x:v>
      </x:c>
      <x:c r="B1315" t="str">
        <x:v>WAVE_40</x:v>
      </x:c>
      <x:c r="C1315" s="409" t="n">
        <x:v>396.61</x:v>
      </x:c>
      <x:c r="D1315" s="410" t="n">
        <x:v>46</x:v>
      </x:c>
      <x:c r="E1315" t="str">
        <x:v>RIGHT_08</x:v>
      </x:c>
      <x:c r="F1315" t="str">
        <x:v>GoblinMelee</x:v>
      </x:c>
      <x:c r="G1315" s="410" t="n">
        <x:v>33</x:v>
      </x:c>
    </x:row>
    <x:row r="1316">
      <x:c r="A1316" t="str">
        <x:v>Stage01</x:v>
      </x:c>
      <x:c r="B1316" t="str">
        <x:v>WAVE_40</x:v>
      </x:c>
      <x:c r="C1316" s="409" t="n">
        <x:v>396.73</x:v>
      </x:c>
      <x:c r="D1316" s="410" t="n">
        <x:v>47</x:v>
      </x:c>
      <x:c r="E1316" t="str">
        <x:v>BOTTOM_01</x:v>
      </x:c>
      <x:c r="F1316" t="str">
        <x:v>GoblinMelee</x:v>
      </x:c>
      <x:c r="G1316" s="410" t="n">
        <x:v>33</x:v>
      </x:c>
    </x:row>
    <x:row r="1317">
      <x:c r="A1317" t="str">
        <x:v>Stage01</x:v>
      </x:c>
      <x:c r="B1317" t="str">
        <x:v>WAVE_40</x:v>
      </x:c>
      <x:c r="C1317" s="409" t="n">
        <x:v>396.86</x:v>
      </x:c>
      <x:c r="D1317" s="410" t="n">
        <x:v>48</x:v>
      </x:c>
      <x:c r="E1317" t="str">
        <x:v>LEFT_02</x:v>
      </x:c>
      <x:c r="F1317" t="str">
        <x:v>ShieldSkeleton</x:v>
      </x:c>
      <x:c r="G1317" s="410" t="n">
        <x:v>34</x:v>
      </x:c>
    </x:row>
    <x:row r="1318">
      <x:c r="A1318" t="str">
        <x:v>Stage01</x:v>
      </x:c>
      <x:c r="B1318" t="str">
        <x:v>WAVE_40</x:v>
      </x:c>
      <x:c r="C1318" s="409" t="n">
        <x:v>396.98</x:v>
      </x:c>
      <x:c r="D1318" s="410" t="n">
        <x:v>49</x:v>
      </x:c>
      <x:c r="E1318" t="str">
        <x:v>TOP_04</x:v>
      </x:c>
      <x:c r="F1318" t="str">
        <x:v>GoblinMelee</x:v>
      </x:c>
      <x:c r="G1318" s="410" t="n">
        <x:v>33</x:v>
      </x:c>
    </x:row>
    <x:row r="1319">
      <x:c r="A1319" t="str">
        <x:v>Stage01</x:v>
      </x:c>
      <x:c r="B1319" t="str">
        <x:v>WAVE_40</x:v>
      </x:c>
      <x:c r="C1319" s="409" t="n">
        <x:v>397.11</x:v>
      </x:c>
      <x:c r="D1319" s="410" t="n">
        <x:v>50</x:v>
      </x:c>
      <x:c r="E1319" t="str">
        <x:v>RIGHT_05</x:v>
      </x:c>
      <x:c r="F1319" t="str">
        <x:v>GoblinRanged</x:v>
      </x:c>
      <x:c r="G1319" s="410" t="n">
        <x:v>33</x:v>
      </x:c>
    </x:row>
    <x:row r="1320">
      <x:c r="A1320" t="str">
        <x:v>Stage01</x:v>
      </x:c>
      <x:c r="B1320" t="str">
        <x:v>WAVE_40</x:v>
      </x:c>
      <x:c r="C1320" s="409" t="n">
        <x:v>397.23</x:v>
      </x:c>
      <x:c r="D1320" s="410" t="n">
        <x:v>51</x:v>
      </x:c>
      <x:c r="E1320" t="str">
        <x:v>BOTTOM_06</x:v>
      </x:c>
      <x:c r="F1320" t="str">
        <x:v>FlyingEye</x:v>
      </x:c>
      <x:c r="G1320" s="410" t="n">
        <x:v>34</x:v>
      </x:c>
    </x:row>
    <x:row r="1321">
      <x:c r="A1321" t="str">
        <x:v>Stage01</x:v>
      </x:c>
      <x:c r="B1321" t="str">
        <x:v>WAVE_40</x:v>
      </x:c>
      <x:c r="C1321" s="409" t="n">
        <x:v>397.36</x:v>
      </x:c>
      <x:c r="D1321" s="410" t="n">
        <x:v>52</x:v>
      </x:c>
      <x:c r="E1321" t="str">
        <x:v>LEFT_07</x:v>
      </x:c>
      <x:c r="F1321" t="str">
        <x:v>GoblinMelee</x:v>
      </x:c>
      <x:c r="G1321" s="410" t="n">
        <x:v>33</x:v>
      </x:c>
    </x:row>
    <x:row r="1322">
      <x:c r="A1322" t="str">
        <x:v>Stage01</x:v>
      </x:c>
      <x:c r="B1322" t="str">
        <x:v>WAVE_40</x:v>
      </x:c>
      <x:c r="C1322" s="409" t="n">
        <x:v>397.48</x:v>
      </x:c>
      <x:c r="D1322" s="410" t="n">
        <x:v>53</x:v>
      </x:c>
      <x:c r="E1322" t="str">
        <x:v>TOP_01</x:v>
      </x:c>
      <x:c r="F1322" t="str">
        <x:v>GoblinRanged</x:v>
      </x:c>
      <x:c r="G1322" s="410" t="n">
        <x:v>33</x:v>
      </x:c>
    </x:row>
    <x:row r="1323">
      <x:c r="A1323" t="str">
        <x:v>Stage01</x:v>
      </x:c>
      <x:c r="B1323" t="str">
        <x:v>WAVE_40</x:v>
      </x:c>
      <x:c r="C1323" s="409" t="n">
        <x:v>397.61</x:v>
      </x:c>
      <x:c r="D1323" s="410" t="n">
        <x:v>54</x:v>
      </x:c>
      <x:c r="E1323" t="str">
        <x:v>RIGHT_02</x:v>
      </x:c>
      <x:c r="F1323" t="str">
        <x:v>GoblinMelee</x:v>
      </x:c>
      <x:c r="G1323" s="410" t="n">
        <x:v>34</x:v>
      </x:c>
    </x:row>
    <x:row r="1324">
      <x:c r="A1324" t="str">
        <x:v>Stage01</x:v>
      </x:c>
      <x:c r="B1324" t="str">
        <x:v>WAVE_40</x:v>
      </x:c>
      <x:c r="C1324" s="409" t="n">
        <x:v>397.73</x:v>
      </x:c>
      <x:c r="D1324" s="410" t="n">
        <x:v>55</x:v>
      </x:c>
      <x:c r="E1324" t="str">
        <x:v>BOTTOM_03</x:v>
      </x:c>
      <x:c r="F1324" t="str">
        <x:v>GoblinMelee</x:v>
      </x:c>
      <x:c r="G1324" s="410" t="n">
        <x:v>33</x:v>
      </x:c>
    </x:row>
    <x:row r="1325">
      <x:c r="A1325" t="str">
        <x:v>Stage01</x:v>
      </x:c>
      <x:c r="B1325" t="str">
        <x:v>WAVE_40</x:v>
      </x:c>
      <x:c r="C1325" s="409" t="n">
        <x:v>397.86</x:v>
      </x:c>
      <x:c r="D1325" s="410" t="n">
        <x:v>56</x:v>
      </x:c>
      <x:c r="E1325" t="str">
        <x:v>LEFT_04</x:v>
      </x:c>
      <x:c r="F1325" t="str">
        <x:v>GoblinRanged</x:v>
      </x:c>
      <x:c r="G1325" s="410" t="n">
        <x:v>33</x:v>
      </x:c>
    </x:row>
    <x:row r="1326">
      <x:c r="A1326" t="str">
        <x:v>Stage01</x:v>
      </x:c>
      <x:c r="B1326" t="str">
        <x:v>WAVE_40</x:v>
      </x:c>
      <x:c r="C1326" s="409" t="n">
        <x:v>397.98</x:v>
      </x:c>
      <x:c r="D1326" s="410" t="n">
        <x:v>57</x:v>
      </x:c>
      <x:c r="E1326" t="str">
        <x:v>TOP_06</x:v>
      </x:c>
      <x:c r="F1326" t="str">
        <x:v>GoblinMelee</x:v>
      </x:c>
      <x:c r="G1326" s="410" t="n">
        <x:v>34</x:v>
      </x:c>
    </x:row>
    <x:row r="1327">
      <x:c r="A1327" t="str">
        <x:v>Stage01</x:v>
      </x:c>
      <x:c r="B1327" t="str">
        <x:v>WAVE_40</x:v>
      </x:c>
      <x:c r="C1327" s="409" t="n">
        <x:v>398.1</x:v>
      </x:c>
      <x:c r="D1327" s="410" t="n">
        <x:v>58</x:v>
      </x:c>
      <x:c r="E1327" t="str">
        <x:v>RIGHT_07</x:v>
      </x:c>
      <x:c r="F1327" t="str">
        <x:v>ShieldSkeleton</x:v>
      </x:c>
      <x:c r="G1327" s="410" t="n">
        <x:v>33</x:v>
      </x:c>
    </x:row>
    <x:row r="1328">
      <x:c r="A1328" t="str">
        <x:v>Stage01</x:v>
      </x:c>
      <x:c r="B1328" t="str">
        <x:v>WAVE_40</x:v>
      </x:c>
      <x:c r="C1328" s="409" t="n">
        <x:v>398.23</x:v>
      </x:c>
      <x:c r="D1328" s="410" t="n">
        <x:v>59</x:v>
      </x:c>
      <x:c r="E1328" t="str">
        <x:v>BOTTOM_08</x:v>
      </x:c>
      <x:c r="F1328" t="str">
        <x:v>GoblinMelee</x:v>
      </x:c>
      <x:c r="G1328" s="410" t="n">
        <x:v>33</x:v>
      </x:c>
    </x:row>
    <x:row r="1329">
      <x:c r="A1329" t="str">
        <x:v>Stage01</x:v>
      </x:c>
      <x:c r="B1329" t="str">
        <x:v>WAVE_40</x:v>
      </x:c>
      <x:c r="C1329" s="409" t="n">
        <x:v>398.35</x:v>
      </x:c>
      <x:c r="D1329" s="410" t="n">
        <x:v>60</x:v>
      </x:c>
      <x:c r="E1329" t="str">
        <x:v>LEFT_01</x:v>
      </x:c>
      <x:c r="F1329" t="str">
        <x:v>GoblinMelee</x:v>
      </x:c>
      <x:c r="G1329" s="410" t="n">
        <x:v>34</x:v>
      </x:c>
    </x:row>
    <x:row r="1330">
      <x:c r="A1330" t="str">
        <x:v>Stage01</x:v>
      </x:c>
      <x:c r="B1330" t="str">
        <x:v>WAVE_40</x:v>
      </x:c>
      <x:c r="C1330" s="409" t="n">
        <x:v>398.48</x:v>
      </x:c>
      <x:c r="D1330" s="410" t="n">
        <x:v>61</x:v>
      </x:c>
      <x:c r="E1330" t="str">
        <x:v>TOP_03</x:v>
      </x:c>
      <x:c r="F1330" t="str">
        <x:v>GoblinRanged</x:v>
      </x:c>
      <x:c r="G1330" s="410" t="n">
        <x:v>33</x:v>
      </x:c>
    </x:row>
    <x:row r="1331">
      <x:c r="A1331" t="str">
        <x:v>Stage01</x:v>
      </x:c>
      <x:c r="B1331" t="str">
        <x:v>WAVE_40</x:v>
      </x:c>
      <x:c r="C1331" s="409" t="n">
        <x:v>398.6</x:v>
      </x:c>
      <x:c r="D1331" s="410" t="n">
        <x:v>62</x:v>
      </x:c>
      <x:c r="E1331" t="str">
        <x:v>RIGHT_04</x:v>
      </x:c>
      <x:c r="F1331" t="str">
        <x:v>GoblinMelee</x:v>
      </x:c>
      <x:c r="G1331" s="410" t="n">
        <x:v>33</x:v>
      </x:c>
    </x:row>
    <x:row r="1332">
      <x:c r="A1332" t="str">
        <x:v>Stage01</x:v>
      </x:c>
      <x:c r="B1332" t="str">
        <x:v>WAVE_40</x:v>
      </x:c>
      <x:c r="C1332" s="409" t="n">
        <x:v>398.73</x:v>
      </x:c>
      <x:c r="D1332" s="410" t="n">
        <x:v>63</x:v>
      </x:c>
      <x:c r="E1332" t="str">
        <x:v>BOTTOM_05</x:v>
      </x:c>
      <x:c r="F1332" t="str">
        <x:v>FlyingEye</x:v>
      </x:c>
      <x:c r="G1332" s="410" t="n">
        <x:v>34</x:v>
      </x:c>
    </x:row>
    <x:row r="1333">
      <x:c r="A1333" t="str">
        <x:v>Stage01</x:v>
      </x:c>
      <x:c r="B1333" t="str">
        <x:v>WAVE_40</x:v>
      </x:c>
      <x:c r="C1333" s="409" t="n">
        <x:v>398.85</x:v>
      </x:c>
      <x:c r="D1333" s="410" t="n">
        <x:v>64</x:v>
      </x:c>
      <x:c r="E1333" t="str">
        <x:v>LEFT_06</x:v>
      </x:c>
      <x:c r="F1333" t="str">
        <x:v>GoblinRanged</x:v>
      </x:c>
      <x:c r="G1333" s="410" t="n">
        <x:v>33</x:v>
      </x:c>
    </x:row>
    <x:row r="1334">
      <x:c r="A1334" t="str">
        <x:v>Stage01</x:v>
      </x:c>
      <x:c r="B1334" t="str">
        <x:v>WAVE_40</x:v>
      </x:c>
      <x:c r="C1334" s="409" t="n">
        <x:v>398.98</x:v>
      </x:c>
      <x:c r="D1334" s="410" t="n">
        <x:v>65</x:v>
      </x:c>
      <x:c r="E1334" t="str">
        <x:v>TOP_08</x:v>
      </x:c>
      <x:c r="F1334" t="str">
        <x:v>GoblinMelee</x:v>
      </x:c>
      <x:c r="G1334" s="410" t="n">
        <x:v>33</x:v>
      </x:c>
    </x:row>
    <x:row r="1335">
      <x:c r="A1335" t="str">
        <x:v>Stage01</x:v>
      </x:c>
      <x:c r="B1335" t="str">
        <x:v>WAVE_40</x:v>
      </x:c>
      <x:c r="C1335" s="409" t="n">
        <x:v>399.1</x:v>
      </x:c>
      <x:c r="D1335" s="410" t="n">
        <x:v>66</x:v>
      </x:c>
      <x:c r="E1335" t="str">
        <x:v>RIGHT_01</x:v>
      </x:c>
      <x:c r="F1335" t="str">
        <x:v>ShieldSkeleton</x:v>
      </x:c>
      <x:c r="G1335" s="410" t="n">
        <x:v>34</x:v>
      </x:c>
    </x:row>
    <x:row r="1336">
      <x:c r="A1336" t="str">
        <x:v>Stage01</x:v>
      </x:c>
      <x:c r="B1336" t="str">
        <x:v>WAVE_40</x:v>
      </x:c>
      <x:c r="C1336" s="409" t="n">
        <x:v>399.23</x:v>
      </x:c>
      <x:c r="D1336" s="410" t="n">
        <x:v>67</x:v>
      </x:c>
      <x:c r="E1336" t="str">
        <x:v>BOTTOM_02</x:v>
      </x:c>
      <x:c r="F1336" t="str">
        <x:v>GoblinMelee</x:v>
      </x:c>
      <x:c r="G1336" s="410" t="n">
        <x:v>33</x:v>
      </x:c>
    </x:row>
    <x:row r="1337">
      <x:c r="A1337" t="str">
        <x:v>Stage01</x:v>
      </x:c>
      <x:c r="B1337" t="str">
        <x:v>WAVE_40</x:v>
      </x:c>
      <x:c r="C1337" s="409" t="n">
        <x:v>399.35</x:v>
      </x:c>
      <x:c r="D1337" s="410" t="n">
        <x:v>68</x:v>
      </x:c>
      <x:c r="E1337" t="str">
        <x:v>LEFT_03</x:v>
      </x:c>
      <x:c r="F1337" t="str">
        <x:v>GoblinMelee</x:v>
      </x:c>
      <x:c r="G1337" s="410" t="n">
        <x:v>33</x:v>
      </x:c>
    </x:row>
    <x:row r="1338">
      <x:c r="A1338" t="str">
        <x:v>Stage01</x:v>
      </x:c>
      <x:c r="B1338" t="str">
        <x:v>WAVE_40</x:v>
      </x:c>
      <x:c r="C1338" s="409" t="n">
        <x:v>399.48</x:v>
      </x:c>
      <x:c r="D1338" s="410" t="n">
        <x:v>69</x:v>
      </x:c>
      <x:c r="E1338" t="str">
        <x:v>TOP_05</x:v>
      </x:c>
      <x:c r="F1338" t="str">
        <x:v>GoblinRanged</x:v>
      </x:c>
      <x:c r="G1338" s="410" t="n">
        <x:v>34</x:v>
      </x:c>
    </x:row>
    <x:row r="1339">
      <x:c r="A1339" t="str">
        <x:v>Stage01</x:v>
      </x:c>
      <x:c r="B1339" t="str">
        <x:v>WAVE_40</x:v>
      </x:c>
      <x:c r="C1339" s="409" t="n">
        <x:v>399.6</x:v>
      </x:c>
      <x:c r="D1339" s="410" t="n">
        <x:v>70</x:v>
      </x:c>
      <x:c r="E1339" t="str">
        <x:v>RIGHT_06</x:v>
      </x:c>
      <x:c r="F1339" t="str">
        <x:v>GoblinMelee</x:v>
      </x:c>
      <x:c r="G1339" s="410" t="n">
        <x:v>33</x:v>
      </x:c>
    </x:row>
    <x:row r="1340">
      <x:c r="A1340" t="str">
        <x:v>Stage01</x:v>
      </x:c>
      <x:c r="B1340" t="str">
        <x:v>WAVE_41</x:v>
      </x:c>
      <x:c r="C1340" s="409" t="n">
        <x:v>401</x:v>
      </x:c>
      <x:c r="D1340" s="410" t="n">
        <x:v>1</x:v>
      </x:c>
      <x:c r="E1340" t="str">
        <x:v>RIGHT_01</x:v>
      </x:c>
      <x:c r="F1340" t="str">
        <x:v>GoblinMelee</x:v>
      </x:c>
      <x:c r="G1340" s="410" t="n">
        <x:v>34</x:v>
      </x:c>
    </x:row>
    <x:row r="1341">
      <x:c r="A1341" t="str">
        <x:v>Stage01</x:v>
      </x:c>
      <x:c r="B1341" t="str">
        <x:v>WAVE_41</x:v>
      </x:c>
      <x:c r="C1341" s="409" t="n">
        <x:v>401.12</x:v>
      </x:c>
      <x:c r="D1341" s="410" t="n">
        <x:v>2</x:v>
      </x:c>
      <x:c r="E1341" t="str">
        <x:v>BOTTOM_02</x:v>
      </x:c>
      <x:c r="F1341" t="str">
        <x:v>GoblinRanged</x:v>
      </x:c>
      <x:c r="G1341" s="410" t="n">
        <x:v>35</x:v>
      </x:c>
    </x:row>
    <x:row r="1342">
      <x:c r="A1342" t="str">
        <x:v>Stage01</x:v>
      </x:c>
      <x:c r="B1342" t="str">
        <x:v>WAVE_41</x:v>
      </x:c>
      <x:c r="C1342" s="409" t="n">
        <x:v>401.24</x:v>
      </x:c>
      <x:c r="D1342" s="410" t="n">
        <x:v>3</x:v>
      </x:c>
      <x:c r="E1342" t="str">
        <x:v>LEFT_03</x:v>
      </x:c>
      <x:c r="F1342" t="str">
        <x:v>GoblinMelee</x:v>
      </x:c>
      <x:c r="G1342" s="410" t="n">
        <x:v>34</x:v>
      </x:c>
    </x:row>
    <x:row r="1343">
      <x:c r="A1343" t="str">
        <x:v>Stage01</x:v>
      </x:c>
      <x:c r="B1343" t="str">
        <x:v>WAVE_41</x:v>
      </x:c>
      <x:c r="C1343" s="409" t="n">
        <x:v>401.36</x:v>
      </x:c>
      <x:c r="D1343" s="410" t="n">
        <x:v>4</x:v>
      </x:c>
      <x:c r="E1343" t="str">
        <x:v>TOP_05</x:v>
      </x:c>
      <x:c r="F1343" t="str">
        <x:v>GoblinMelee</x:v>
      </x:c>
      <x:c r="G1343" s="410" t="n">
        <x:v>34</x:v>
      </x:c>
    </x:row>
    <x:row r="1344">
      <x:c r="A1344" t="str">
        <x:v>Stage01</x:v>
      </x:c>
      <x:c r="B1344" t="str">
        <x:v>WAVE_41</x:v>
      </x:c>
      <x:c r="C1344" s="409" t="n">
        <x:v>401.48</x:v>
      </x:c>
      <x:c r="D1344" s="410" t="n">
        <x:v>5</x:v>
      </x:c>
      <x:c r="E1344" t="str">
        <x:v>RIGHT_06</x:v>
      </x:c>
      <x:c r="F1344" t="str">
        <x:v>ShieldSkeleton</x:v>
      </x:c>
      <x:c r="G1344" s="410" t="n">
        <x:v>35</x:v>
      </x:c>
    </x:row>
    <x:row r="1345">
      <x:c r="A1345" t="str">
        <x:v>Stage01</x:v>
      </x:c>
      <x:c r="B1345" t="str">
        <x:v>WAVE_41</x:v>
      </x:c>
      <x:c r="C1345" s="409" t="n">
        <x:v>401.61</x:v>
      </x:c>
      <x:c r="D1345" s="410" t="n">
        <x:v>6</x:v>
      </x:c>
      <x:c r="E1345" t="str">
        <x:v>BOTTOM_07</x:v>
      </x:c>
      <x:c r="F1345" t="str">
        <x:v>GoblinMelee</x:v>
      </x:c>
      <x:c r="G1345" s="410" t="n">
        <x:v>34</x:v>
      </x:c>
    </x:row>
    <x:row r="1346">
      <x:c r="A1346" t="str">
        <x:v>Stage01</x:v>
      </x:c>
      <x:c r="B1346" t="str">
        <x:v>WAVE_41</x:v>
      </x:c>
      <x:c r="C1346" s="409" t="n">
        <x:v>401.73</x:v>
      </x:c>
      <x:c r="D1346" s="410" t="n">
        <x:v>7</x:v>
      </x:c>
      <x:c r="E1346" t="str">
        <x:v>LEFT_08</x:v>
      </x:c>
      <x:c r="F1346" t="str">
        <x:v>GoblinRanged</x:v>
      </x:c>
      <x:c r="G1346" s="410" t="n">
        <x:v>35</x:v>
      </x:c>
    </x:row>
    <x:row r="1347">
      <x:c r="A1347" t="str">
        <x:v>Stage01</x:v>
      </x:c>
      <x:c r="B1347" t="str">
        <x:v>WAVE_41</x:v>
      </x:c>
      <x:c r="C1347" s="409" t="n">
        <x:v>401.85</x:v>
      </x:c>
      <x:c r="D1347" s="410" t="n">
        <x:v>8</x:v>
      </x:c>
      <x:c r="E1347" t="str">
        <x:v>TOP_02</x:v>
      </x:c>
      <x:c r="F1347" t="str">
        <x:v>GoblinMelee</x:v>
      </x:c>
      <x:c r="G1347" s="410" t="n">
        <x:v>34</x:v>
      </x:c>
    </x:row>
    <x:row r="1348">
      <x:c r="A1348" t="str">
        <x:v>Stage01</x:v>
      </x:c>
      <x:c r="B1348" t="str">
        <x:v>WAVE_41</x:v>
      </x:c>
      <x:c r="C1348" s="409" t="n">
        <x:v>401.97</x:v>
      </x:c>
      <x:c r="D1348" s="410" t="n">
        <x:v>9</x:v>
      </x:c>
      <x:c r="E1348" t="str">
        <x:v>RIGHT_03</x:v>
      </x:c>
      <x:c r="F1348" t="str">
        <x:v>GoblinMelee</x:v>
      </x:c>
      <x:c r="G1348" s="410" t="n">
        <x:v>34</x:v>
      </x:c>
    </x:row>
    <x:row r="1349">
      <x:c r="A1349" t="str">
        <x:v>Stage01</x:v>
      </x:c>
      <x:c r="B1349" t="str">
        <x:v>WAVE_41</x:v>
      </x:c>
      <x:c r="C1349" s="409" t="n">
        <x:v>402.09</x:v>
      </x:c>
      <x:c r="D1349" s="410" t="n">
        <x:v>10</x:v>
      </x:c>
      <x:c r="E1349" t="str">
        <x:v>BOTTOM_04</x:v>
      </x:c>
      <x:c r="F1349" t="str">
        <x:v>GoblinRanged</x:v>
      </x:c>
      <x:c r="G1349" s="410" t="n">
        <x:v>35</x:v>
      </x:c>
    </x:row>
    <x:row r="1350">
      <x:c r="A1350" t="str">
        <x:v>Stage01</x:v>
      </x:c>
      <x:c r="B1350" t="str">
        <x:v>WAVE_41</x:v>
      </x:c>
      <x:c r="C1350" s="409" t="n">
        <x:v>402.21</x:v>
      </x:c>
      <x:c r="D1350" s="410" t="n">
        <x:v>11</x:v>
      </x:c>
      <x:c r="E1350" t="str">
        <x:v>LEFT_05</x:v>
      </x:c>
      <x:c r="F1350" t="str">
        <x:v>GoblinMelee</x:v>
      </x:c>
      <x:c r="G1350" s="410" t="n">
        <x:v>34</x:v>
      </x:c>
    </x:row>
    <x:row r="1351">
      <x:c r="A1351" t="str">
        <x:v>Stage01</x:v>
      </x:c>
      <x:c r="B1351" t="str">
        <x:v>WAVE_41</x:v>
      </x:c>
      <x:c r="C1351" s="409" t="n">
        <x:v>402.33</x:v>
      </x:c>
      <x:c r="D1351" s="410" t="n">
        <x:v>12</x:v>
      </x:c>
      <x:c r="E1351" t="str">
        <x:v>TOP_07</x:v>
      </x:c>
      <x:c r="F1351" t="str">
        <x:v>FlyingEye</x:v>
      </x:c>
      <x:c r="G1351" s="410" t="n">
        <x:v>34</x:v>
      </x:c>
    </x:row>
    <x:row r="1352">
      <x:c r="A1352" t="str">
        <x:v>Stage01</x:v>
      </x:c>
      <x:c r="B1352" t="str">
        <x:v>WAVE_41</x:v>
      </x:c>
      <x:c r="C1352" s="409" t="n">
        <x:v>402.45</x:v>
      </x:c>
      <x:c r="D1352" s="410" t="n">
        <x:v>13</x:v>
      </x:c>
      <x:c r="E1352" t="str">
        <x:v>RIGHT_08</x:v>
      </x:c>
      <x:c r="F1352" t="str">
        <x:v>ShieldSkeleton</x:v>
      </x:c>
      <x:c r="G1352" s="410" t="n">
        <x:v>35</x:v>
      </x:c>
    </x:row>
    <x:row r="1353">
      <x:c r="A1353" t="str">
        <x:v>Stage01</x:v>
      </x:c>
      <x:c r="B1353" t="str">
        <x:v>WAVE_41</x:v>
      </x:c>
      <x:c r="C1353" s="409" t="n">
        <x:v>402.57</x:v>
      </x:c>
      <x:c r="D1353" s="410" t="n">
        <x:v>14</x:v>
      </x:c>
      <x:c r="E1353" t="str">
        <x:v>BOTTOM_01</x:v>
      </x:c>
      <x:c r="F1353" t="str">
        <x:v>GoblinMelee</x:v>
      </x:c>
      <x:c r="G1353" s="410" t="n">
        <x:v>34</x:v>
      </x:c>
    </x:row>
    <x:row r="1354">
      <x:c r="A1354" t="str">
        <x:v>Stage01</x:v>
      </x:c>
      <x:c r="B1354" t="str">
        <x:v>WAVE_41</x:v>
      </x:c>
      <x:c r="C1354" s="409" t="n">
        <x:v>402.7</x:v>
      </x:c>
      <x:c r="D1354" s="410" t="n">
        <x:v>15</x:v>
      </x:c>
      <x:c r="E1354" t="str">
        <x:v>LEFT_02</x:v>
      </x:c>
      <x:c r="F1354" t="str">
        <x:v>GoblinRanged</x:v>
      </x:c>
      <x:c r="G1354" s="410" t="n">
        <x:v>34</x:v>
      </x:c>
    </x:row>
    <x:row r="1355">
      <x:c r="A1355" t="str">
        <x:v>Stage01</x:v>
      </x:c>
      <x:c r="B1355" t="str">
        <x:v>WAVE_41</x:v>
      </x:c>
      <x:c r="C1355" s="409" t="n">
        <x:v>402.82</x:v>
      </x:c>
      <x:c r="D1355" s="410" t="n">
        <x:v>16</x:v>
      </x:c>
      <x:c r="E1355" t="str">
        <x:v>TOP_04</x:v>
      </x:c>
      <x:c r="F1355" t="str">
        <x:v>GoblinMelee</x:v>
      </x:c>
      <x:c r="G1355" s="410" t="n">
        <x:v>35</x:v>
      </x:c>
    </x:row>
    <x:row r="1356">
      <x:c r="A1356" t="str">
        <x:v>Stage01</x:v>
      </x:c>
      <x:c r="B1356" t="str">
        <x:v>WAVE_41</x:v>
      </x:c>
      <x:c r="C1356" s="409" t="n">
        <x:v>402.94</x:v>
      </x:c>
      <x:c r="D1356" s="410" t="n">
        <x:v>17</x:v>
      </x:c>
      <x:c r="E1356" t="str">
        <x:v>RIGHT_05</x:v>
      </x:c>
      <x:c r="F1356" t="str">
        <x:v>GoblinMelee</x:v>
      </x:c>
      <x:c r="G1356" s="410" t="n">
        <x:v>34</x:v>
      </x:c>
    </x:row>
    <x:row r="1357">
      <x:c r="A1357" t="str">
        <x:v>Stage01</x:v>
      </x:c>
      <x:c r="B1357" t="str">
        <x:v>WAVE_41</x:v>
      </x:c>
      <x:c r="C1357" s="409" t="n">
        <x:v>403.06</x:v>
      </x:c>
      <x:c r="D1357" s="410" t="n">
        <x:v>18</x:v>
      </x:c>
      <x:c r="E1357" t="str">
        <x:v>BOTTOM_06</x:v>
      </x:c>
      <x:c r="F1357" t="str">
        <x:v>GoblinRanged</x:v>
      </x:c>
      <x:c r="G1357" s="410" t="n">
        <x:v>34</x:v>
      </x:c>
    </x:row>
    <x:row r="1358">
      <x:c r="A1358" t="str">
        <x:v>Stage01</x:v>
      </x:c>
      <x:c r="B1358" t="str">
        <x:v>WAVE_41</x:v>
      </x:c>
      <x:c r="C1358" s="409" t="n">
        <x:v>403.18</x:v>
      </x:c>
      <x:c r="D1358" s="410" t="n">
        <x:v>19</x:v>
      </x:c>
      <x:c r="E1358" t="str">
        <x:v>LEFT_07</x:v>
      </x:c>
      <x:c r="F1358" t="str">
        <x:v>GoblinMelee</x:v>
      </x:c>
      <x:c r="G1358" s="410" t="n">
        <x:v>35</x:v>
      </x:c>
    </x:row>
    <x:row r="1359">
      <x:c r="A1359" t="str">
        <x:v>Stage01</x:v>
      </x:c>
      <x:c r="B1359" t="str">
        <x:v>WAVE_41</x:v>
      </x:c>
      <x:c r="C1359" s="409" t="n">
        <x:v>403.3</x:v>
      </x:c>
      <x:c r="D1359" s="410" t="n">
        <x:v>20</x:v>
      </x:c>
      <x:c r="E1359" t="str">
        <x:v>TOP_01</x:v>
      </x:c>
      <x:c r="F1359" t="str">
        <x:v>GoblinMelee</x:v>
      </x:c>
      <x:c r="G1359" s="410" t="n">
        <x:v>34</x:v>
      </x:c>
    </x:row>
    <x:row r="1360">
      <x:c r="A1360" t="str">
        <x:v>Stage01</x:v>
      </x:c>
      <x:c r="B1360" t="str">
        <x:v>WAVE_41</x:v>
      </x:c>
      <x:c r="C1360" s="409" t="n">
        <x:v>403.42</x:v>
      </x:c>
      <x:c r="D1360" s="410" t="n">
        <x:v>21</x:v>
      </x:c>
      <x:c r="E1360" t="str">
        <x:v>RIGHT_02</x:v>
      </x:c>
      <x:c r="F1360" t="str">
        <x:v>GoblinRanged</x:v>
      </x:c>
      <x:c r="G1360" s="410" t="n">
        <x:v>35</x:v>
      </x:c>
    </x:row>
    <x:row r="1361">
      <x:c r="A1361" t="str">
        <x:v>Stage01</x:v>
      </x:c>
      <x:c r="B1361" t="str">
        <x:v>WAVE_41</x:v>
      </x:c>
      <x:c r="C1361" s="409" t="n">
        <x:v>403.54</x:v>
      </x:c>
      <x:c r="D1361" s="410" t="n">
        <x:v>22</x:v>
      </x:c>
      <x:c r="E1361" t="str">
        <x:v>BOTTOM_03</x:v>
      </x:c>
      <x:c r="F1361" t="str">
        <x:v>GoblinMelee</x:v>
      </x:c>
      <x:c r="G1361" s="410" t="n">
        <x:v>34</x:v>
      </x:c>
    </x:row>
    <x:row r="1362">
      <x:c r="A1362" t="str">
        <x:v>Stage01</x:v>
      </x:c>
      <x:c r="B1362" t="str">
        <x:v>WAVE_41</x:v>
      </x:c>
      <x:c r="C1362" s="409" t="n">
        <x:v>403.66</x:v>
      </x:c>
      <x:c r="D1362" s="410" t="n">
        <x:v>23</x:v>
      </x:c>
      <x:c r="E1362" t="str">
        <x:v>LEFT_04</x:v>
      </x:c>
      <x:c r="F1362" t="str">
        <x:v>ShieldSkeleton</x:v>
      </x:c>
      <x:c r="G1362" s="410" t="n">
        <x:v>34</x:v>
      </x:c>
    </x:row>
    <x:row r="1363">
      <x:c r="A1363" t="str">
        <x:v>Stage01</x:v>
      </x:c>
      <x:c r="B1363" t="str">
        <x:v>WAVE_41</x:v>
      </x:c>
      <x:c r="C1363" s="409" t="n">
        <x:v>403.79</x:v>
      </x:c>
      <x:c r="D1363" s="410" t="n">
        <x:v>24</x:v>
      </x:c>
      <x:c r="E1363" t="str">
        <x:v>TOP_06</x:v>
      </x:c>
      <x:c r="F1363" t="str">
        <x:v>GoblinMelee</x:v>
      </x:c>
      <x:c r="G1363" s="410" t="n">
        <x:v>35</x:v>
      </x:c>
    </x:row>
    <x:row r="1364">
      <x:c r="A1364" t="str">
        <x:v>Stage01</x:v>
      </x:c>
      <x:c r="B1364" t="str">
        <x:v>WAVE_41</x:v>
      </x:c>
      <x:c r="C1364" s="409" t="n">
        <x:v>403.91</x:v>
      </x:c>
      <x:c r="D1364" s="410" t="n">
        <x:v>25</x:v>
      </x:c>
      <x:c r="E1364" t="str">
        <x:v>RIGHT_07</x:v>
      </x:c>
      <x:c r="F1364" t="str">
        <x:v>FlyingEye</x:v>
      </x:c>
      <x:c r="G1364" s="410" t="n">
        <x:v>34</x:v>
      </x:c>
    </x:row>
    <x:row r="1365">
      <x:c r="A1365" t="str">
        <x:v>Stage01</x:v>
      </x:c>
      <x:c r="B1365" t="str">
        <x:v>WAVE_41</x:v>
      </x:c>
      <x:c r="C1365" s="409" t="n">
        <x:v>404.03</x:v>
      </x:c>
      <x:c r="D1365" s="410" t="n">
        <x:v>26</x:v>
      </x:c>
      <x:c r="E1365" t="str">
        <x:v>BOTTOM_08</x:v>
      </x:c>
      <x:c r="F1365" t="str">
        <x:v>GoblinRanged</x:v>
      </x:c>
      <x:c r="G1365" s="410" t="n">
        <x:v>34</x:v>
      </x:c>
    </x:row>
    <x:row r="1366">
      <x:c r="A1366" t="str">
        <x:v>Stage01</x:v>
      </x:c>
      <x:c r="B1366" t="str">
        <x:v>WAVE_41</x:v>
      </x:c>
      <x:c r="C1366" s="409" t="n">
        <x:v>404.15</x:v>
      </x:c>
      <x:c r="D1366" s="410" t="n">
        <x:v>27</x:v>
      </x:c>
      <x:c r="E1366" t="str">
        <x:v>LEFT_01</x:v>
      </x:c>
      <x:c r="F1366" t="str">
        <x:v>GoblinMelee</x:v>
      </x:c>
      <x:c r="G1366" s="410" t="n">
        <x:v>35</x:v>
      </x:c>
    </x:row>
    <x:row r="1367">
      <x:c r="A1367" t="str">
        <x:v>Stage01</x:v>
      </x:c>
      <x:c r="B1367" t="str">
        <x:v>WAVE_41</x:v>
      </x:c>
      <x:c r="C1367" s="409" t="n">
        <x:v>404.27</x:v>
      </x:c>
      <x:c r="D1367" s="410" t="n">
        <x:v>28</x:v>
      </x:c>
      <x:c r="E1367" t="str">
        <x:v>TOP_03</x:v>
      </x:c>
      <x:c r="F1367" t="str">
        <x:v>GoblinMelee</x:v>
      </x:c>
      <x:c r="G1367" s="410" t="n">
        <x:v>34</x:v>
      </x:c>
    </x:row>
    <x:row r="1368">
      <x:c r="A1368" t="str">
        <x:v>Stage01</x:v>
      </x:c>
      <x:c r="B1368" t="str">
        <x:v>WAVE_41</x:v>
      </x:c>
      <x:c r="C1368" s="409" t="n">
        <x:v>404.39</x:v>
      </x:c>
      <x:c r="D1368" s="410" t="n">
        <x:v>29</x:v>
      </x:c>
      <x:c r="E1368" t="str">
        <x:v>RIGHT_04</x:v>
      </x:c>
      <x:c r="F1368" t="str">
        <x:v>GoblinRanged</x:v>
      </x:c>
      <x:c r="G1368" s="410" t="n">
        <x:v>34</x:v>
      </x:c>
    </x:row>
    <x:row r="1369">
      <x:c r="A1369" t="str">
        <x:v>Stage01</x:v>
      </x:c>
      <x:c r="B1369" t="str">
        <x:v>WAVE_41</x:v>
      </x:c>
      <x:c r="C1369" s="409" t="n">
        <x:v>404.51</x:v>
      </x:c>
      <x:c r="D1369" s="410" t="n">
        <x:v>30</x:v>
      </x:c>
      <x:c r="E1369" t="str">
        <x:v>BOTTOM_05</x:v>
      </x:c>
      <x:c r="F1369" t="str">
        <x:v>GoblinMelee</x:v>
      </x:c>
      <x:c r="G1369" s="410" t="n">
        <x:v>35</x:v>
      </x:c>
    </x:row>
    <x:row r="1370">
      <x:c r="A1370" t="str">
        <x:v>Stage01</x:v>
      </x:c>
      <x:c r="B1370" t="str">
        <x:v>WAVE_41</x:v>
      </x:c>
      <x:c r="C1370" s="409" t="n">
        <x:v>404.63</x:v>
      </x:c>
      <x:c r="D1370" s="410" t="n">
        <x:v>31</x:v>
      </x:c>
      <x:c r="E1370" t="str">
        <x:v>LEFT_06</x:v>
      </x:c>
      <x:c r="F1370" t="str">
        <x:v>ShieldSkeleton</x:v>
      </x:c>
      <x:c r="G1370" s="410" t="n">
        <x:v>34</x:v>
      </x:c>
    </x:row>
    <x:row r="1371">
      <x:c r="A1371" t="str">
        <x:v>Stage01</x:v>
      </x:c>
      <x:c r="B1371" t="str">
        <x:v>WAVE_41</x:v>
      </x:c>
      <x:c r="C1371" s="409" t="n">
        <x:v>404.75</x:v>
      </x:c>
      <x:c r="D1371" s="410" t="n">
        <x:v>32</x:v>
      </x:c>
      <x:c r="E1371" t="str">
        <x:v>TOP_08</x:v>
      </x:c>
      <x:c r="F1371" t="str">
        <x:v>GoblinMelee</x:v>
      </x:c>
      <x:c r="G1371" s="410" t="n">
        <x:v>35</x:v>
      </x:c>
    </x:row>
    <x:row r="1372">
      <x:c r="A1372" t="str">
        <x:v>Stage01</x:v>
      </x:c>
      <x:c r="B1372" t="str">
        <x:v>WAVE_41</x:v>
      </x:c>
      <x:c r="C1372" s="409" t="n">
        <x:v>404.88</x:v>
      </x:c>
      <x:c r="D1372" s="410" t="n">
        <x:v>33</x:v>
      </x:c>
      <x:c r="E1372" t="str">
        <x:v>RIGHT_01</x:v>
      </x:c>
      <x:c r="F1372" t="str">
        <x:v>GoblinRanged</x:v>
      </x:c>
      <x:c r="G1372" s="410" t="n">
        <x:v>34</x:v>
      </x:c>
    </x:row>
    <x:row r="1373">
      <x:c r="A1373" t="str">
        <x:v>Stage01</x:v>
      </x:c>
      <x:c r="B1373" t="str">
        <x:v>WAVE_41</x:v>
      </x:c>
      <x:c r="C1373" s="409" t="n">
        <x:v>405</x:v>
      </x:c>
      <x:c r="D1373" s="410" t="n">
        <x:v>34</x:v>
      </x:c>
      <x:c r="E1373" t="str">
        <x:v>BOTTOM_02</x:v>
      </x:c>
      <x:c r="F1373" t="str">
        <x:v>GoblinMelee</x:v>
      </x:c>
      <x:c r="G1373" s="410" t="n">
        <x:v>34</x:v>
      </x:c>
    </x:row>
    <x:row r="1374">
      <x:c r="A1374" t="str">
        <x:v>Stage01</x:v>
      </x:c>
      <x:c r="B1374" t="str">
        <x:v>WAVE_41</x:v>
      </x:c>
      <x:c r="C1374" s="409" t="n">
        <x:v>405.12</x:v>
      </x:c>
      <x:c r="D1374" s="410" t="n">
        <x:v>35</x:v>
      </x:c>
      <x:c r="E1374" t="str">
        <x:v>LEFT_03</x:v>
      </x:c>
      <x:c r="F1374" t="str">
        <x:v>GoblinMelee</x:v>
      </x:c>
      <x:c r="G1374" s="410" t="n">
        <x:v>35</x:v>
      </x:c>
    </x:row>
    <x:row r="1375">
      <x:c r="A1375" t="str">
        <x:v>Stage01</x:v>
      </x:c>
      <x:c r="B1375" t="str">
        <x:v>WAVE_41</x:v>
      </x:c>
      <x:c r="C1375" s="409" t="n">
        <x:v>405.24</x:v>
      </x:c>
      <x:c r="D1375" s="410" t="n">
        <x:v>36</x:v>
      </x:c>
      <x:c r="E1375" t="str">
        <x:v>TOP_05</x:v>
      </x:c>
      <x:c r="F1375" t="str">
        <x:v>GoblinMelee</x:v>
      </x:c>
      <x:c r="G1375" s="410" t="n">
        <x:v>34</x:v>
      </x:c>
    </x:row>
    <x:row r="1376">
      <x:c r="A1376" t="str">
        <x:v>Stage01</x:v>
      </x:c>
      <x:c r="B1376" t="str">
        <x:v>WAVE_41</x:v>
      </x:c>
      <x:c r="C1376" s="409" t="n">
        <x:v>405.36</x:v>
      </x:c>
      <x:c r="D1376" s="410" t="n">
        <x:v>37</x:v>
      </x:c>
      <x:c r="E1376" t="str">
        <x:v>RIGHT_06</x:v>
      </x:c>
      <x:c r="F1376" t="str">
        <x:v>GoblinRanged</x:v>
      </x:c>
      <x:c r="G1376" s="410" t="n">
        <x:v>34</x:v>
      </x:c>
    </x:row>
    <x:row r="1377">
      <x:c r="A1377" t="str">
        <x:v>Stage01</x:v>
      </x:c>
      <x:c r="B1377" t="str">
        <x:v>WAVE_41</x:v>
      </x:c>
      <x:c r="C1377" s="409" t="n">
        <x:v>405.48</x:v>
      </x:c>
      <x:c r="D1377" s="410" t="n">
        <x:v>38</x:v>
      </x:c>
      <x:c r="E1377" t="str">
        <x:v>BOTTOM_07</x:v>
      </x:c>
      <x:c r="F1377" t="str">
        <x:v>FlyingEye</x:v>
      </x:c>
      <x:c r="G1377" s="410" t="n">
        <x:v>35</x:v>
      </x:c>
    </x:row>
    <x:row r="1378">
      <x:c r="A1378" t="str">
        <x:v>Stage01</x:v>
      </x:c>
      <x:c r="B1378" t="str">
        <x:v>WAVE_41</x:v>
      </x:c>
      <x:c r="C1378" s="409" t="n">
        <x:v>405.6</x:v>
      </x:c>
      <x:c r="D1378" s="410" t="n">
        <x:v>39</x:v>
      </x:c>
      <x:c r="E1378" t="str">
        <x:v>LEFT_08</x:v>
      </x:c>
      <x:c r="F1378" t="str">
        <x:v>GoblinMelee</x:v>
      </x:c>
      <x:c r="G1378" s="410" t="n">
        <x:v>34</x:v>
      </x:c>
    </x:row>
    <x:row r="1379">
      <x:c r="A1379" t="str">
        <x:v>Stage01</x:v>
      </x:c>
      <x:c r="B1379" t="str">
        <x:v>WAVE_41</x:v>
      </x:c>
      <x:c r="C1379" s="409" t="n">
        <x:v>405.72</x:v>
      </x:c>
      <x:c r="D1379" s="410" t="n">
        <x:v>40</x:v>
      </x:c>
      <x:c r="E1379" t="str">
        <x:v>TOP_02</x:v>
      </x:c>
      <x:c r="F1379" t="str">
        <x:v>GoblinRanged</x:v>
      </x:c>
      <x:c r="G1379" s="410" t="n">
        <x:v>34</x:v>
      </x:c>
    </x:row>
    <x:row r="1380">
      <x:c r="A1380" t="str">
        <x:v>Stage01</x:v>
      </x:c>
      <x:c r="B1380" t="str">
        <x:v>WAVE_41</x:v>
      </x:c>
      <x:c r="C1380" s="409" t="n">
        <x:v>405.85</x:v>
      </x:c>
      <x:c r="D1380" s="410" t="n">
        <x:v>41</x:v>
      </x:c>
      <x:c r="E1380" t="str">
        <x:v>RIGHT_03</x:v>
      </x:c>
      <x:c r="F1380" t="str">
        <x:v>GoblinMelee</x:v>
      </x:c>
      <x:c r="G1380" s="410" t="n">
        <x:v>35</x:v>
      </x:c>
    </x:row>
    <x:row r="1381">
      <x:c r="A1381" t="str">
        <x:v>Stage01</x:v>
      </x:c>
      <x:c r="B1381" t="str">
        <x:v>WAVE_41</x:v>
      </x:c>
      <x:c r="C1381" s="409" t="n">
        <x:v>405.97</x:v>
      </x:c>
      <x:c r="D1381" s="410" t="n">
        <x:v>42</x:v>
      </x:c>
      <x:c r="E1381" t="str">
        <x:v>BOTTOM_04</x:v>
      </x:c>
      <x:c r="F1381" t="str">
        <x:v>ShieldSkeleton</x:v>
      </x:c>
      <x:c r="G1381" s="410" t="n">
        <x:v>34</x:v>
      </x:c>
    </x:row>
    <x:row r="1382">
      <x:c r="A1382" t="str">
        <x:v>Stage01</x:v>
      </x:c>
      <x:c r="B1382" t="str">
        <x:v>WAVE_41</x:v>
      </x:c>
      <x:c r="C1382" s="409" t="n">
        <x:v>406.09</x:v>
      </x:c>
      <x:c r="D1382" s="410" t="n">
        <x:v>43</x:v>
      </x:c>
      <x:c r="E1382" t="str">
        <x:v>LEFT_05</x:v>
      </x:c>
      <x:c r="F1382" t="str">
        <x:v>GoblinMelee</x:v>
      </x:c>
      <x:c r="G1382" s="410" t="n">
        <x:v>35</x:v>
      </x:c>
    </x:row>
    <x:row r="1383">
      <x:c r="A1383" t="str">
        <x:v>Stage01</x:v>
      </x:c>
      <x:c r="B1383" t="str">
        <x:v>WAVE_41</x:v>
      </x:c>
      <x:c r="C1383" s="409" t="n">
        <x:v>406.21</x:v>
      </x:c>
      <x:c r="D1383" s="410" t="n">
        <x:v>44</x:v>
      </x:c>
      <x:c r="E1383" t="str">
        <x:v>TOP_07</x:v>
      </x:c>
      <x:c r="F1383" t="str">
        <x:v>GoblinRanged</x:v>
      </x:c>
      <x:c r="G1383" s="410" t="n">
        <x:v>34</x:v>
      </x:c>
    </x:row>
    <x:row r="1384">
      <x:c r="A1384" t="str">
        <x:v>Stage01</x:v>
      </x:c>
      <x:c r="B1384" t="str">
        <x:v>WAVE_41</x:v>
      </x:c>
      <x:c r="C1384" s="409" t="n">
        <x:v>406.33</x:v>
      </x:c>
      <x:c r="D1384" s="410" t="n">
        <x:v>45</x:v>
      </x:c>
      <x:c r="E1384" t="str">
        <x:v>RIGHT_08</x:v>
      </x:c>
      <x:c r="F1384" t="str">
        <x:v>GoblinMelee</x:v>
      </x:c>
      <x:c r="G1384" s="410" t="n">
        <x:v>34</x:v>
      </x:c>
    </x:row>
    <x:row r="1385">
      <x:c r="A1385" t="str">
        <x:v>Stage01</x:v>
      </x:c>
      <x:c r="B1385" t="str">
        <x:v>WAVE_41</x:v>
      </x:c>
      <x:c r="C1385" s="409" t="n">
        <x:v>406.45</x:v>
      </x:c>
      <x:c r="D1385" s="410" t="n">
        <x:v>46</x:v>
      </x:c>
      <x:c r="E1385" t="str">
        <x:v>BOTTOM_01</x:v>
      </x:c>
      <x:c r="F1385" t="str">
        <x:v>GoblinMelee</x:v>
      </x:c>
      <x:c r="G1385" s="410" t="n">
        <x:v>35</x:v>
      </x:c>
    </x:row>
    <x:row r="1386">
      <x:c r="A1386" t="str">
        <x:v>Stage01</x:v>
      </x:c>
      <x:c r="B1386" t="str">
        <x:v>WAVE_41</x:v>
      </x:c>
      <x:c r="C1386" s="409" t="n">
        <x:v>406.57</x:v>
      </x:c>
      <x:c r="D1386" s="410" t="n">
        <x:v>47</x:v>
      </x:c>
      <x:c r="E1386" t="str">
        <x:v>LEFT_02</x:v>
      </x:c>
      <x:c r="F1386" t="str">
        <x:v>GoblinRanged</x:v>
      </x:c>
      <x:c r="G1386" s="410" t="n">
        <x:v>34</x:v>
      </x:c>
    </x:row>
    <x:row r="1387">
      <x:c r="A1387" t="str">
        <x:v>Stage01</x:v>
      </x:c>
      <x:c r="B1387" t="str">
        <x:v>WAVE_41</x:v>
      </x:c>
      <x:c r="C1387" s="409" t="n">
        <x:v>406.69</x:v>
      </x:c>
      <x:c r="D1387" s="410" t="n">
        <x:v>48</x:v>
      </x:c>
      <x:c r="E1387" t="str">
        <x:v>TOP_04</x:v>
      </x:c>
      <x:c r="F1387" t="str">
        <x:v>GoblinMelee</x:v>
      </x:c>
      <x:c r="G1387" s="410" t="n">
        <x:v>34</x:v>
      </x:c>
    </x:row>
    <x:row r="1388">
      <x:c r="A1388" t="str">
        <x:v>Stage01</x:v>
      </x:c>
      <x:c r="B1388" t="str">
        <x:v>WAVE_41</x:v>
      </x:c>
      <x:c r="C1388" s="409" t="n">
        <x:v>406.81</x:v>
      </x:c>
      <x:c r="D1388" s="410" t="n">
        <x:v>49</x:v>
      </x:c>
      <x:c r="E1388" t="str">
        <x:v>RIGHT_05</x:v>
      </x:c>
      <x:c r="F1388" t="str">
        <x:v>GoblinMelee</x:v>
      </x:c>
      <x:c r="G1388" s="410" t="n">
        <x:v>35</x:v>
      </x:c>
    </x:row>
    <x:row r="1389">
      <x:c r="A1389" t="str">
        <x:v>Stage01</x:v>
      </x:c>
      <x:c r="B1389" t="str">
        <x:v>WAVE_41</x:v>
      </x:c>
      <x:c r="C1389" s="409" t="n">
        <x:v>406.94</x:v>
      </x:c>
      <x:c r="D1389" s="410" t="n">
        <x:v>50</x:v>
      </x:c>
      <x:c r="E1389" t="str">
        <x:v>BOTTOM_06</x:v>
      </x:c>
      <x:c r="F1389" t="str">
        <x:v>ShieldSkeleton</x:v>
      </x:c>
      <x:c r="G1389" s="410" t="n">
        <x:v>34</x:v>
      </x:c>
    </x:row>
    <x:row r="1390">
      <x:c r="A1390" t="str">
        <x:v>Stage01</x:v>
      </x:c>
      <x:c r="B1390" t="str">
        <x:v>WAVE_41</x:v>
      </x:c>
      <x:c r="C1390" s="409" t="n">
        <x:v>407.06</x:v>
      </x:c>
      <x:c r="D1390" s="410" t="n">
        <x:v>51</x:v>
      </x:c>
      <x:c r="E1390" t="str">
        <x:v>LEFT_07</x:v>
      </x:c>
      <x:c r="F1390" t="str">
        <x:v>FlyingEye</x:v>
      </x:c>
      <x:c r="G1390" s="410" t="n">
        <x:v>34</x:v>
      </x:c>
    </x:row>
    <x:row r="1391">
      <x:c r="A1391" t="str">
        <x:v>Stage01</x:v>
      </x:c>
      <x:c r="B1391" t="str">
        <x:v>WAVE_41</x:v>
      </x:c>
      <x:c r="C1391" s="409" t="n">
        <x:v>407.18</x:v>
      </x:c>
      <x:c r="D1391" s="410" t="n">
        <x:v>52</x:v>
      </x:c>
      <x:c r="E1391" t="str">
        <x:v>TOP_01</x:v>
      </x:c>
      <x:c r="F1391" t="str">
        <x:v>GoblinRanged</x:v>
      </x:c>
      <x:c r="G1391" s="410" t="n">
        <x:v>35</x:v>
      </x:c>
    </x:row>
    <x:row r="1392">
      <x:c r="A1392" t="str">
        <x:v>Stage01</x:v>
      </x:c>
      <x:c r="B1392" t="str">
        <x:v>WAVE_41</x:v>
      </x:c>
      <x:c r="C1392" s="409" t="n">
        <x:v>407.3</x:v>
      </x:c>
      <x:c r="D1392" s="410" t="n">
        <x:v>53</x:v>
      </x:c>
      <x:c r="E1392" t="str">
        <x:v>RIGHT_02</x:v>
      </x:c>
      <x:c r="F1392" t="str">
        <x:v>GoblinMelee</x:v>
      </x:c>
      <x:c r="G1392" s="410" t="n">
        <x:v>34</x:v>
      </x:c>
    </x:row>
    <x:row r="1393">
      <x:c r="A1393" t="str">
        <x:v>Stage01</x:v>
      </x:c>
      <x:c r="B1393" t="str">
        <x:v>WAVE_41</x:v>
      </x:c>
      <x:c r="C1393" s="409" t="n">
        <x:v>407.42</x:v>
      </x:c>
      <x:c r="D1393" s="410" t="n">
        <x:v>54</x:v>
      </x:c>
      <x:c r="E1393" t="str">
        <x:v>BOTTOM_03</x:v>
      </x:c>
      <x:c r="F1393" t="str">
        <x:v>GoblinMelee</x:v>
      </x:c>
      <x:c r="G1393" s="410" t="n">
        <x:v>34</x:v>
      </x:c>
    </x:row>
    <x:row r="1394">
      <x:c r="A1394" t="str">
        <x:v>Stage01</x:v>
      </x:c>
      <x:c r="B1394" t="str">
        <x:v>WAVE_41</x:v>
      </x:c>
      <x:c r="C1394" s="409" t="n">
        <x:v>407.54</x:v>
      </x:c>
      <x:c r="D1394" s="410" t="n">
        <x:v>55</x:v>
      </x:c>
      <x:c r="E1394" t="str">
        <x:v>LEFT_04</x:v>
      </x:c>
      <x:c r="F1394" t="str">
        <x:v>GoblinRanged</x:v>
      </x:c>
      <x:c r="G1394" s="410" t="n">
        <x:v>35</x:v>
      </x:c>
    </x:row>
    <x:row r="1395">
      <x:c r="A1395" t="str">
        <x:v>Stage01</x:v>
      </x:c>
      <x:c r="B1395" t="str">
        <x:v>WAVE_41</x:v>
      </x:c>
      <x:c r="C1395" s="409" t="n">
        <x:v>407.66</x:v>
      </x:c>
      <x:c r="D1395" s="410" t="n">
        <x:v>56</x:v>
      </x:c>
      <x:c r="E1395" t="str">
        <x:v>TOP_06</x:v>
      </x:c>
      <x:c r="F1395" t="str">
        <x:v>GoblinMelee</x:v>
      </x:c>
      <x:c r="G1395" s="410" t="n">
        <x:v>34</x:v>
      </x:c>
    </x:row>
    <x:row r="1396">
      <x:c r="A1396" t="str">
        <x:v>Stage01</x:v>
      </x:c>
      <x:c r="B1396" t="str">
        <x:v>WAVE_41</x:v>
      </x:c>
      <x:c r="C1396" s="409" t="n">
        <x:v>407.78</x:v>
      </x:c>
      <x:c r="D1396" s="410" t="n">
        <x:v>57</x:v>
      </x:c>
      <x:c r="E1396" t="str">
        <x:v>RIGHT_07</x:v>
      </x:c>
      <x:c r="F1396" t="str">
        <x:v>GoblinMelee</x:v>
      </x:c>
      <x:c r="G1396" s="410" t="n">
        <x:v>35</x:v>
      </x:c>
    </x:row>
    <x:row r="1397">
      <x:c r="A1397" t="str">
        <x:v>Stage01</x:v>
      </x:c>
      <x:c r="B1397" t="str">
        <x:v>WAVE_41</x:v>
      </x:c>
      <x:c r="C1397" s="409" t="n">
        <x:v>407.9</x:v>
      </x:c>
      <x:c r="D1397" s="410" t="n">
        <x:v>58</x:v>
      </x:c>
      <x:c r="E1397" t="str">
        <x:v>BOTTOM_08</x:v>
      </x:c>
      <x:c r="F1397" t="str">
        <x:v>ShieldSkeleton</x:v>
      </x:c>
      <x:c r="G1397" s="410" t="n">
        <x:v>34</x:v>
      </x:c>
    </x:row>
    <x:row r="1398">
      <x:c r="A1398" t="str">
        <x:v>Stage01</x:v>
      </x:c>
      <x:c r="B1398" t="str">
        <x:v>WAVE_41</x:v>
      </x:c>
      <x:c r="C1398" s="409" t="n">
        <x:v>408.03</x:v>
      </x:c>
      <x:c r="D1398" s="410" t="n">
        <x:v>59</x:v>
      </x:c>
      <x:c r="E1398" t="str">
        <x:v>LEFT_01</x:v>
      </x:c>
      <x:c r="F1398" t="str">
        <x:v>GoblinMelee</x:v>
      </x:c>
      <x:c r="G1398" s="410" t="n">
        <x:v>34</x:v>
      </x:c>
    </x:row>
    <x:row r="1399">
      <x:c r="A1399" t="str">
        <x:v>Stage01</x:v>
      </x:c>
      <x:c r="B1399" t="str">
        <x:v>WAVE_41</x:v>
      </x:c>
      <x:c r="C1399" s="409" t="n">
        <x:v>408.15</x:v>
      </x:c>
      <x:c r="D1399" s="410" t="n">
        <x:v>60</x:v>
      </x:c>
      <x:c r="E1399" t="str">
        <x:v>TOP_03</x:v>
      </x:c>
      <x:c r="F1399" t="str">
        <x:v>GoblinRanged</x:v>
      </x:c>
      <x:c r="G1399" s="410" t="n">
        <x:v>35</x:v>
      </x:c>
    </x:row>
    <x:row r="1400">
      <x:c r="A1400" t="str">
        <x:v>Stage01</x:v>
      </x:c>
      <x:c r="B1400" t="str">
        <x:v>WAVE_41</x:v>
      </x:c>
      <x:c r="C1400" s="409" t="n">
        <x:v>408.27</x:v>
      </x:c>
      <x:c r="D1400" s="410" t="n">
        <x:v>61</x:v>
      </x:c>
      <x:c r="E1400" t="str">
        <x:v>RIGHT_04</x:v>
      </x:c>
      <x:c r="F1400" t="str">
        <x:v>GoblinMelee</x:v>
      </x:c>
      <x:c r="G1400" s="410" t="n">
        <x:v>34</x:v>
      </x:c>
    </x:row>
    <x:row r="1401">
      <x:c r="A1401" t="str">
        <x:v>Stage01</x:v>
      </x:c>
      <x:c r="B1401" t="str">
        <x:v>WAVE_41</x:v>
      </x:c>
      <x:c r="C1401" s="409" t="n">
        <x:v>408.39</x:v>
      </x:c>
      <x:c r="D1401" s="410" t="n">
        <x:v>62</x:v>
      </x:c>
      <x:c r="E1401" t="str">
        <x:v>BOTTOM_05</x:v>
      </x:c>
      <x:c r="F1401" t="str">
        <x:v>GoblinMelee</x:v>
      </x:c>
      <x:c r="G1401" s="410" t="n">
        <x:v>34</x:v>
      </x:c>
    </x:row>
    <x:row r="1402">
      <x:c r="A1402" t="str">
        <x:v>Stage01</x:v>
      </x:c>
      <x:c r="B1402" t="str">
        <x:v>WAVE_41</x:v>
      </x:c>
      <x:c r="C1402" s="409" t="n">
        <x:v>408.51</x:v>
      </x:c>
      <x:c r="D1402" s="410" t="n">
        <x:v>63</x:v>
      </x:c>
      <x:c r="E1402" t="str">
        <x:v>LEFT_06</x:v>
      </x:c>
      <x:c r="F1402" t="str">
        <x:v>GoblinRanged</x:v>
      </x:c>
      <x:c r="G1402" s="410" t="n">
        <x:v>35</x:v>
      </x:c>
    </x:row>
    <x:row r="1403">
      <x:c r="A1403" t="str">
        <x:v>Stage01</x:v>
      </x:c>
      <x:c r="B1403" t="str">
        <x:v>WAVE_41</x:v>
      </x:c>
      <x:c r="C1403" s="409" t="n">
        <x:v>408.63</x:v>
      </x:c>
      <x:c r="D1403" s="410" t="n">
        <x:v>64</x:v>
      </x:c>
      <x:c r="E1403" t="str">
        <x:v>TOP_08</x:v>
      </x:c>
      <x:c r="F1403" t="str">
        <x:v>FlyingEye</x:v>
      </x:c>
      <x:c r="G1403" s="410" t="n">
        <x:v>34</x:v>
      </x:c>
    </x:row>
    <x:row r="1404">
      <x:c r="A1404" t="str">
        <x:v>Stage01</x:v>
      </x:c>
      <x:c r="B1404" t="str">
        <x:v>WAVE_41</x:v>
      </x:c>
      <x:c r="C1404" s="409" t="n">
        <x:v>408.75</x:v>
      </x:c>
      <x:c r="D1404" s="410" t="n">
        <x:v>65</x:v>
      </x:c>
      <x:c r="E1404" t="str">
        <x:v>RIGHT_01</x:v>
      </x:c>
      <x:c r="F1404" t="str">
        <x:v>GoblinMelee</x:v>
      </x:c>
      <x:c r="G1404" s="410" t="n">
        <x:v>34</x:v>
      </x:c>
    </x:row>
    <x:row r="1405">
      <x:c r="A1405" t="str">
        <x:v>Stage01</x:v>
      </x:c>
      <x:c r="B1405" t="str">
        <x:v>WAVE_41</x:v>
      </x:c>
      <x:c r="C1405" s="409" t="n">
        <x:v>408.87</x:v>
      </x:c>
      <x:c r="D1405" s="410" t="n">
        <x:v>66</x:v>
      </x:c>
      <x:c r="E1405" t="str">
        <x:v>BOTTOM_02</x:v>
      </x:c>
      <x:c r="F1405" t="str">
        <x:v>GoblinRanged</x:v>
      </x:c>
      <x:c r="G1405" s="410" t="n">
        <x:v>35</x:v>
      </x:c>
    </x:row>
    <x:row r="1406">
      <x:c r="A1406" t="str">
        <x:v>Stage01</x:v>
      </x:c>
      <x:c r="B1406" t="str">
        <x:v>WAVE_41</x:v>
      </x:c>
      <x:c r="C1406" s="409" t="n">
        <x:v>408.99</x:v>
      </x:c>
      <x:c r="D1406" s="410" t="n">
        <x:v>67</x:v>
      </x:c>
      <x:c r="E1406" t="str">
        <x:v>LEFT_03</x:v>
      </x:c>
      <x:c r="F1406" t="str">
        <x:v>GoblinMelee</x:v>
      </x:c>
      <x:c r="G1406" s="410" t="n">
        <x:v>34</x:v>
      </x:c>
    </x:row>
    <x:row r="1407">
      <x:c r="A1407" t="str">
        <x:v>Stage01</x:v>
      </x:c>
      <x:c r="B1407" t="str">
        <x:v>WAVE_41</x:v>
      </x:c>
      <x:c r="C1407" s="409" t="n">
        <x:v>409.12</x:v>
      </x:c>
      <x:c r="D1407" s="410" t="n">
        <x:v>68</x:v>
      </x:c>
      <x:c r="E1407" t="str">
        <x:v>TOP_05</x:v>
      </x:c>
      <x:c r="F1407" t="str">
        <x:v>ShieldSkeleton</x:v>
      </x:c>
      <x:c r="G1407" s="410" t="n">
        <x:v>35</x:v>
      </x:c>
    </x:row>
    <x:row r="1408">
      <x:c r="A1408" t="str">
        <x:v>Stage01</x:v>
      </x:c>
      <x:c r="B1408" t="str">
        <x:v>WAVE_41</x:v>
      </x:c>
      <x:c r="C1408" s="409" t="n">
        <x:v>409.24</x:v>
      </x:c>
      <x:c r="D1408" s="410" t="n">
        <x:v>69</x:v>
      </x:c>
      <x:c r="E1408" t="str">
        <x:v>RIGHT_06</x:v>
      </x:c>
      <x:c r="F1408" t="str">
        <x:v>GoblinMelee</x:v>
      </x:c>
      <x:c r="G1408" s="410" t="n">
        <x:v>34</x:v>
      </x:c>
    </x:row>
    <x:row r="1409">
      <x:c r="A1409" t="str">
        <x:v>Stage01</x:v>
      </x:c>
      <x:c r="B1409" t="str">
        <x:v>WAVE_41</x:v>
      </x:c>
      <x:c r="C1409" s="409" t="n">
        <x:v>409.36</x:v>
      </x:c>
      <x:c r="D1409" s="410" t="n">
        <x:v>70</x:v>
      </x:c>
      <x:c r="E1409" t="str">
        <x:v>BOTTOM_07</x:v>
      </x:c>
      <x:c r="F1409" t="str">
        <x:v>GoblinMelee</x:v>
      </x:c>
      <x:c r="G1409" s="410" t="n">
        <x:v>34</x:v>
      </x:c>
    </x:row>
    <x:row r="1410">
      <x:c r="A1410" t="str">
        <x:v>Stage01</x:v>
      </x:c>
      <x:c r="B1410" t="str">
        <x:v>WAVE_41</x:v>
      </x:c>
      <x:c r="C1410" s="409" t="n">
        <x:v>409.48</x:v>
      </x:c>
      <x:c r="D1410" s="410" t="n">
        <x:v>71</x:v>
      </x:c>
      <x:c r="E1410" t="str">
        <x:v>LEFT_08</x:v>
      </x:c>
      <x:c r="F1410" t="str">
        <x:v>GoblinRanged</x:v>
      </x:c>
      <x:c r="G1410" s="410" t="n">
        <x:v>35</x:v>
      </x:c>
    </x:row>
    <x:row r="1411">
      <x:c r="A1411" t="str">
        <x:v>Stage01</x:v>
      </x:c>
      <x:c r="B1411" t="str">
        <x:v>WAVE_41</x:v>
      </x:c>
      <x:c r="C1411" s="409" t="n">
        <x:v>409.6</x:v>
      </x:c>
      <x:c r="D1411" s="410" t="n">
        <x:v>72</x:v>
      </x:c>
      <x:c r="E1411" t="str">
        <x:v>TOP_02</x:v>
      </x:c>
      <x:c r="F1411" t="str">
        <x:v>GoblinMelee</x:v>
      </x:c>
      <x:c r="G1411" s="410" t="n">
        <x:v>34</x:v>
      </x:c>
    </x:row>
    <x:row r="1412">
      <x:c r="A1412" t="str">
        <x:v>Stage01</x:v>
      </x:c>
      <x:c r="B1412" t="str">
        <x:v>WAVE_42</x:v>
      </x:c>
      <x:c r="C1412" s="409" t="n">
        <x:v>411</x:v>
      </x:c>
      <x:c r="D1412" s="410" t="n">
        <x:v>1</x:v>
      </x:c>
      <x:c r="E1412" t="str">
        <x:v>TOP_05</x:v>
      </x:c>
      <x:c r="F1412" t="str">
        <x:v>GoblinMelee</x:v>
      </x:c>
      <x:c r="G1412" s="410" t="n">
        <x:v>35</x:v>
      </x:c>
    </x:row>
    <x:row r="1413">
      <x:c r="A1413" t="str">
        <x:v>Stage01</x:v>
      </x:c>
      <x:c r="B1413" t="str">
        <x:v>WAVE_42</x:v>
      </x:c>
      <x:c r="C1413" s="409" t="n">
        <x:v>411.12</x:v>
      </x:c>
      <x:c r="D1413" s="410" t="n">
        <x:v>2</x:v>
      </x:c>
      <x:c r="E1413" t="str">
        <x:v>RIGHT_06</x:v>
      </x:c>
      <x:c r="F1413" t="str">
        <x:v>GoblinRanged</x:v>
      </x:c>
      <x:c r="G1413" s="410" t="n">
        <x:v>36</x:v>
      </x:c>
    </x:row>
    <x:row r="1414">
      <x:c r="A1414" t="str">
        <x:v>Stage01</x:v>
      </x:c>
      <x:c r="B1414" t="str">
        <x:v>WAVE_42</x:v>
      </x:c>
      <x:c r="C1414" s="409" t="n">
        <x:v>411.23</x:v>
      </x:c>
      <x:c r="D1414" s="410" t="n">
        <x:v>3</x:v>
      </x:c>
      <x:c r="E1414" t="str">
        <x:v>BOTTOM_07</x:v>
      </x:c>
      <x:c r="F1414" t="str">
        <x:v>GoblinMelee</x:v>
      </x:c>
      <x:c r="G1414" s="410" t="n">
        <x:v>35</x:v>
      </x:c>
    </x:row>
    <x:row r="1415">
      <x:c r="A1415" t="str">
        <x:v>Stage01</x:v>
      </x:c>
      <x:c r="B1415" t="str">
        <x:v>WAVE_42</x:v>
      </x:c>
      <x:c r="C1415" s="409" t="n">
        <x:v>411.35</x:v>
      </x:c>
      <x:c r="D1415" s="410" t="n">
        <x:v>4</x:v>
      </x:c>
      <x:c r="E1415" t="str">
        <x:v>LEFT_08</x:v>
      </x:c>
      <x:c r="F1415" t="str">
        <x:v>ShieldSkeleton</x:v>
      </x:c>
      <x:c r="G1415" s="410" t="n">
        <x:v>36</x:v>
      </x:c>
    </x:row>
    <x:row r="1416">
      <x:c r="A1416" t="str">
        <x:v>Stage01</x:v>
      </x:c>
      <x:c r="B1416" t="str">
        <x:v>WAVE_42</x:v>
      </x:c>
      <x:c r="C1416" s="409" t="n">
        <x:v>411.46</x:v>
      </x:c>
      <x:c r="D1416" s="410" t="n">
        <x:v>5</x:v>
      </x:c>
      <x:c r="E1416" t="str">
        <x:v>TOP_02</x:v>
      </x:c>
      <x:c r="F1416" t="str">
        <x:v>GoblinMelee</x:v>
      </x:c>
      <x:c r="G1416" s="410" t="n">
        <x:v>35</x:v>
      </x:c>
    </x:row>
    <x:row r="1417">
      <x:c r="A1417" t="str">
        <x:v>Stage01</x:v>
      </x:c>
      <x:c r="B1417" t="str">
        <x:v>WAVE_42</x:v>
      </x:c>
      <x:c r="C1417" s="409" t="n">
        <x:v>411.58</x:v>
      </x:c>
      <x:c r="D1417" s="410" t="n">
        <x:v>6</x:v>
      </x:c>
      <x:c r="E1417" t="str">
        <x:v>RIGHT_03</x:v>
      </x:c>
      <x:c r="F1417" t="str">
        <x:v>GoblinMelee</x:v>
      </x:c>
      <x:c r="G1417" s="410" t="n">
        <x:v>35</x:v>
      </x:c>
    </x:row>
    <x:row r="1418">
      <x:c r="A1418" t="str">
        <x:v>Stage01</x:v>
      </x:c>
      <x:c r="B1418" t="str">
        <x:v>WAVE_42</x:v>
      </x:c>
      <x:c r="C1418" s="409" t="n">
        <x:v>411.7</x:v>
      </x:c>
      <x:c r="D1418" s="410" t="n">
        <x:v>7</x:v>
      </x:c>
      <x:c r="E1418" t="str">
        <x:v>BOTTOM_04</x:v>
      </x:c>
      <x:c r="F1418" t="str">
        <x:v>GoblinRanged</x:v>
      </x:c>
      <x:c r="G1418" s="410" t="n">
        <x:v>36</x:v>
      </x:c>
    </x:row>
    <x:row r="1419">
      <x:c r="A1419" t="str">
        <x:v>Stage01</x:v>
      </x:c>
      <x:c r="B1419" t="str">
        <x:v>WAVE_42</x:v>
      </x:c>
      <x:c r="C1419" s="409" t="n">
        <x:v>411.81</x:v>
      </x:c>
      <x:c r="D1419" s="410" t="n">
        <x:v>8</x:v>
      </x:c>
      <x:c r="E1419" t="str">
        <x:v>LEFT_05</x:v>
      </x:c>
      <x:c r="F1419" t="str">
        <x:v>GoblinMelee</x:v>
      </x:c>
      <x:c r="G1419" s="410" t="n">
        <x:v>35</x:v>
      </x:c>
    </x:row>
    <x:row r="1420">
      <x:c r="A1420" t="str">
        <x:v>Stage01</x:v>
      </x:c>
      <x:c r="B1420" t="str">
        <x:v>WAVE_42</x:v>
      </x:c>
      <x:c r="C1420" s="409" t="n">
        <x:v>411.93</x:v>
      </x:c>
      <x:c r="D1420" s="410" t="n">
        <x:v>9</x:v>
      </x:c>
      <x:c r="E1420" t="str">
        <x:v>TOP_07</x:v>
      </x:c>
      <x:c r="F1420" t="str">
        <x:v>GoblinMelee</x:v>
      </x:c>
      <x:c r="G1420" s="410" t="n">
        <x:v>35</x:v>
      </x:c>
    </x:row>
    <x:row r="1421">
      <x:c r="A1421" t="str">
        <x:v>Stage01</x:v>
      </x:c>
      <x:c r="B1421" t="str">
        <x:v>WAVE_42</x:v>
      </x:c>
      <x:c r="C1421" s="409" t="n">
        <x:v>412.05</x:v>
      </x:c>
      <x:c r="D1421" s="410" t="n">
        <x:v>10</x:v>
      </x:c>
      <x:c r="E1421" t="str">
        <x:v>RIGHT_08</x:v>
      </x:c>
      <x:c r="F1421" t="str">
        <x:v>GoblinRanged</x:v>
      </x:c>
      <x:c r="G1421" s="410" t="n">
        <x:v>36</x:v>
      </x:c>
    </x:row>
    <x:row r="1422">
      <x:c r="A1422" t="str">
        <x:v>Stage01</x:v>
      </x:c>
      <x:c r="B1422" t="str">
        <x:v>WAVE_42</x:v>
      </x:c>
      <x:c r="C1422" s="409" t="n">
        <x:v>412.16</x:v>
      </x:c>
      <x:c r="D1422" s="410" t="n">
        <x:v>11</x:v>
      </x:c>
      <x:c r="E1422" t="str">
        <x:v>BOTTOM_01</x:v>
      </x:c>
      <x:c r="F1422" t="str">
        <x:v>GoblinMelee</x:v>
      </x:c>
      <x:c r="G1422" s="410" t="n">
        <x:v>35</x:v>
      </x:c>
    </x:row>
    <x:row r="1423">
      <x:c r="A1423" t="str">
        <x:v>Stage01</x:v>
      </x:c>
      <x:c r="B1423" t="str">
        <x:v>WAVE_42</x:v>
      </x:c>
      <x:c r="C1423" s="409" t="n">
        <x:v>412.28</x:v>
      </x:c>
      <x:c r="D1423" s="410" t="n">
        <x:v>12</x:v>
      </x:c>
      <x:c r="E1423" t="str">
        <x:v>LEFT_02</x:v>
      </x:c>
      <x:c r="F1423" t="str">
        <x:v>ShieldSkeleton</x:v>
      </x:c>
      <x:c r="G1423" s="410" t="n">
        <x:v>36</x:v>
      </x:c>
    </x:row>
    <x:row r="1424">
      <x:c r="A1424" t="str">
        <x:v>Stage01</x:v>
      </x:c>
      <x:c r="B1424" t="str">
        <x:v>WAVE_42</x:v>
      </x:c>
      <x:c r="C1424" s="409" t="n">
        <x:v>412.39</x:v>
      </x:c>
      <x:c r="D1424" s="410" t="n">
        <x:v>13</x:v>
      </x:c>
      <x:c r="E1424" t="str">
        <x:v>TOP_04</x:v>
      </x:c>
      <x:c r="F1424" t="str">
        <x:v>FlyingEye</x:v>
      </x:c>
      <x:c r="G1424" s="410" t="n">
        <x:v>35</x:v>
      </x:c>
    </x:row>
    <x:row r="1425">
      <x:c r="A1425" t="str">
        <x:v>Stage01</x:v>
      </x:c>
      <x:c r="B1425" t="str">
        <x:v>WAVE_42</x:v>
      </x:c>
      <x:c r="C1425" s="409" t="n">
        <x:v>412.51</x:v>
      </x:c>
      <x:c r="D1425" s="410" t="n">
        <x:v>14</x:v>
      </x:c>
      <x:c r="E1425" t="str">
        <x:v>RIGHT_05</x:v>
      </x:c>
      <x:c r="F1425" t="str">
        <x:v>GoblinRanged</x:v>
      </x:c>
      <x:c r="G1425" s="410" t="n">
        <x:v>35</x:v>
      </x:c>
    </x:row>
    <x:row r="1426">
      <x:c r="A1426" t="str">
        <x:v>Stage01</x:v>
      </x:c>
      <x:c r="B1426" t="str">
        <x:v>WAVE_42</x:v>
      </x:c>
      <x:c r="C1426" s="409" t="n">
        <x:v>412.63</x:v>
      </x:c>
      <x:c r="D1426" s="410" t="n">
        <x:v>15</x:v>
      </x:c>
      <x:c r="E1426" t="str">
        <x:v>BOTTOM_06</x:v>
      </x:c>
      <x:c r="F1426" t="str">
        <x:v>GoblinMelee</x:v>
      </x:c>
      <x:c r="G1426" s="410" t="n">
        <x:v>36</x:v>
      </x:c>
    </x:row>
    <x:row r="1427">
      <x:c r="A1427" t="str">
        <x:v>Stage01</x:v>
      </x:c>
      <x:c r="B1427" t="str">
        <x:v>WAVE_42</x:v>
      </x:c>
      <x:c r="C1427" s="409" t="n">
        <x:v>412.74</x:v>
      </x:c>
      <x:c r="D1427" s="410" t="n">
        <x:v>16</x:v>
      </x:c>
      <x:c r="E1427" t="str">
        <x:v>LEFT_07</x:v>
      </x:c>
      <x:c r="F1427" t="str">
        <x:v>GoblinMelee</x:v>
      </x:c>
      <x:c r="G1427" s="410" t="n">
        <x:v>35</x:v>
      </x:c>
    </x:row>
    <x:row r="1428">
      <x:c r="A1428" t="str">
        <x:v>Stage01</x:v>
      </x:c>
      <x:c r="B1428" t="str">
        <x:v>WAVE_42</x:v>
      </x:c>
      <x:c r="C1428" s="409" t="n">
        <x:v>412.86</x:v>
      </x:c>
      <x:c r="D1428" s="410" t="n">
        <x:v>17</x:v>
      </x:c>
      <x:c r="E1428" t="str">
        <x:v>TOP_01</x:v>
      </x:c>
      <x:c r="F1428" t="str">
        <x:v>GoblinRanged</x:v>
      </x:c>
      <x:c r="G1428" s="410" t="n">
        <x:v>36</x:v>
      </x:c>
    </x:row>
    <x:row r="1429">
      <x:c r="A1429" t="str">
        <x:v>Stage01</x:v>
      </x:c>
      <x:c r="B1429" t="str">
        <x:v>WAVE_42</x:v>
      </x:c>
      <x:c r="C1429" s="409" t="n">
        <x:v>412.98</x:v>
      </x:c>
      <x:c r="D1429" s="410" t="n">
        <x:v>18</x:v>
      </x:c>
      <x:c r="E1429" t="str">
        <x:v>RIGHT_02</x:v>
      </x:c>
      <x:c r="F1429" t="str">
        <x:v>GoblinMelee</x:v>
      </x:c>
      <x:c r="G1429" s="410" t="n">
        <x:v>35</x:v>
      </x:c>
    </x:row>
    <x:row r="1430">
      <x:c r="A1430" t="str">
        <x:v>Stage01</x:v>
      </x:c>
      <x:c r="B1430" t="str">
        <x:v>WAVE_42</x:v>
      </x:c>
      <x:c r="C1430" s="409" t="n">
        <x:v>413.09</x:v>
      </x:c>
      <x:c r="D1430" s="410" t="n">
        <x:v>19</x:v>
      </x:c>
      <x:c r="E1430" t="str">
        <x:v>BOTTOM_03</x:v>
      </x:c>
      <x:c r="F1430" t="str">
        <x:v>GoblinMelee</x:v>
      </x:c>
      <x:c r="G1430" s="410" t="n">
        <x:v>35</x:v>
      </x:c>
    </x:row>
    <x:row r="1431">
      <x:c r="A1431" t="str">
        <x:v>Stage01</x:v>
      </x:c>
      <x:c r="B1431" t="str">
        <x:v>WAVE_42</x:v>
      </x:c>
      <x:c r="C1431" s="409" t="n">
        <x:v>413.21</x:v>
      </x:c>
      <x:c r="D1431" s="410" t="n">
        <x:v>20</x:v>
      </x:c>
      <x:c r="E1431" t="str">
        <x:v>LEFT_04</x:v>
      </x:c>
      <x:c r="F1431" t="str">
        <x:v>ShieldSkeleton</x:v>
      </x:c>
      <x:c r="G1431" s="410" t="n">
        <x:v>36</x:v>
      </x:c>
    </x:row>
    <x:row r="1432">
      <x:c r="A1432" t="str">
        <x:v>Stage01</x:v>
      </x:c>
      <x:c r="B1432" t="str">
        <x:v>WAVE_42</x:v>
      </x:c>
      <x:c r="C1432" s="409" t="n">
        <x:v>413.32</x:v>
      </x:c>
      <x:c r="D1432" s="410" t="n">
        <x:v>21</x:v>
      </x:c>
      <x:c r="E1432" t="str">
        <x:v>TOP_06</x:v>
      </x:c>
      <x:c r="F1432" t="str">
        <x:v>GoblinMelee</x:v>
      </x:c>
      <x:c r="G1432" s="410" t="n">
        <x:v>35</x:v>
      </x:c>
    </x:row>
    <x:row r="1433">
      <x:c r="A1433" t="str">
        <x:v>Stage01</x:v>
      </x:c>
      <x:c r="B1433" t="str">
        <x:v>WAVE_42</x:v>
      </x:c>
      <x:c r="C1433" s="409" t="n">
        <x:v>413.44</x:v>
      </x:c>
      <x:c r="D1433" s="410" t="n">
        <x:v>22</x:v>
      </x:c>
      <x:c r="E1433" t="str">
        <x:v>RIGHT_07</x:v>
      </x:c>
      <x:c r="F1433" t="str">
        <x:v>GoblinRanged</x:v>
      </x:c>
      <x:c r="G1433" s="410" t="n">
        <x:v>36</x:v>
      </x:c>
    </x:row>
    <x:row r="1434">
      <x:c r="A1434" t="str">
        <x:v>Stage01</x:v>
      </x:c>
      <x:c r="B1434" t="str">
        <x:v>WAVE_42</x:v>
      </x:c>
      <x:c r="C1434" s="409" t="n">
        <x:v>413.56</x:v>
      </x:c>
      <x:c r="D1434" s="410" t="n">
        <x:v>23</x:v>
      </x:c>
      <x:c r="E1434" t="str">
        <x:v>BOTTOM_08</x:v>
      </x:c>
      <x:c r="F1434" t="str">
        <x:v>GoblinMelee</x:v>
      </x:c>
      <x:c r="G1434" s="410" t="n">
        <x:v>35</x:v>
      </x:c>
    </x:row>
    <x:row r="1435">
      <x:c r="A1435" t="str">
        <x:v>Stage01</x:v>
      </x:c>
      <x:c r="B1435" t="str">
        <x:v>WAVE_42</x:v>
      </x:c>
      <x:c r="C1435" s="409" t="n">
        <x:v>413.67</x:v>
      </x:c>
      <x:c r="D1435" s="410" t="n">
        <x:v>24</x:v>
      </x:c>
      <x:c r="E1435" t="str">
        <x:v>LEFT_01</x:v>
      </x:c>
      <x:c r="F1435" t="str">
        <x:v>GoblinMelee</x:v>
      </x:c>
      <x:c r="G1435" s="410" t="n">
        <x:v>35</x:v>
      </x:c>
    </x:row>
    <x:row r="1436">
      <x:c r="A1436" t="str">
        <x:v>Stage01</x:v>
      </x:c>
      <x:c r="B1436" t="str">
        <x:v>WAVE_42</x:v>
      </x:c>
      <x:c r="C1436" s="409" t="n">
        <x:v>413.79</x:v>
      </x:c>
      <x:c r="D1436" s="410" t="n">
        <x:v>25</x:v>
      </x:c>
      <x:c r="E1436" t="str">
        <x:v>TOP_03</x:v>
      </x:c>
      <x:c r="F1436" t="str">
        <x:v>GoblinRanged</x:v>
      </x:c>
      <x:c r="G1436" s="410" t="n">
        <x:v>36</x:v>
      </x:c>
    </x:row>
    <x:row r="1437">
      <x:c r="A1437" t="str">
        <x:v>Stage01</x:v>
      </x:c>
      <x:c r="B1437" t="str">
        <x:v>WAVE_42</x:v>
      </x:c>
      <x:c r="C1437" s="409" t="n">
        <x:v>413.91</x:v>
      </x:c>
      <x:c r="D1437" s="410" t="n">
        <x:v>26</x:v>
      </x:c>
      <x:c r="E1437" t="str">
        <x:v>RIGHT_04</x:v>
      </x:c>
      <x:c r="F1437" t="str">
        <x:v>FlyingEye</x:v>
      </x:c>
      <x:c r="G1437" s="410" t="n">
        <x:v>35</x:v>
      </x:c>
    </x:row>
    <x:row r="1438">
      <x:c r="A1438" t="str">
        <x:v>Stage01</x:v>
      </x:c>
      <x:c r="B1438" t="str">
        <x:v>WAVE_42</x:v>
      </x:c>
      <x:c r="C1438" s="409" t="n">
        <x:v>414.02</x:v>
      </x:c>
      <x:c r="D1438" s="410" t="n">
        <x:v>27</x:v>
      </x:c>
      <x:c r="E1438" t="str">
        <x:v>BOTTOM_05</x:v>
      </x:c>
      <x:c r="F1438" t="str">
        <x:v>GoblinMelee</x:v>
      </x:c>
      <x:c r="G1438" s="410" t="n">
        <x:v>35</x:v>
      </x:c>
    </x:row>
    <x:row r="1439">
      <x:c r="A1439" t="str">
        <x:v>Stage01</x:v>
      </x:c>
      <x:c r="B1439" t="str">
        <x:v>WAVE_42</x:v>
      </x:c>
      <x:c r="C1439" s="409" t="n">
        <x:v>414.14</x:v>
      </x:c>
      <x:c r="D1439" s="410" t="n">
        <x:v>28</x:v>
      </x:c>
      <x:c r="E1439" t="str">
        <x:v>LEFT_06</x:v>
      </x:c>
      <x:c r="F1439" t="str">
        <x:v>GoblinRanged</x:v>
      </x:c>
      <x:c r="G1439" s="410" t="n">
        <x:v>36</x:v>
      </x:c>
    </x:row>
    <x:row r="1440">
      <x:c r="A1440" t="str">
        <x:v>Stage01</x:v>
      </x:c>
      <x:c r="B1440" t="str">
        <x:v>WAVE_42</x:v>
      </x:c>
      <x:c r="C1440" s="409" t="n">
        <x:v>414.25</x:v>
      </x:c>
      <x:c r="D1440" s="410" t="n">
        <x:v>29</x:v>
      </x:c>
      <x:c r="E1440" t="str">
        <x:v>TOP_08</x:v>
      </x:c>
      <x:c r="F1440" t="str">
        <x:v>GoblinMelee</x:v>
      </x:c>
      <x:c r="G1440" s="410" t="n">
        <x:v>35</x:v>
      </x:c>
    </x:row>
    <x:row r="1441">
      <x:c r="A1441" t="str">
        <x:v>Stage01</x:v>
      </x:c>
      <x:c r="B1441" t="str">
        <x:v>WAVE_42</x:v>
      </x:c>
      <x:c r="C1441" s="409" t="n">
        <x:v>414.37</x:v>
      </x:c>
      <x:c r="D1441" s="410" t="n">
        <x:v>30</x:v>
      </x:c>
      <x:c r="E1441" t="str">
        <x:v>RIGHT_01</x:v>
      </x:c>
      <x:c r="F1441" t="str">
        <x:v>ShieldSkeleton</x:v>
      </x:c>
      <x:c r="G1441" s="410" t="n">
        <x:v>36</x:v>
      </x:c>
    </x:row>
    <x:row r="1442">
      <x:c r="A1442" t="str">
        <x:v>Stage01</x:v>
      </x:c>
      <x:c r="B1442" t="str">
        <x:v>WAVE_42</x:v>
      </x:c>
      <x:c r="C1442" s="409" t="n">
        <x:v>414.49</x:v>
      </x:c>
      <x:c r="D1442" s="410" t="n">
        <x:v>31</x:v>
      </x:c>
      <x:c r="E1442" t="str">
        <x:v>BOTTOM_02</x:v>
      </x:c>
      <x:c r="F1442" t="str">
        <x:v>GoblinMelee</x:v>
      </x:c>
      <x:c r="G1442" s="410" t="n">
        <x:v>35</x:v>
      </x:c>
    </x:row>
    <x:row r="1443">
      <x:c r="A1443" t="str">
        <x:v>Stage01</x:v>
      </x:c>
      <x:c r="B1443" t="str">
        <x:v>WAVE_42</x:v>
      </x:c>
      <x:c r="C1443" s="409" t="n">
        <x:v>414.6</x:v>
      </x:c>
      <x:c r="D1443" s="410" t="n">
        <x:v>32</x:v>
      </x:c>
      <x:c r="E1443" t="str">
        <x:v>LEFT_03</x:v>
      </x:c>
      <x:c r="F1443" t="str">
        <x:v>GoblinMelee</x:v>
      </x:c>
      <x:c r="G1443" s="410" t="n">
        <x:v>35</x:v>
      </x:c>
    </x:row>
    <x:row r="1444">
      <x:c r="A1444" t="str">
        <x:v>Stage01</x:v>
      </x:c>
      <x:c r="B1444" t="str">
        <x:v>WAVE_42</x:v>
      </x:c>
      <x:c r="C1444" s="409" t="n">
        <x:v>414.72</x:v>
      </x:c>
      <x:c r="D1444" s="410" t="n">
        <x:v>33</x:v>
      </x:c>
      <x:c r="E1444" t="str">
        <x:v>TOP_05</x:v>
      </x:c>
      <x:c r="F1444" t="str">
        <x:v>GoblinRanged</x:v>
      </x:c>
      <x:c r="G1444" s="410" t="n">
        <x:v>36</x:v>
      </x:c>
    </x:row>
    <x:row r="1445">
      <x:c r="A1445" t="str">
        <x:v>Stage01</x:v>
      </x:c>
      <x:c r="B1445" t="str">
        <x:v>WAVE_42</x:v>
      </x:c>
      <x:c r="C1445" s="409" t="n">
        <x:v>414.84</x:v>
      </x:c>
      <x:c r="D1445" s="410" t="n">
        <x:v>34</x:v>
      </x:c>
      <x:c r="E1445" t="str">
        <x:v>RIGHT_06</x:v>
      </x:c>
      <x:c r="F1445" t="str">
        <x:v>GoblinMelee</x:v>
      </x:c>
      <x:c r="G1445" s="410" t="n">
        <x:v>35</x:v>
      </x:c>
    </x:row>
    <x:row r="1446">
      <x:c r="A1446" t="str">
        <x:v>Stage01</x:v>
      </x:c>
      <x:c r="B1446" t="str">
        <x:v>WAVE_42</x:v>
      </x:c>
      <x:c r="C1446" s="409" t="n">
        <x:v>414.95</x:v>
      </x:c>
      <x:c r="D1446" s="410" t="n">
        <x:v>35</x:v>
      </x:c>
      <x:c r="E1446" t="str">
        <x:v>BOTTOM_07</x:v>
      </x:c>
      <x:c r="F1446" t="str">
        <x:v>GoblinMelee</x:v>
      </x:c>
      <x:c r="G1446" s="410" t="n">
        <x:v>36</x:v>
      </x:c>
    </x:row>
    <x:row r="1447">
      <x:c r="A1447" t="str">
        <x:v>Stage01</x:v>
      </x:c>
      <x:c r="B1447" t="str">
        <x:v>WAVE_42</x:v>
      </x:c>
      <x:c r="C1447" s="409" t="n">
        <x:v>415.07</x:v>
      </x:c>
      <x:c r="D1447" s="410" t="n">
        <x:v>36</x:v>
      </x:c>
      <x:c r="E1447" t="str">
        <x:v>LEFT_08</x:v>
      </x:c>
      <x:c r="F1447" t="str">
        <x:v>GoblinRanged</x:v>
      </x:c>
      <x:c r="G1447" s="410" t="n">
        <x:v>35</x:v>
      </x:c>
    </x:row>
    <x:row r="1448">
      <x:c r="A1448" t="str">
        <x:v>Stage01</x:v>
      </x:c>
      <x:c r="B1448" t="str">
        <x:v>WAVE_42</x:v>
      </x:c>
      <x:c r="C1448" s="409" t="n">
        <x:v>415.18</x:v>
      </x:c>
      <x:c r="D1448" s="410" t="n">
        <x:v>37</x:v>
      </x:c>
      <x:c r="E1448" t="str">
        <x:v>TOP_02</x:v>
      </x:c>
      <x:c r="F1448" t="str">
        <x:v>GoblinMelee</x:v>
      </x:c>
      <x:c r="G1448" s="410" t="n">
        <x:v>35</x:v>
      </x:c>
    </x:row>
    <x:row r="1449">
      <x:c r="A1449" t="str">
        <x:v>Stage01</x:v>
      </x:c>
      <x:c r="B1449" t="str">
        <x:v>WAVE_42</x:v>
      </x:c>
      <x:c r="C1449" s="409" t="n">
        <x:v>415.3</x:v>
      </x:c>
      <x:c r="D1449" s="410" t="n">
        <x:v>38</x:v>
      </x:c>
      <x:c r="E1449" t="str">
        <x:v>RIGHT_03</x:v>
      </x:c>
      <x:c r="F1449" t="str">
        <x:v>ShieldSkeleton</x:v>
      </x:c>
      <x:c r="G1449" s="410" t="n">
        <x:v>36</x:v>
      </x:c>
    </x:row>
    <x:row r="1450">
      <x:c r="A1450" t="str">
        <x:v>Stage01</x:v>
      </x:c>
      <x:c r="B1450" t="str">
        <x:v>WAVE_42</x:v>
      </x:c>
      <x:c r="C1450" s="409" t="n">
        <x:v>415.42</x:v>
      </x:c>
      <x:c r="D1450" s="410" t="n">
        <x:v>39</x:v>
      </x:c>
      <x:c r="E1450" t="str">
        <x:v>BOTTOM_04</x:v>
      </x:c>
      <x:c r="F1450" t="str">
        <x:v>FlyingEye</x:v>
      </x:c>
      <x:c r="G1450" s="410" t="n">
        <x:v>35</x:v>
      </x:c>
    </x:row>
    <x:row r="1451">
      <x:c r="A1451" t="str">
        <x:v>Stage01</x:v>
      </x:c>
      <x:c r="B1451" t="str">
        <x:v>WAVE_42</x:v>
      </x:c>
      <x:c r="C1451" s="409" t="n">
        <x:v>415.53</x:v>
      </x:c>
      <x:c r="D1451" s="410" t="n">
        <x:v>40</x:v>
      </x:c>
      <x:c r="E1451" t="str">
        <x:v>LEFT_05</x:v>
      </x:c>
      <x:c r="F1451" t="str">
        <x:v>GoblinRanged</x:v>
      </x:c>
      <x:c r="G1451" s="410" t="n">
        <x:v>35</x:v>
      </x:c>
    </x:row>
    <x:row r="1452">
      <x:c r="A1452" t="str">
        <x:v>Stage01</x:v>
      </x:c>
      <x:c r="B1452" t="str">
        <x:v>WAVE_42</x:v>
      </x:c>
      <x:c r="C1452" s="409" t="n">
        <x:v>415.65</x:v>
      </x:c>
      <x:c r="D1452" s="410" t="n">
        <x:v>41</x:v>
      </x:c>
      <x:c r="E1452" t="str">
        <x:v>TOP_07</x:v>
      </x:c>
      <x:c r="F1452" t="str">
        <x:v>GoblinMelee</x:v>
      </x:c>
      <x:c r="G1452" s="410" t="n">
        <x:v>36</x:v>
      </x:c>
    </x:row>
    <x:row r="1453">
      <x:c r="A1453" t="str">
        <x:v>Stage01</x:v>
      </x:c>
      <x:c r="B1453" t="str">
        <x:v>WAVE_42</x:v>
      </x:c>
      <x:c r="C1453" s="409" t="n">
        <x:v>415.76</x:v>
      </x:c>
      <x:c r="D1453" s="410" t="n">
        <x:v>42</x:v>
      </x:c>
      <x:c r="E1453" t="str">
        <x:v>RIGHT_08</x:v>
      </x:c>
      <x:c r="F1453" t="str">
        <x:v>GoblinMelee</x:v>
      </x:c>
      <x:c r="G1453" s="410" t="n">
        <x:v>35</x:v>
      </x:c>
    </x:row>
    <x:row r="1454">
      <x:c r="A1454" t="str">
        <x:v>Stage01</x:v>
      </x:c>
      <x:c r="B1454" t="str">
        <x:v>WAVE_42</x:v>
      </x:c>
      <x:c r="C1454" s="409" t="n">
        <x:v>415.88</x:v>
      </x:c>
      <x:c r="D1454" s="410" t="n">
        <x:v>43</x:v>
      </x:c>
      <x:c r="E1454" t="str">
        <x:v>BOTTOM_01</x:v>
      </x:c>
      <x:c r="F1454" t="str">
        <x:v>GoblinRanged</x:v>
      </x:c>
      <x:c r="G1454" s="410" t="n">
        <x:v>36</x:v>
      </x:c>
    </x:row>
    <x:row r="1455">
      <x:c r="A1455" t="str">
        <x:v>Stage01</x:v>
      </x:c>
      <x:c r="B1455" t="str">
        <x:v>WAVE_42</x:v>
      </x:c>
      <x:c r="C1455" s="409" t="n">
        <x:v>416</x:v>
      </x:c>
      <x:c r="D1455" s="410" t="n">
        <x:v>44</x:v>
      </x:c>
      <x:c r="E1455" t="str">
        <x:v>LEFT_02</x:v>
      </x:c>
      <x:c r="F1455" t="str">
        <x:v>GoblinMelee</x:v>
      </x:c>
      <x:c r="G1455" s="410" t="n">
        <x:v>35</x:v>
      </x:c>
    </x:row>
    <x:row r="1456">
      <x:c r="A1456" t="str">
        <x:v>Stage01</x:v>
      </x:c>
      <x:c r="B1456" t="str">
        <x:v>WAVE_42</x:v>
      </x:c>
      <x:c r="C1456" s="409" t="n">
        <x:v>416.11</x:v>
      </x:c>
      <x:c r="D1456" s="410" t="n">
        <x:v>45</x:v>
      </x:c>
      <x:c r="E1456" t="str">
        <x:v>TOP_04</x:v>
      </x:c>
      <x:c r="F1456" t="str">
        <x:v>GoblinMelee</x:v>
      </x:c>
      <x:c r="G1456" s="410" t="n">
        <x:v>35</x:v>
      </x:c>
    </x:row>
    <x:row r="1457">
      <x:c r="A1457" t="str">
        <x:v>Stage01</x:v>
      </x:c>
      <x:c r="B1457" t="str">
        <x:v>WAVE_42</x:v>
      </x:c>
      <x:c r="C1457" s="409" t="n">
        <x:v>416.23</x:v>
      </x:c>
      <x:c r="D1457" s="410" t="n">
        <x:v>46</x:v>
      </x:c>
      <x:c r="E1457" t="str">
        <x:v>RIGHT_05</x:v>
      </x:c>
      <x:c r="F1457" t="str">
        <x:v>ShieldSkeleton</x:v>
      </x:c>
      <x:c r="G1457" s="410" t="n">
        <x:v>36</x:v>
      </x:c>
    </x:row>
    <x:row r="1458">
      <x:c r="A1458" t="str">
        <x:v>Stage01</x:v>
      </x:c>
      <x:c r="B1458" t="str">
        <x:v>WAVE_42</x:v>
      </x:c>
      <x:c r="C1458" s="409" t="n">
        <x:v>416.35</x:v>
      </x:c>
      <x:c r="D1458" s="410" t="n">
        <x:v>47</x:v>
      </x:c>
      <x:c r="E1458" t="str">
        <x:v>BOTTOM_06</x:v>
      </x:c>
      <x:c r="F1458" t="str">
        <x:v>GoblinMelee</x:v>
      </x:c>
      <x:c r="G1458" s="410" t="n">
        <x:v>35</x:v>
      </x:c>
    </x:row>
    <x:row r="1459">
      <x:c r="A1459" t="str">
        <x:v>Stage01</x:v>
      </x:c>
      <x:c r="B1459" t="str">
        <x:v>WAVE_42</x:v>
      </x:c>
      <x:c r="C1459" s="409" t="n">
        <x:v>416.46</x:v>
      </x:c>
      <x:c r="D1459" s="410" t="n">
        <x:v>48</x:v>
      </x:c>
      <x:c r="E1459" t="str">
        <x:v>LEFT_07</x:v>
      </x:c>
      <x:c r="F1459" t="str">
        <x:v>GoblinRanged</x:v>
      </x:c>
      <x:c r="G1459" s="410" t="n">
        <x:v>36</x:v>
      </x:c>
    </x:row>
    <x:row r="1460">
      <x:c r="A1460" t="str">
        <x:v>Stage01</x:v>
      </x:c>
      <x:c r="B1460" t="str">
        <x:v>WAVE_42</x:v>
      </x:c>
      <x:c r="C1460" s="409" t="n">
        <x:v>416.58</x:v>
      </x:c>
      <x:c r="D1460" s="410" t="n">
        <x:v>49</x:v>
      </x:c>
      <x:c r="E1460" t="str">
        <x:v>TOP_01</x:v>
      </x:c>
      <x:c r="F1460" t="str">
        <x:v>GoblinMelee</x:v>
      </x:c>
      <x:c r="G1460" s="410" t="n">
        <x:v>35</x:v>
      </x:c>
    </x:row>
    <x:row r="1461">
      <x:c r="A1461" t="str">
        <x:v>Stage01</x:v>
      </x:c>
      <x:c r="B1461" t="str">
        <x:v>WAVE_42</x:v>
      </x:c>
      <x:c r="C1461" s="409" t="n">
        <x:v>416.69</x:v>
      </x:c>
      <x:c r="D1461" s="410" t="n">
        <x:v>50</x:v>
      </x:c>
      <x:c r="E1461" t="str">
        <x:v>RIGHT_02</x:v>
      </x:c>
      <x:c r="F1461" t="str">
        <x:v>GoblinMelee</x:v>
      </x:c>
      <x:c r="G1461" s="410" t="n">
        <x:v>35</x:v>
      </x:c>
    </x:row>
    <x:row r="1462">
      <x:c r="A1462" t="str">
        <x:v>Stage01</x:v>
      </x:c>
      <x:c r="B1462" t="str">
        <x:v>WAVE_42</x:v>
      </x:c>
      <x:c r="C1462" s="409" t="n">
        <x:v>416.81</x:v>
      </x:c>
      <x:c r="D1462" s="410" t="n">
        <x:v>51</x:v>
      </x:c>
      <x:c r="E1462" t="str">
        <x:v>BOTTOM_03</x:v>
      </x:c>
      <x:c r="F1462" t="str">
        <x:v>GoblinRanged</x:v>
      </x:c>
      <x:c r="G1462" s="410" t="n">
        <x:v>36</x:v>
      </x:c>
    </x:row>
    <x:row r="1463">
      <x:c r="A1463" t="str">
        <x:v>Stage01</x:v>
      </x:c>
      <x:c r="B1463" t="str">
        <x:v>WAVE_42</x:v>
      </x:c>
      <x:c r="C1463" s="409" t="n">
        <x:v>416.93</x:v>
      </x:c>
      <x:c r="D1463" s="410" t="n">
        <x:v>52</x:v>
      </x:c>
      <x:c r="E1463" t="str">
        <x:v>LEFT_04</x:v>
      </x:c>
      <x:c r="F1463" t="str">
        <x:v>FlyingEye</x:v>
      </x:c>
      <x:c r="G1463" s="410" t="n">
        <x:v>35</x:v>
      </x:c>
    </x:row>
    <x:row r="1464">
      <x:c r="A1464" t="str">
        <x:v>Stage01</x:v>
      </x:c>
      <x:c r="B1464" t="str">
        <x:v>WAVE_42</x:v>
      </x:c>
      <x:c r="C1464" s="409" t="n">
        <x:v>417.04</x:v>
      </x:c>
      <x:c r="D1464" s="410" t="n">
        <x:v>53</x:v>
      </x:c>
      <x:c r="E1464" t="str">
        <x:v>TOP_06</x:v>
      </x:c>
      <x:c r="F1464" t="str">
        <x:v>GoblinMelee</x:v>
      </x:c>
      <x:c r="G1464" s="410" t="n">
        <x:v>35</x:v>
      </x:c>
    </x:row>
    <x:row r="1465">
      <x:c r="A1465" t="str">
        <x:v>Stage01</x:v>
      </x:c>
      <x:c r="B1465" t="str">
        <x:v>WAVE_42</x:v>
      </x:c>
      <x:c r="C1465" s="409" t="n">
        <x:v>417.16</x:v>
      </x:c>
      <x:c r="D1465" s="410" t="n">
        <x:v>54</x:v>
      </x:c>
      <x:c r="E1465" t="str">
        <x:v>RIGHT_07</x:v>
      </x:c>
      <x:c r="F1465" t="str">
        <x:v>ShieldSkeleton</x:v>
      </x:c>
      <x:c r="G1465" s="410" t="n">
        <x:v>36</x:v>
      </x:c>
    </x:row>
    <x:row r="1466">
      <x:c r="A1466" t="str">
        <x:v>Stage01</x:v>
      </x:c>
      <x:c r="B1466" t="str">
        <x:v>WAVE_42</x:v>
      </x:c>
      <x:c r="C1466" s="409" t="n">
        <x:v>417.28</x:v>
      </x:c>
      <x:c r="D1466" s="410" t="n">
        <x:v>55</x:v>
      </x:c>
      <x:c r="E1466" t="str">
        <x:v>BOTTOM_08</x:v>
      </x:c>
      <x:c r="F1466" t="str">
        <x:v>GoblinMelee</x:v>
      </x:c>
      <x:c r="G1466" s="410" t="n">
        <x:v>35</x:v>
      </x:c>
    </x:row>
    <x:row r="1467">
      <x:c r="A1467" t="str">
        <x:v>Stage01</x:v>
      </x:c>
      <x:c r="B1467" t="str">
        <x:v>WAVE_42</x:v>
      </x:c>
      <x:c r="C1467" s="409" t="n">
        <x:v>417.39</x:v>
      </x:c>
      <x:c r="D1467" s="410" t="n">
        <x:v>56</x:v>
      </x:c>
      <x:c r="E1467" t="str">
        <x:v>LEFT_01</x:v>
      </x:c>
      <x:c r="F1467" t="str">
        <x:v>GoblinRanged</x:v>
      </x:c>
      <x:c r="G1467" s="410" t="n">
        <x:v>36</x:v>
      </x:c>
    </x:row>
    <x:row r="1468">
      <x:c r="A1468" t="str">
        <x:v>Stage01</x:v>
      </x:c>
      <x:c r="B1468" t="str">
        <x:v>WAVE_42</x:v>
      </x:c>
      <x:c r="C1468" s="409" t="n">
        <x:v>417.51</x:v>
      </x:c>
      <x:c r="D1468" s="410" t="n">
        <x:v>57</x:v>
      </x:c>
      <x:c r="E1468" t="str">
        <x:v>TOP_03</x:v>
      </x:c>
      <x:c r="F1468" t="str">
        <x:v>GoblinMelee</x:v>
      </x:c>
      <x:c r="G1468" s="410" t="n">
        <x:v>35</x:v>
      </x:c>
    </x:row>
    <x:row r="1469">
      <x:c r="A1469" t="str">
        <x:v>Stage01</x:v>
      </x:c>
      <x:c r="B1469" t="str">
        <x:v>WAVE_42</x:v>
      </x:c>
      <x:c r="C1469" s="409" t="n">
        <x:v>417.62</x:v>
      </x:c>
      <x:c r="D1469" s="410" t="n">
        <x:v>58</x:v>
      </x:c>
      <x:c r="E1469" t="str">
        <x:v>RIGHT_04</x:v>
      </x:c>
      <x:c r="F1469" t="str">
        <x:v>GoblinMelee</x:v>
      </x:c>
      <x:c r="G1469" s="410" t="n">
        <x:v>35</x:v>
      </x:c>
    </x:row>
    <x:row r="1470">
      <x:c r="A1470" t="str">
        <x:v>Stage01</x:v>
      </x:c>
      <x:c r="B1470" t="str">
        <x:v>WAVE_42</x:v>
      </x:c>
      <x:c r="C1470" s="409" t="n">
        <x:v>417.74</x:v>
      </x:c>
      <x:c r="D1470" s="410" t="n">
        <x:v>59</x:v>
      </x:c>
      <x:c r="E1470" t="str">
        <x:v>BOTTOM_05</x:v>
      </x:c>
      <x:c r="F1470" t="str">
        <x:v>GoblinRanged</x:v>
      </x:c>
      <x:c r="G1470" s="410" t="n">
        <x:v>36</x:v>
      </x:c>
    </x:row>
    <x:row r="1471">
      <x:c r="A1471" t="str">
        <x:v>Stage01</x:v>
      </x:c>
      <x:c r="B1471" t="str">
        <x:v>WAVE_42</x:v>
      </x:c>
      <x:c r="C1471" s="409" t="n">
        <x:v>417.86</x:v>
      </x:c>
      <x:c r="D1471" s="410" t="n">
        <x:v>60</x:v>
      </x:c>
      <x:c r="E1471" t="str">
        <x:v>LEFT_06</x:v>
      </x:c>
      <x:c r="F1471" t="str">
        <x:v>GoblinMelee</x:v>
      </x:c>
      <x:c r="G1471" s="410" t="n">
        <x:v>35</x:v>
      </x:c>
    </x:row>
    <x:row r="1472">
      <x:c r="A1472" t="str">
        <x:v>Stage01</x:v>
      </x:c>
      <x:c r="B1472" t="str">
        <x:v>WAVE_42</x:v>
      </x:c>
      <x:c r="C1472" s="409" t="n">
        <x:v>417.97</x:v>
      </x:c>
      <x:c r="D1472" s="410" t="n">
        <x:v>61</x:v>
      </x:c>
      <x:c r="E1472" t="str">
        <x:v>TOP_08</x:v>
      </x:c>
      <x:c r="F1472" t="str">
        <x:v>GoblinMelee</x:v>
      </x:c>
      <x:c r="G1472" s="410" t="n">
        <x:v>36</x:v>
      </x:c>
    </x:row>
    <x:row r="1473">
      <x:c r="A1473" t="str">
        <x:v>Stage01</x:v>
      </x:c>
      <x:c r="B1473" t="str">
        <x:v>WAVE_42</x:v>
      </x:c>
      <x:c r="C1473" s="409" t="n">
        <x:v>418.09</x:v>
      </x:c>
      <x:c r="D1473" s="410" t="n">
        <x:v>62</x:v>
      </x:c>
      <x:c r="E1473" t="str">
        <x:v>RIGHT_01</x:v>
      </x:c>
      <x:c r="F1473" t="str">
        <x:v>GoblinRanged</x:v>
      </x:c>
      <x:c r="G1473" s="410" t="n">
        <x:v>35</x:v>
      </x:c>
    </x:row>
    <x:row r="1474">
      <x:c r="A1474" t="str">
        <x:v>Stage01</x:v>
      </x:c>
      <x:c r="B1474" t="str">
        <x:v>WAVE_42</x:v>
      </x:c>
      <x:c r="C1474" s="409" t="n">
        <x:v>418.21</x:v>
      </x:c>
      <x:c r="D1474" s="410" t="n">
        <x:v>63</x:v>
      </x:c>
      <x:c r="E1474" t="str">
        <x:v>BOTTOM_02</x:v>
      </x:c>
      <x:c r="F1474" t="str">
        <x:v>GoblinMelee</x:v>
      </x:c>
      <x:c r="G1474" s="410" t="n">
        <x:v>35</x:v>
      </x:c>
    </x:row>
    <x:row r="1475">
      <x:c r="A1475" t="str">
        <x:v>Stage01</x:v>
      </x:c>
      <x:c r="B1475" t="str">
        <x:v>WAVE_42</x:v>
      </x:c>
      <x:c r="C1475" s="409" t="n">
        <x:v>418.32</x:v>
      </x:c>
      <x:c r="D1475" s="410" t="n">
        <x:v>64</x:v>
      </x:c>
      <x:c r="E1475" t="str">
        <x:v>LEFT_03</x:v>
      </x:c>
      <x:c r="F1475" t="str">
        <x:v>ShieldSkeleton</x:v>
      </x:c>
      <x:c r="G1475" s="410" t="n">
        <x:v>36</x:v>
      </x:c>
    </x:row>
    <x:row r="1476">
      <x:c r="A1476" t="str">
        <x:v>Stage01</x:v>
      </x:c>
      <x:c r="B1476" t="str">
        <x:v>WAVE_42</x:v>
      </x:c>
      <x:c r="C1476" s="409" t="n">
        <x:v>418.44</x:v>
      </x:c>
      <x:c r="D1476" s="410" t="n">
        <x:v>65</x:v>
      </x:c>
      <x:c r="E1476" t="str">
        <x:v>TOP_05</x:v>
      </x:c>
      <x:c r="F1476" t="str">
        <x:v>FlyingEye</x:v>
      </x:c>
      <x:c r="G1476" s="410" t="n">
        <x:v>35</x:v>
      </x:c>
    </x:row>
    <x:row r="1477">
      <x:c r="A1477" t="str">
        <x:v>Stage01</x:v>
      </x:c>
      <x:c r="B1477" t="str">
        <x:v>WAVE_42</x:v>
      </x:c>
      <x:c r="C1477" s="409" t="n">
        <x:v>418.55</x:v>
      </x:c>
      <x:c r="D1477" s="410" t="n">
        <x:v>66</x:v>
      </x:c>
      <x:c r="E1477" t="str">
        <x:v>RIGHT_06</x:v>
      </x:c>
      <x:c r="F1477" t="str">
        <x:v>GoblinRanged</x:v>
      </x:c>
      <x:c r="G1477" s="410" t="n">
        <x:v>36</x:v>
      </x:c>
    </x:row>
    <x:row r="1478">
      <x:c r="A1478" t="str">
        <x:v>Stage01</x:v>
      </x:c>
      <x:c r="B1478" t="str">
        <x:v>WAVE_42</x:v>
      </x:c>
      <x:c r="C1478" s="409" t="n">
        <x:v>418.67</x:v>
      </x:c>
      <x:c r="D1478" s="410" t="n">
        <x:v>67</x:v>
      </x:c>
      <x:c r="E1478" t="str">
        <x:v>BOTTOM_07</x:v>
      </x:c>
      <x:c r="F1478" t="str">
        <x:v>GoblinMelee</x:v>
      </x:c>
      <x:c r="G1478" s="410" t="n">
        <x:v>35</x:v>
      </x:c>
    </x:row>
    <x:row r="1479">
      <x:c r="A1479" t="str">
        <x:v>Stage01</x:v>
      </x:c>
      <x:c r="B1479" t="str">
        <x:v>WAVE_42</x:v>
      </x:c>
      <x:c r="C1479" s="409" t="n">
        <x:v>418.79</x:v>
      </x:c>
      <x:c r="D1479" s="410" t="n">
        <x:v>68</x:v>
      </x:c>
      <x:c r="E1479" t="str">
        <x:v>LEFT_08</x:v>
      </x:c>
      <x:c r="F1479" t="str">
        <x:v>GoblinMelee</x:v>
      </x:c>
      <x:c r="G1479" s="410" t="n">
        <x:v>35</x:v>
      </x:c>
    </x:row>
    <x:row r="1480">
      <x:c r="A1480" t="str">
        <x:v>Stage01</x:v>
      </x:c>
      <x:c r="B1480" t="str">
        <x:v>WAVE_42</x:v>
      </x:c>
      <x:c r="C1480" s="409" t="n">
        <x:v>418.9</x:v>
      </x:c>
      <x:c r="D1480" s="410" t="n">
        <x:v>69</x:v>
      </x:c>
      <x:c r="E1480" t="str">
        <x:v>TOP_02</x:v>
      </x:c>
      <x:c r="F1480" t="str">
        <x:v>GoblinRanged</x:v>
      </x:c>
      <x:c r="G1480" s="410" t="n">
        <x:v>36</x:v>
      </x:c>
    </x:row>
    <x:row r="1481">
      <x:c r="A1481" t="str">
        <x:v>Stage01</x:v>
      </x:c>
      <x:c r="B1481" t="str">
        <x:v>WAVE_42</x:v>
      </x:c>
      <x:c r="C1481" s="409" t="n">
        <x:v>419.02</x:v>
      </x:c>
      <x:c r="D1481" s="410" t="n">
        <x:v>70</x:v>
      </x:c>
      <x:c r="E1481" t="str">
        <x:v>RIGHT_03</x:v>
      </x:c>
      <x:c r="F1481" t="str">
        <x:v>GoblinMelee</x:v>
      </x:c>
      <x:c r="G1481" s="410" t="n">
        <x:v>35</x:v>
      </x:c>
    </x:row>
    <x:row r="1482">
      <x:c r="A1482" t="str">
        <x:v>Stage01</x:v>
      </x:c>
      <x:c r="B1482" t="str">
        <x:v>WAVE_42</x:v>
      </x:c>
      <x:c r="C1482" s="409" t="n">
        <x:v>419.14</x:v>
      </x:c>
      <x:c r="D1482" s="410" t="n">
        <x:v>71</x:v>
      </x:c>
      <x:c r="E1482" t="str">
        <x:v>BOTTOM_04</x:v>
      </x:c>
      <x:c r="F1482" t="str">
        <x:v>GoblinMelee</x:v>
      </x:c>
      <x:c r="G1482" s="410" t="n">
        <x:v>35</x:v>
      </x:c>
    </x:row>
    <x:row r="1483">
      <x:c r="A1483" t="str">
        <x:v>Stage01</x:v>
      </x:c>
      <x:c r="B1483" t="str">
        <x:v>WAVE_42</x:v>
      </x:c>
      <x:c r="C1483" s="409" t="n">
        <x:v>419.25</x:v>
      </x:c>
      <x:c r="D1483" s="410" t="n">
        <x:v>72</x:v>
      </x:c>
      <x:c r="E1483" t="str">
        <x:v>LEFT_05</x:v>
      </x:c>
      <x:c r="F1483" t="str">
        <x:v>ShieldSkeleton</x:v>
      </x:c>
      <x:c r="G1483" s="410" t="n">
        <x:v>36</x:v>
      </x:c>
    </x:row>
    <x:row r="1484">
      <x:c r="A1484" t="str">
        <x:v>Stage01</x:v>
      </x:c>
      <x:c r="B1484" t="str">
        <x:v>WAVE_42</x:v>
      </x:c>
      <x:c r="C1484" s="409" t="n">
        <x:v>419.37</x:v>
      </x:c>
      <x:c r="D1484" s="410" t="n">
        <x:v>73</x:v>
      </x:c>
      <x:c r="E1484" t="str">
        <x:v>TOP_07</x:v>
      </x:c>
      <x:c r="F1484" t="str">
        <x:v>GoblinMelee</x:v>
      </x:c>
      <x:c r="G1484" s="410" t="n">
        <x:v>35</x:v>
      </x:c>
    </x:row>
    <x:row r="1485">
      <x:c r="A1485" t="str">
        <x:v>Stage01</x:v>
      </x:c>
      <x:c r="B1485" t="str">
        <x:v>WAVE_42</x:v>
      </x:c>
      <x:c r="C1485" s="409" t="n">
        <x:v>419.48</x:v>
      </x:c>
      <x:c r="D1485" s="410" t="n">
        <x:v>74</x:v>
      </x:c>
      <x:c r="E1485" t="str">
        <x:v>RIGHT_08</x:v>
      </x:c>
      <x:c r="F1485" t="str">
        <x:v>GoblinRanged</x:v>
      </x:c>
      <x:c r="G1485" s="410" t="n">
        <x:v>36</x:v>
      </x:c>
    </x:row>
    <x:row r="1486">
      <x:c r="A1486" t="str">
        <x:v>Stage01</x:v>
      </x:c>
      <x:c r="B1486" t="str">
        <x:v>WAVE_42</x:v>
      </x:c>
      <x:c r="C1486" s="409" t="n">
        <x:v>419.6</x:v>
      </x:c>
      <x:c r="D1486" s="410" t="n">
        <x:v>75</x:v>
      </x:c>
      <x:c r="E1486" t="str">
        <x:v>BOTTOM_01</x:v>
      </x:c>
      <x:c r="F1486" t="str">
        <x:v>GoblinMelee</x:v>
      </x:c>
      <x:c r="G1486" s="410" t="n">
        <x:v>35</x:v>
      </x:c>
    </x:row>
    <x:row r="1487">
      <x:c r="A1487" t="str">
        <x:v>Stage01</x:v>
      </x:c>
      <x:c r="B1487" t="str">
        <x:v>WAVE_43</x:v>
      </x:c>
      <x:c r="C1487" s="409" t="n">
        <x:v>421</x:v>
      </x:c>
      <x:c r="D1487" s="410" t="n">
        <x:v>1</x:v>
      </x:c>
      <x:c r="E1487" t="str">
        <x:v>BOTTOM_04</x:v>
      </x:c>
      <x:c r="F1487" t="str">
        <x:v>GoblinMelee</x:v>
      </x:c>
      <x:c r="G1487" s="410" t="n">
        <x:v>36</x:v>
      </x:c>
    </x:row>
    <x:row r="1488">
      <x:c r="A1488" t="str">
        <x:v>Stage01</x:v>
      </x:c>
      <x:c r="B1488" t="str">
        <x:v>WAVE_43</x:v>
      </x:c>
      <x:c r="C1488" s="409" t="n">
        <x:v>421.11</x:v>
      </x:c>
      <x:c r="D1488" s="410" t="n">
        <x:v>2</x:v>
      </x:c>
      <x:c r="E1488" t="str">
        <x:v>LEFT_05</x:v>
      </x:c>
      <x:c r="F1488" t="str">
        <x:v>GoblinRanged</x:v>
      </x:c>
      <x:c r="G1488" s="410" t="n">
        <x:v>37</x:v>
      </x:c>
    </x:row>
    <x:row r="1489">
      <x:c r="A1489" t="str">
        <x:v>Stage01</x:v>
      </x:c>
      <x:c r="B1489" t="str">
        <x:v>WAVE_43</x:v>
      </x:c>
      <x:c r="C1489" s="409" t="n">
        <x:v>421.23</x:v>
      </x:c>
      <x:c r="D1489" s="410" t="n">
        <x:v>3</x:v>
      </x:c>
      <x:c r="E1489" t="str">
        <x:v>TOP_07</x:v>
      </x:c>
      <x:c r="F1489" t="str">
        <x:v>GoblinMelee</x:v>
      </x:c>
      <x:c r="G1489" s="410" t="n">
        <x:v>36</x:v>
      </x:c>
    </x:row>
    <x:row r="1490">
      <x:c r="A1490" t="str">
        <x:v>Stage01</x:v>
      </x:c>
      <x:c r="B1490" t="str">
        <x:v>WAVE_43</x:v>
      </x:c>
      <x:c r="C1490" s="409" t="n">
        <x:v>421.34</x:v>
      </x:c>
      <x:c r="D1490" s="410" t="n">
        <x:v>4</x:v>
      </x:c>
      <x:c r="E1490" t="str">
        <x:v>RIGHT_08</x:v>
      </x:c>
      <x:c r="F1490" t="str">
        <x:v>GoblinMelee</x:v>
      </x:c>
      <x:c r="G1490" s="410" t="n">
        <x:v>37</x:v>
      </x:c>
    </x:row>
    <x:row r="1491">
      <x:c r="A1491" t="str">
        <x:v>Stage01</x:v>
      </x:c>
      <x:c r="B1491" t="str">
        <x:v>WAVE_43</x:v>
      </x:c>
      <x:c r="C1491" s="409" t="n">
        <x:v>421.45</x:v>
      </x:c>
      <x:c r="D1491" s="410" t="n">
        <x:v>5</x:v>
      </x:c>
      <x:c r="E1491" t="str">
        <x:v>BOTTOM_01</x:v>
      </x:c>
      <x:c r="F1491" t="str">
        <x:v>ShieldSkeleton</x:v>
      </x:c>
      <x:c r="G1491" s="410" t="n">
        <x:v>36</x:v>
      </x:c>
    </x:row>
    <x:row r="1492">
      <x:c r="A1492" t="str">
        <x:v>Stage01</x:v>
      </x:c>
      <x:c r="B1492" t="str">
        <x:v>WAVE_43</x:v>
      </x:c>
      <x:c r="C1492" s="409" t="n">
        <x:v>421.57</x:v>
      </x:c>
      <x:c r="D1492" s="410" t="n">
        <x:v>6</x:v>
      </x:c>
      <x:c r="E1492" t="str">
        <x:v>LEFT_02</x:v>
      </x:c>
      <x:c r="F1492" t="str">
        <x:v>GoblinMelee</x:v>
      </x:c>
      <x:c r="G1492" s="410" t="n">
        <x:v>37</x:v>
      </x:c>
    </x:row>
    <x:row r="1493">
      <x:c r="A1493" t="str">
        <x:v>Stage01</x:v>
      </x:c>
      <x:c r="B1493" t="str">
        <x:v>WAVE_43</x:v>
      </x:c>
      <x:c r="C1493" s="409" t="n">
        <x:v>421.68</x:v>
      </x:c>
      <x:c r="D1493" s="410" t="n">
        <x:v>7</x:v>
      </x:c>
      <x:c r="E1493" t="str">
        <x:v>TOP_04</x:v>
      </x:c>
      <x:c r="F1493" t="str">
        <x:v>GoblinRanged</x:v>
      </x:c>
      <x:c r="G1493" s="410" t="n">
        <x:v>36</x:v>
      </x:c>
    </x:row>
    <x:row r="1494">
      <x:c r="A1494" t="str">
        <x:v>Stage01</x:v>
      </x:c>
      <x:c r="B1494" t="str">
        <x:v>WAVE_43</x:v>
      </x:c>
      <x:c r="C1494" s="409" t="n">
        <x:v>421.79</x:v>
      </x:c>
      <x:c r="D1494" s="410" t="n">
        <x:v>8</x:v>
      </x:c>
      <x:c r="E1494" t="str">
        <x:v>RIGHT_05</x:v>
      </x:c>
      <x:c r="F1494" t="str">
        <x:v>GoblinMelee</x:v>
      </x:c>
      <x:c r="G1494" s="410" t="n">
        <x:v>36</x:v>
      </x:c>
    </x:row>
    <x:row r="1495">
      <x:c r="A1495" t="str">
        <x:v>Stage01</x:v>
      </x:c>
      <x:c r="B1495" t="str">
        <x:v>WAVE_43</x:v>
      </x:c>
      <x:c r="C1495" s="409" t="n">
        <x:v>421.91</x:v>
      </x:c>
      <x:c r="D1495" s="410" t="n">
        <x:v>9</x:v>
      </x:c>
      <x:c r="E1495" t="str">
        <x:v>BOTTOM_06</x:v>
      </x:c>
      <x:c r="F1495" t="str">
        <x:v>GoblinMelee</x:v>
      </x:c>
      <x:c r="G1495" s="410" t="n">
        <x:v>37</x:v>
      </x:c>
    </x:row>
    <x:row r="1496">
      <x:c r="A1496" t="str">
        <x:v>Stage01</x:v>
      </x:c>
      <x:c r="B1496" t="str">
        <x:v>WAVE_43</x:v>
      </x:c>
      <x:c r="C1496" s="409" t="n">
        <x:v>422.02</x:v>
      </x:c>
      <x:c r="D1496" s="410" t="n">
        <x:v>10</x:v>
      </x:c>
      <x:c r="E1496" t="str">
        <x:v>LEFT_07</x:v>
      </x:c>
      <x:c r="F1496" t="str">
        <x:v>GoblinRanged</x:v>
      </x:c>
      <x:c r="G1496" s="410" t="n">
        <x:v>36</x:v>
      </x:c>
    </x:row>
    <x:row r="1497">
      <x:c r="A1497" t="str">
        <x:v>Stage01</x:v>
      </x:c>
      <x:c r="B1497" t="str">
        <x:v>WAVE_43</x:v>
      </x:c>
      <x:c r="C1497" s="409" t="n">
        <x:v>422.13</x:v>
      </x:c>
      <x:c r="D1497" s="410" t="n">
        <x:v>11</x:v>
      </x:c>
      <x:c r="E1497" t="str">
        <x:v>TOP_01</x:v>
      </x:c>
      <x:c r="F1497" t="str">
        <x:v>GoblinMelee</x:v>
      </x:c>
      <x:c r="G1497" s="410" t="n">
        <x:v>37</x:v>
      </x:c>
    </x:row>
    <x:row r="1498">
      <x:c r="A1498" t="str">
        <x:v>Stage01</x:v>
      </x:c>
      <x:c r="B1498" t="str">
        <x:v>WAVE_43</x:v>
      </x:c>
      <x:c r="C1498" s="409" t="n">
        <x:v>422.24</x:v>
      </x:c>
      <x:c r="D1498" s="410" t="n">
        <x:v>12</x:v>
      </x:c>
      <x:c r="E1498" t="str">
        <x:v>RIGHT_02</x:v>
      </x:c>
      <x:c r="F1498" t="str">
        <x:v>FlyingEye</x:v>
      </x:c>
      <x:c r="G1498" s="410" t="n">
        <x:v>36</x:v>
      </x:c>
    </x:row>
    <x:row r="1499">
      <x:c r="A1499" t="str">
        <x:v>Stage01</x:v>
      </x:c>
      <x:c r="B1499" t="str">
        <x:v>WAVE_43</x:v>
      </x:c>
      <x:c r="C1499" s="409" t="n">
        <x:v>422.36</x:v>
      </x:c>
      <x:c r="D1499" s="410" t="n">
        <x:v>13</x:v>
      </x:c>
      <x:c r="E1499" t="str">
        <x:v>BOTTOM_03</x:v>
      </x:c>
      <x:c r="F1499" t="str">
        <x:v>ShieldSkeleton</x:v>
      </x:c>
      <x:c r="G1499" s="410" t="n">
        <x:v>37</x:v>
      </x:c>
    </x:row>
    <x:row r="1500">
      <x:c r="A1500" t="str">
        <x:v>Stage01</x:v>
      </x:c>
      <x:c r="B1500" t="str">
        <x:v>WAVE_43</x:v>
      </x:c>
      <x:c r="C1500" s="409" t="n">
        <x:v>422.47</x:v>
      </x:c>
      <x:c r="D1500" s="410" t="n">
        <x:v>14</x:v>
      </x:c>
      <x:c r="E1500" t="str">
        <x:v>LEFT_04</x:v>
      </x:c>
      <x:c r="F1500" t="str">
        <x:v>GoblinMelee</x:v>
      </x:c>
      <x:c r="G1500" s="410" t="n">
        <x:v>36</x:v>
      </x:c>
    </x:row>
    <x:row r="1501">
      <x:c r="A1501" t="str">
        <x:v>Stage01</x:v>
      </x:c>
      <x:c r="B1501" t="str">
        <x:v>WAVE_43</x:v>
      </x:c>
      <x:c r="C1501" s="409" t="n">
        <x:v>422.58</x:v>
      </x:c>
      <x:c r="D1501" s="410" t="n">
        <x:v>15</x:v>
      </x:c>
      <x:c r="E1501" t="str">
        <x:v>TOP_06</x:v>
      </x:c>
      <x:c r="F1501" t="str">
        <x:v>GoblinRanged</x:v>
      </x:c>
      <x:c r="G1501" s="410" t="n">
        <x:v>36</x:v>
      </x:c>
    </x:row>
    <x:row r="1502">
      <x:c r="A1502" t="str">
        <x:v>Stage01</x:v>
      </x:c>
      <x:c r="B1502" t="str">
        <x:v>WAVE_43</x:v>
      </x:c>
      <x:c r="C1502" s="409" t="n">
        <x:v>422.7</x:v>
      </x:c>
      <x:c r="D1502" s="410" t="n">
        <x:v>16</x:v>
      </x:c>
      <x:c r="E1502" t="str">
        <x:v>RIGHT_07</x:v>
      </x:c>
      <x:c r="F1502" t="str">
        <x:v>GoblinMelee</x:v>
      </x:c>
      <x:c r="G1502" s="410" t="n">
        <x:v>37</x:v>
      </x:c>
    </x:row>
    <x:row r="1503">
      <x:c r="A1503" t="str">
        <x:v>Stage01</x:v>
      </x:c>
      <x:c r="B1503" t="str">
        <x:v>WAVE_43</x:v>
      </x:c>
      <x:c r="C1503" s="409" t="n">
        <x:v>422.81</x:v>
      </x:c>
      <x:c r="D1503" s="410" t="n">
        <x:v>17</x:v>
      </x:c>
      <x:c r="E1503" t="str">
        <x:v>BOTTOM_08</x:v>
      </x:c>
      <x:c r="F1503" t="str">
        <x:v>GoblinMelee</x:v>
      </x:c>
      <x:c r="G1503" s="410" t="n">
        <x:v>36</x:v>
      </x:c>
    </x:row>
    <x:row r="1504">
      <x:c r="A1504" t="str">
        <x:v>Stage01</x:v>
      </x:c>
      <x:c r="B1504" t="str">
        <x:v>WAVE_43</x:v>
      </x:c>
      <x:c r="C1504" s="409" t="n">
        <x:v>422.92</x:v>
      </x:c>
      <x:c r="D1504" s="410" t="n">
        <x:v>18</x:v>
      </x:c>
      <x:c r="E1504" t="str">
        <x:v>LEFT_01</x:v>
      </x:c>
      <x:c r="F1504" t="str">
        <x:v>GoblinRanged</x:v>
      </x:c>
      <x:c r="G1504" s="410" t="n">
        <x:v>37</x:v>
      </x:c>
    </x:row>
    <x:row r="1505">
      <x:c r="A1505" t="str">
        <x:v>Stage01</x:v>
      </x:c>
      <x:c r="B1505" t="str">
        <x:v>WAVE_43</x:v>
      </x:c>
      <x:c r="C1505" s="409" t="n">
        <x:v>423.04</x:v>
      </x:c>
      <x:c r="D1505" s="410" t="n">
        <x:v>19</x:v>
      </x:c>
      <x:c r="E1505" t="str">
        <x:v>TOP_03</x:v>
      </x:c>
      <x:c r="F1505" t="str">
        <x:v>GoblinMelee</x:v>
      </x:c>
      <x:c r="G1505" s="410" t="n">
        <x:v>36</x:v>
      </x:c>
    </x:row>
    <x:row r="1506">
      <x:c r="A1506" t="str">
        <x:v>Stage01</x:v>
      </x:c>
      <x:c r="B1506" t="str">
        <x:v>WAVE_43</x:v>
      </x:c>
      <x:c r="C1506" s="409" t="n">
        <x:v>423.15</x:v>
      </x:c>
      <x:c r="D1506" s="410" t="n">
        <x:v>20</x:v>
      </x:c>
      <x:c r="E1506" t="str">
        <x:v>RIGHT_04</x:v>
      </x:c>
      <x:c r="F1506" t="str">
        <x:v>GoblinMelee</x:v>
      </x:c>
      <x:c r="G1506" s="410" t="n">
        <x:v>37</x:v>
      </x:c>
    </x:row>
    <x:row r="1507">
      <x:c r="A1507" t="str">
        <x:v>Stage01</x:v>
      </x:c>
      <x:c r="B1507" t="str">
        <x:v>WAVE_43</x:v>
      </x:c>
      <x:c r="C1507" s="409" t="n">
        <x:v>423.26</x:v>
      </x:c>
      <x:c r="D1507" s="410" t="n">
        <x:v>21</x:v>
      </x:c>
      <x:c r="E1507" t="str">
        <x:v>BOTTOM_05</x:v>
      </x:c>
      <x:c r="F1507" t="str">
        <x:v>ShieldSkeleton</x:v>
      </x:c>
      <x:c r="G1507" s="410" t="n">
        <x:v>36</x:v>
      </x:c>
    </x:row>
    <x:row r="1508">
      <x:c r="A1508" t="str">
        <x:v>Stage01</x:v>
      </x:c>
      <x:c r="B1508" t="str">
        <x:v>WAVE_43</x:v>
      </x:c>
      <x:c r="C1508" s="409" t="n">
        <x:v>423.38</x:v>
      </x:c>
      <x:c r="D1508" s="410" t="n">
        <x:v>22</x:v>
      </x:c>
      <x:c r="E1508" t="str">
        <x:v>LEFT_06</x:v>
      </x:c>
      <x:c r="F1508" t="str">
        <x:v>GoblinRanged</x:v>
      </x:c>
      <x:c r="G1508" s="410" t="n">
        <x:v>36</x:v>
      </x:c>
    </x:row>
    <x:row r="1509">
      <x:c r="A1509" t="str">
        <x:v>Stage01</x:v>
      </x:c>
      <x:c r="B1509" t="str">
        <x:v>WAVE_43</x:v>
      </x:c>
      <x:c r="C1509" s="409" t="n">
        <x:v>423.49</x:v>
      </x:c>
      <x:c r="D1509" s="410" t="n">
        <x:v>23</x:v>
      </x:c>
      <x:c r="E1509" t="str">
        <x:v>TOP_08</x:v>
      </x:c>
      <x:c r="F1509" t="str">
        <x:v>GoblinMelee</x:v>
      </x:c>
      <x:c r="G1509" s="410" t="n">
        <x:v>37</x:v>
      </x:c>
    </x:row>
    <x:row r="1510">
      <x:c r="A1510" t="str">
        <x:v>Stage01</x:v>
      </x:c>
      <x:c r="B1510" t="str">
        <x:v>WAVE_43</x:v>
      </x:c>
      <x:c r="C1510" s="409" t="n">
        <x:v>423.6</x:v>
      </x:c>
      <x:c r="D1510" s="410" t="n">
        <x:v>24</x:v>
      </x:c>
      <x:c r="E1510" t="str">
        <x:v>RIGHT_01</x:v>
      </x:c>
      <x:c r="F1510" t="str">
        <x:v>GoblinMelee</x:v>
      </x:c>
      <x:c r="G1510" s="410" t="n">
        <x:v>36</x:v>
      </x:c>
    </x:row>
    <x:row r="1511">
      <x:c r="A1511" t="str">
        <x:v>Stage01</x:v>
      </x:c>
      <x:c r="B1511" t="str">
        <x:v>WAVE_43</x:v>
      </x:c>
      <x:c r="C1511" s="409" t="n">
        <x:v>423.72</x:v>
      </x:c>
      <x:c r="D1511" s="410" t="n">
        <x:v>25</x:v>
      </x:c>
      <x:c r="E1511" t="str">
        <x:v>BOTTOM_02</x:v>
      </x:c>
      <x:c r="F1511" t="str">
        <x:v>FlyingEye</x:v>
      </x:c>
      <x:c r="G1511" s="410" t="n">
        <x:v>37</x:v>
      </x:c>
    </x:row>
    <x:row r="1512">
      <x:c r="A1512" t="str">
        <x:v>Stage01</x:v>
      </x:c>
      <x:c r="B1512" t="str">
        <x:v>WAVE_43</x:v>
      </x:c>
      <x:c r="C1512" s="409" t="n">
        <x:v>423.83</x:v>
      </x:c>
      <x:c r="D1512" s="410" t="n">
        <x:v>26</x:v>
      </x:c>
      <x:c r="E1512" t="str">
        <x:v>LEFT_03</x:v>
      </x:c>
      <x:c r="F1512" t="str">
        <x:v>GoblinRanged</x:v>
      </x:c>
      <x:c r="G1512" s="410" t="n">
        <x:v>36</x:v>
      </x:c>
    </x:row>
    <x:row r="1513">
      <x:c r="A1513" t="str">
        <x:v>Stage01</x:v>
      </x:c>
      <x:c r="B1513" t="str">
        <x:v>WAVE_43</x:v>
      </x:c>
      <x:c r="C1513" s="409" t="n">
        <x:v>423.94</x:v>
      </x:c>
      <x:c r="D1513" s="410" t="n">
        <x:v>27</x:v>
      </x:c>
      <x:c r="E1513" t="str">
        <x:v>TOP_05</x:v>
      </x:c>
      <x:c r="F1513" t="str">
        <x:v>GoblinMelee</x:v>
      </x:c>
      <x:c r="G1513" s="410" t="n">
        <x:v>37</x:v>
      </x:c>
    </x:row>
    <x:row r="1514">
      <x:c r="A1514" t="str">
        <x:v>Stage01</x:v>
      </x:c>
      <x:c r="B1514" t="str">
        <x:v>WAVE_43</x:v>
      </x:c>
      <x:c r="C1514" s="409" t="n">
        <x:v>424.06</x:v>
      </x:c>
      <x:c r="D1514" s="410" t="n">
        <x:v>28</x:v>
      </x:c>
      <x:c r="E1514" t="str">
        <x:v>RIGHT_06</x:v>
      </x:c>
      <x:c r="F1514" t="str">
        <x:v>GoblinMelee</x:v>
      </x:c>
      <x:c r="G1514" s="410" t="n">
        <x:v>36</x:v>
      </x:c>
    </x:row>
    <x:row r="1515">
      <x:c r="A1515" t="str">
        <x:v>Stage01</x:v>
      </x:c>
      <x:c r="B1515" t="str">
        <x:v>WAVE_43</x:v>
      </x:c>
      <x:c r="C1515" s="409" t="n">
        <x:v>424.17</x:v>
      </x:c>
      <x:c r="D1515" s="410" t="n">
        <x:v>29</x:v>
      </x:c>
      <x:c r="E1515" t="str">
        <x:v>BOTTOM_07</x:v>
      </x:c>
      <x:c r="F1515" t="str">
        <x:v>GoblinRanged</x:v>
      </x:c>
      <x:c r="G1515" s="410" t="n">
        <x:v>36</x:v>
      </x:c>
    </x:row>
    <x:row r="1516">
      <x:c r="A1516" t="str">
        <x:v>Stage01</x:v>
      </x:c>
      <x:c r="B1516" t="str">
        <x:v>WAVE_43</x:v>
      </x:c>
      <x:c r="C1516" s="409" t="n">
        <x:v>424.28</x:v>
      </x:c>
      <x:c r="D1516" s="410" t="n">
        <x:v>30</x:v>
      </x:c>
      <x:c r="E1516" t="str">
        <x:v>LEFT_08</x:v>
      </x:c>
      <x:c r="F1516" t="str">
        <x:v>GoblinMelee</x:v>
      </x:c>
      <x:c r="G1516" s="410" t="n">
        <x:v>37</x:v>
      </x:c>
    </x:row>
    <x:row r="1517">
      <x:c r="A1517" t="str">
        <x:v>Stage01</x:v>
      </x:c>
      <x:c r="B1517" t="str">
        <x:v>WAVE_43</x:v>
      </x:c>
      <x:c r="C1517" s="409" t="n">
        <x:v>424.39</x:v>
      </x:c>
      <x:c r="D1517" s="410" t="n">
        <x:v>31</x:v>
      </x:c>
      <x:c r="E1517" t="str">
        <x:v>TOP_02</x:v>
      </x:c>
      <x:c r="F1517" t="str">
        <x:v>ShieldSkeleton</x:v>
      </x:c>
      <x:c r="G1517" s="410" t="n">
        <x:v>36</x:v>
      </x:c>
    </x:row>
    <x:row r="1518">
      <x:c r="A1518" t="str">
        <x:v>Stage01</x:v>
      </x:c>
      <x:c r="B1518" t="str">
        <x:v>WAVE_43</x:v>
      </x:c>
      <x:c r="C1518" s="409" t="n">
        <x:v>424.51</x:v>
      </x:c>
      <x:c r="D1518" s="410" t="n">
        <x:v>32</x:v>
      </x:c>
      <x:c r="E1518" t="str">
        <x:v>RIGHT_03</x:v>
      </x:c>
      <x:c r="F1518" t="str">
        <x:v>GoblinMelee</x:v>
      </x:c>
      <x:c r="G1518" s="410" t="n">
        <x:v>37</x:v>
      </x:c>
    </x:row>
    <x:row r="1519">
      <x:c r="A1519" t="str">
        <x:v>Stage01</x:v>
      </x:c>
      <x:c r="B1519" t="str">
        <x:v>WAVE_43</x:v>
      </x:c>
      <x:c r="C1519" s="409" t="n">
        <x:v>424.62</x:v>
      </x:c>
      <x:c r="D1519" s="410" t="n">
        <x:v>33</x:v>
      </x:c>
      <x:c r="E1519" t="str">
        <x:v>BOTTOM_04</x:v>
      </x:c>
      <x:c r="F1519" t="str">
        <x:v>GoblinMelee</x:v>
      </x:c>
      <x:c r="G1519" s="410" t="n">
        <x:v>36</x:v>
      </x:c>
    </x:row>
    <x:row r="1520">
      <x:c r="A1520" t="str">
        <x:v>Stage01</x:v>
      </x:c>
      <x:c r="B1520" t="str">
        <x:v>WAVE_43</x:v>
      </x:c>
      <x:c r="C1520" s="409" t="n">
        <x:v>424.73</x:v>
      </x:c>
      <x:c r="D1520" s="410" t="n">
        <x:v>34</x:v>
      </x:c>
      <x:c r="E1520" t="str">
        <x:v>LEFT_05</x:v>
      </x:c>
      <x:c r="F1520" t="str">
        <x:v>GoblinRanged</x:v>
      </x:c>
      <x:c r="G1520" s="410" t="n">
        <x:v>37</x:v>
      </x:c>
    </x:row>
    <x:row r="1521">
      <x:c r="A1521" t="str">
        <x:v>Stage01</x:v>
      </x:c>
      <x:c r="B1521" t="str">
        <x:v>WAVE_43</x:v>
      </x:c>
      <x:c r="C1521" s="409" t="n">
        <x:v>424.85</x:v>
      </x:c>
      <x:c r="D1521" s="410" t="n">
        <x:v>35</x:v>
      </x:c>
      <x:c r="E1521" t="str">
        <x:v>TOP_07</x:v>
      </x:c>
      <x:c r="F1521" t="str">
        <x:v>GoblinMelee</x:v>
      </x:c>
      <x:c r="G1521" s="410" t="n">
        <x:v>36</x:v>
      </x:c>
    </x:row>
    <x:row r="1522">
      <x:c r="A1522" t="str">
        <x:v>Stage01</x:v>
      </x:c>
      <x:c r="B1522" t="str">
        <x:v>WAVE_43</x:v>
      </x:c>
      <x:c r="C1522" s="409" t="n">
        <x:v>424.96</x:v>
      </x:c>
      <x:c r="D1522" s="410" t="n">
        <x:v>36</x:v>
      </x:c>
      <x:c r="E1522" t="str">
        <x:v>RIGHT_08</x:v>
      </x:c>
      <x:c r="F1522" t="str">
        <x:v>GoblinMelee</x:v>
      </x:c>
      <x:c r="G1522" s="410" t="n">
        <x:v>36</x:v>
      </x:c>
    </x:row>
    <x:row r="1523">
      <x:c r="A1523" t="str">
        <x:v>Stage01</x:v>
      </x:c>
      <x:c r="B1523" t="str">
        <x:v>WAVE_43</x:v>
      </x:c>
      <x:c r="C1523" s="409" t="n">
        <x:v>425.07</x:v>
      </x:c>
      <x:c r="D1523" s="410" t="n">
        <x:v>37</x:v>
      </x:c>
      <x:c r="E1523" t="str">
        <x:v>BOTTOM_01</x:v>
      </x:c>
      <x:c r="F1523" t="str">
        <x:v>GoblinRanged</x:v>
      </x:c>
      <x:c r="G1523" s="410" t="n">
        <x:v>37</x:v>
      </x:c>
    </x:row>
    <x:row r="1524">
      <x:c r="A1524" t="str">
        <x:v>Stage01</x:v>
      </x:c>
      <x:c r="B1524" t="str">
        <x:v>WAVE_43</x:v>
      </x:c>
      <x:c r="C1524" s="409" t="n">
        <x:v>425.19</x:v>
      </x:c>
      <x:c r="D1524" s="410" t="n">
        <x:v>38</x:v>
      </x:c>
      <x:c r="E1524" t="str">
        <x:v>LEFT_02</x:v>
      </x:c>
      <x:c r="F1524" t="str">
        <x:v>FlyingEye</x:v>
      </x:c>
      <x:c r="G1524" s="410" t="n">
        <x:v>36</x:v>
      </x:c>
    </x:row>
    <x:row r="1525">
      <x:c r="A1525" t="str">
        <x:v>Stage01</x:v>
      </x:c>
      <x:c r="B1525" t="str">
        <x:v>WAVE_43</x:v>
      </x:c>
      <x:c r="C1525" s="409" t="n">
        <x:v>425.3</x:v>
      </x:c>
      <x:c r="D1525" s="410" t="n">
        <x:v>39</x:v>
      </x:c>
      <x:c r="E1525" t="str">
        <x:v>TOP_04</x:v>
      </x:c>
      <x:c r="F1525" t="str">
        <x:v>ShieldSkeleton</x:v>
      </x:c>
      <x:c r="G1525" s="410" t="n">
        <x:v>37</x:v>
      </x:c>
    </x:row>
    <x:row r="1526">
      <x:c r="A1526" t="str">
        <x:v>Stage01</x:v>
      </x:c>
      <x:c r="B1526" t="str">
        <x:v>WAVE_43</x:v>
      </x:c>
      <x:c r="C1526" s="409" t="n">
        <x:v>425.41</x:v>
      </x:c>
      <x:c r="D1526" s="410" t="n">
        <x:v>40</x:v>
      </x:c>
      <x:c r="E1526" t="str">
        <x:v>RIGHT_05</x:v>
      </x:c>
      <x:c r="F1526" t="str">
        <x:v>GoblinMelee</x:v>
      </x:c>
      <x:c r="G1526" s="410" t="n">
        <x:v>36</x:v>
      </x:c>
    </x:row>
    <x:row r="1527">
      <x:c r="A1527" t="str">
        <x:v>Stage01</x:v>
      </x:c>
      <x:c r="B1527" t="str">
        <x:v>WAVE_43</x:v>
      </x:c>
      <x:c r="C1527" s="409" t="n">
        <x:v>425.53</x:v>
      </x:c>
      <x:c r="D1527" s="410" t="n">
        <x:v>41</x:v>
      </x:c>
      <x:c r="E1527" t="str">
        <x:v>BOTTOM_06</x:v>
      </x:c>
      <x:c r="F1527" t="str">
        <x:v>GoblinRanged</x:v>
      </x:c>
      <x:c r="G1527" s="410" t="n">
        <x:v>37</x:v>
      </x:c>
    </x:row>
    <x:row r="1528">
      <x:c r="A1528" t="str">
        <x:v>Stage01</x:v>
      </x:c>
      <x:c r="B1528" t="str">
        <x:v>WAVE_43</x:v>
      </x:c>
      <x:c r="C1528" s="409" t="n">
        <x:v>425.64</x:v>
      </x:c>
      <x:c r="D1528" s="410" t="n">
        <x:v>42</x:v>
      </x:c>
      <x:c r="E1528" t="str">
        <x:v>LEFT_07</x:v>
      </x:c>
      <x:c r="F1528" t="str">
        <x:v>GoblinMelee</x:v>
      </x:c>
      <x:c r="G1528" s="410" t="n">
        <x:v>36</x:v>
      </x:c>
    </x:row>
    <x:row r="1529">
      <x:c r="A1529" t="str">
        <x:v>Stage01</x:v>
      </x:c>
      <x:c r="B1529" t="str">
        <x:v>WAVE_43</x:v>
      </x:c>
      <x:c r="C1529" s="409" t="n">
        <x:v>425.75</x:v>
      </x:c>
      <x:c r="D1529" s="410" t="n">
        <x:v>43</x:v>
      </x:c>
      <x:c r="E1529" t="str">
        <x:v>TOP_01</x:v>
      </x:c>
      <x:c r="F1529" t="str">
        <x:v>GoblinMelee</x:v>
      </x:c>
      <x:c r="G1529" s="410" t="n">
        <x:v>36</x:v>
      </x:c>
    </x:row>
    <x:row r="1530">
      <x:c r="A1530" t="str">
        <x:v>Stage01</x:v>
      </x:c>
      <x:c r="B1530" t="str">
        <x:v>WAVE_43</x:v>
      </x:c>
      <x:c r="C1530" s="409" t="n">
        <x:v>425.87</x:v>
      </x:c>
      <x:c r="D1530" s="410" t="n">
        <x:v>44</x:v>
      </x:c>
      <x:c r="E1530" t="str">
        <x:v>RIGHT_02</x:v>
      </x:c>
      <x:c r="F1530" t="str">
        <x:v>GoblinRanged</x:v>
      </x:c>
      <x:c r="G1530" s="410" t="n">
        <x:v>37</x:v>
      </x:c>
    </x:row>
    <x:row r="1531">
      <x:c r="A1531" t="str">
        <x:v>Stage01</x:v>
      </x:c>
      <x:c r="B1531" t="str">
        <x:v>WAVE_43</x:v>
      </x:c>
      <x:c r="C1531" s="409" t="n">
        <x:v>425.98</x:v>
      </x:c>
      <x:c r="D1531" s="410" t="n">
        <x:v>45</x:v>
      </x:c>
      <x:c r="E1531" t="str">
        <x:v>BOTTOM_03</x:v>
      </x:c>
      <x:c r="F1531" t="str">
        <x:v>GoblinMelee</x:v>
      </x:c>
      <x:c r="G1531" s="410" t="n">
        <x:v>36</x:v>
      </x:c>
    </x:row>
    <x:row r="1532">
      <x:c r="A1532" t="str">
        <x:v>Stage01</x:v>
      </x:c>
      <x:c r="B1532" t="str">
        <x:v>WAVE_43</x:v>
      </x:c>
      <x:c r="C1532" s="409" t="n">
        <x:v>426.09</x:v>
      </x:c>
      <x:c r="D1532" s="410" t="n">
        <x:v>46</x:v>
      </x:c>
      <x:c r="E1532" t="str">
        <x:v>LEFT_04</x:v>
      </x:c>
      <x:c r="F1532" t="str">
        <x:v>GoblinMelee</x:v>
      </x:c>
      <x:c r="G1532" s="410" t="n">
        <x:v>37</x:v>
      </x:c>
    </x:row>
    <x:row r="1533">
      <x:c r="A1533" t="str">
        <x:v>Stage01</x:v>
      </x:c>
      <x:c r="B1533" t="str">
        <x:v>WAVE_43</x:v>
      </x:c>
      <x:c r="C1533" s="409" t="n">
        <x:v>426.21</x:v>
      </x:c>
      <x:c r="D1533" s="410" t="n">
        <x:v>47</x:v>
      </x:c>
      <x:c r="E1533" t="str">
        <x:v>TOP_06</x:v>
      </x:c>
      <x:c r="F1533" t="str">
        <x:v>ShieldSkeleton</x:v>
      </x:c>
      <x:c r="G1533" s="410" t="n">
        <x:v>36</x:v>
      </x:c>
    </x:row>
    <x:row r="1534">
      <x:c r="A1534" t="str">
        <x:v>Stage01</x:v>
      </x:c>
      <x:c r="B1534" t="str">
        <x:v>WAVE_43</x:v>
      </x:c>
      <x:c r="C1534" s="409" t="n">
        <x:v>426.32</x:v>
      </x:c>
      <x:c r="D1534" s="410" t="n">
        <x:v>48</x:v>
      </x:c>
      <x:c r="E1534" t="str">
        <x:v>RIGHT_07</x:v>
      </x:c>
      <x:c r="F1534" t="str">
        <x:v>GoblinMelee</x:v>
      </x:c>
      <x:c r="G1534" s="410" t="n">
        <x:v>37</x:v>
      </x:c>
    </x:row>
    <x:row r="1535">
      <x:c r="A1535" t="str">
        <x:v>Stage01</x:v>
      </x:c>
      <x:c r="B1535" t="str">
        <x:v>WAVE_43</x:v>
      </x:c>
      <x:c r="C1535" s="409" t="n">
        <x:v>426.43</x:v>
      </x:c>
      <x:c r="D1535" s="410" t="n">
        <x:v>49</x:v>
      </x:c>
      <x:c r="E1535" t="str">
        <x:v>BOTTOM_08</x:v>
      </x:c>
      <x:c r="F1535" t="str">
        <x:v>GoblinRanged</x:v>
      </x:c>
      <x:c r="G1535" s="410" t="n">
        <x:v>36</x:v>
      </x:c>
    </x:row>
    <x:row r="1536">
      <x:c r="A1536" t="str">
        <x:v>Stage01</x:v>
      </x:c>
      <x:c r="B1536" t="str">
        <x:v>WAVE_43</x:v>
      </x:c>
      <x:c r="C1536" s="409" t="n">
        <x:v>426.54</x:v>
      </x:c>
      <x:c r="D1536" s="410" t="n">
        <x:v>50</x:v>
      </x:c>
      <x:c r="E1536" t="str">
        <x:v>LEFT_01</x:v>
      </x:c>
      <x:c r="F1536" t="str">
        <x:v>GoblinMelee</x:v>
      </x:c>
      <x:c r="G1536" s="410" t="n">
        <x:v>36</x:v>
      </x:c>
    </x:row>
    <x:row r="1537">
      <x:c r="A1537" t="str">
        <x:v>Stage01</x:v>
      </x:c>
      <x:c r="B1537" t="str">
        <x:v>WAVE_43</x:v>
      </x:c>
      <x:c r="C1537" s="409" t="n">
        <x:v>426.66</x:v>
      </x:c>
      <x:c r="D1537" s="410" t="n">
        <x:v>51</x:v>
      </x:c>
      <x:c r="E1537" t="str">
        <x:v>TOP_03</x:v>
      </x:c>
      <x:c r="F1537" t="str">
        <x:v>FlyingEye</x:v>
      </x:c>
      <x:c r="G1537" s="410" t="n">
        <x:v>37</x:v>
      </x:c>
    </x:row>
    <x:row r="1538">
      <x:c r="A1538" t="str">
        <x:v>Stage01</x:v>
      </x:c>
      <x:c r="B1538" t="str">
        <x:v>WAVE_43</x:v>
      </x:c>
      <x:c r="C1538" s="409" t="n">
        <x:v>426.77</x:v>
      </x:c>
      <x:c r="D1538" s="410" t="n">
        <x:v>52</x:v>
      </x:c>
      <x:c r="E1538" t="str">
        <x:v>RIGHT_04</x:v>
      </x:c>
      <x:c r="F1538" t="str">
        <x:v>GoblinRanged</x:v>
      </x:c>
      <x:c r="G1538" s="410" t="n">
        <x:v>36</x:v>
      </x:c>
    </x:row>
    <x:row r="1539">
      <x:c r="A1539" t="str">
        <x:v>Stage01</x:v>
      </x:c>
      <x:c r="B1539" t="str">
        <x:v>WAVE_43</x:v>
      </x:c>
      <x:c r="C1539" s="409" t="n">
        <x:v>426.88</x:v>
      </x:c>
      <x:c r="D1539" s="410" t="n">
        <x:v>53</x:v>
      </x:c>
      <x:c r="E1539" t="str">
        <x:v>BOTTOM_05</x:v>
      </x:c>
      <x:c r="F1539" t="str">
        <x:v>GoblinMelee</x:v>
      </x:c>
      <x:c r="G1539" s="410" t="n">
        <x:v>37</x:v>
      </x:c>
    </x:row>
    <x:row r="1540">
      <x:c r="A1540" t="str">
        <x:v>Stage01</x:v>
      </x:c>
      <x:c r="B1540" t="str">
        <x:v>WAVE_43</x:v>
      </x:c>
      <x:c r="C1540" s="409" t="n">
        <x:v>427</x:v>
      </x:c>
      <x:c r="D1540" s="410" t="n">
        <x:v>54</x:v>
      </x:c>
      <x:c r="E1540" t="str">
        <x:v>LEFT_06</x:v>
      </x:c>
      <x:c r="F1540" t="str">
        <x:v>GoblinMelee</x:v>
      </x:c>
      <x:c r="G1540" s="410" t="n">
        <x:v>36</x:v>
      </x:c>
    </x:row>
    <x:row r="1541">
      <x:c r="A1541" t="str">
        <x:v>Stage01</x:v>
      </x:c>
      <x:c r="B1541" t="str">
        <x:v>WAVE_43</x:v>
      </x:c>
      <x:c r="C1541" s="409" t="n">
        <x:v>427.11</x:v>
      </x:c>
      <x:c r="D1541" s="410" t="n">
        <x:v>55</x:v>
      </x:c>
      <x:c r="E1541" t="str">
        <x:v>TOP_08</x:v>
      </x:c>
      <x:c r="F1541" t="str">
        <x:v>ShieldSkeleton</x:v>
      </x:c>
      <x:c r="G1541" s="410" t="n">
        <x:v>37</x:v>
      </x:c>
    </x:row>
    <x:row r="1542">
      <x:c r="A1542" t="str">
        <x:v>Stage01</x:v>
      </x:c>
      <x:c r="B1542" t="str">
        <x:v>WAVE_43</x:v>
      </x:c>
      <x:c r="C1542" s="409" t="n">
        <x:v>427.22</x:v>
      </x:c>
      <x:c r="D1542" s="410" t="n">
        <x:v>56</x:v>
      </x:c>
      <x:c r="E1542" t="str">
        <x:v>RIGHT_01</x:v>
      </x:c>
      <x:c r="F1542" t="str">
        <x:v>GoblinMelee</x:v>
      </x:c>
      <x:c r="G1542" s="410" t="n">
        <x:v>36</x:v>
      </x:c>
    </x:row>
    <x:row r="1543">
      <x:c r="A1543" t="str">
        <x:v>Stage01</x:v>
      </x:c>
      <x:c r="B1543" t="str">
        <x:v>WAVE_43</x:v>
      </x:c>
      <x:c r="C1543" s="409" t="n">
        <x:v>427.34</x:v>
      </x:c>
      <x:c r="D1543" s="410" t="n">
        <x:v>57</x:v>
      </x:c>
      <x:c r="E1543" t="str">
        <x:v>BOTTOM_02</x:v>
      </x:c>
      <x:c r="F1543" t="str">
        <x:v>GoblinRanged</x:v>
      </x:c>
      <x:c r="G1543" s="410" t="n">
        <x:v>36</x:v>
      </x:c>
    </x:row>
    <x:row r="1544">
      <x:c r="A1544" t="str">
        <x:v>Stage01</x:v>
      </x:c>
      <x:c r="B1544" t="str">
        <x:v>WAVE_43</x:v>
      </x:c>
      <x:c r="C1544" s="409" t="n">
        <x:v>427.45</x:v>
      </x:c>
      <x:c r="D1544" s="410" t="n">
        <x:v>58</x:v>
      </x:c>
      <x:c r="E1544" t="str">
        <x:v>LEFT_03</x:v>
      </x:c>
      <x:c r="F1544" t="str">
        <x:v>GoblinMelee</x:v>
      </x:c>
      <x:c r="G1544" s="410" t="n">
        <x:v>37</x:v>
      </x:c>
    </x:row>
    <x:row r="1545">
      <x:c r="A1545" t="str">
        <x:v>Stage01</x:v>
      </x:c>
      <x:c r="B1545" t="str">
        <x:v>WAVE_43</x:v>
      </x:c>
      <x:c r="C1545" s="409" t="n">
        <x:v>427.56</x:v>
      </x:c>
      <x:c r="D1545" s="410" t="n">
        <x:v>59</x:v>
      </x:c>
      <x:c r="E1545" t="str">
        <x:v>TOP_05</x:v>
      </x:c>
      <x:c r="F1545" t="str">
        <x:v>GoblinMelee</x:v>
      </x:c>
      <x:c r="G1545" s="410" t="n">
        <x:v>36</x:v>
      </x:c>
    </x:row>
    <x:row r="1546">
      <x:c r="A1546" t="str">
        <x:v>Stage01</x:v>
      </x:c>
      <x:c r="B1546" t="str">
        <x:v>WAVE_43</x:v>
      </x:c>
      <x:c r="C1546" s="409" t="n">
        <x:v>427.68</x:v>
      </x:c>
      <x:c r="D1546" s="410" t="n">
        <x:v>60</x:v>
      </x:c>
      <x:c r="E1546" t="str">
        <x:v>RIGHT_06</x:v>
      </x:c>
      <x:c r="F1546" t="str">
        <x:v>GoblinRanged</x:v>
      </x:c>
      <x:c r="G1546" s="410" t="n">
        <x:v>37</x:v>
      </x:c>
    </x:row>
    <x:row r="1547">
      <x:c r="A1547" t="str">
        <x:v>Stage01</x:v>
      </x:c>
      <x:c r="B1547" t="str">
        <x:v>WAVE_43</x:v>
      </x:c>
      <x:c r="C1547" s="409" t="n">
        <x:v>427.79</x:v>
      </x:c>
      <x:c r="D1547" s="410" t="n">
        <x:v>61</x:v>
      </x:c>
      <x:c r="E1547" t="str">
        <x:v>BOTTOM_07</x:v>
      </x:c>
      <x:c r="F1547" t="str">
        <x:v>GoblinMelee</x:v>
      </x:c>
      <x:c r="G1547" s="410" t="n">
        <x:v>36</x:v>
      </x:c>
    </x:row>
    <x:row r="1548">
      <x:c r="A1548" t="str">
        <x:v>Stage01</x:v>
      </x:c>
      <x:c r="B1548" t="str">
        <x:v>WAVE_43</x:v>
      </x:c>
      <x:c r="C1548" s="409" t="n">
        <x:v>427.9</x:v>
      </x:c>
      <x:c r="D1548" s="410" t="n">
        <x:v>62</x:v>
      </x:c>
      <x:c r="E1548" t="str">
        <x:v>LEFT_08</x:v>
      </x:c>
      <x:c r="F1548" t="str">
        <x:v>GoblinMelee</x:v>
      </x:c>
      <x:c r="G1548" s="410" t="n">
        <x:v>37</x:v>
      </x:c>
    </x:row>
    <x:row r="1549">
      <x:c r="A1549" t="str">
        <x:v>Stage01</x:v>
      </x:c>
      <x:c r="B1549" t="str">
        <x:v>WAVE_43</x:v>
      </x:c>
      <x:c r="C1549" s="409" t="n">
        <x:v>428.02</x:v>
      </x:c>
      <x:c r="D1549" s="410" t="n">
        <x:v>63</x:v>
      </x:c>
      <x:c r="E1549" t="str">
        <x:v>TOP_02</x:v>
      </x:c>
      <x:c r="F1549" t="str">
        <x:v>GoblinRanged</x:v>
      </x:c>
      <x:c r="G1549" s="410" t="n">
        <x:v>36</x:v>
      </x:c>
    </x:row>
    <x:row r="1550">
      <x:c r="A1550" t="str">
        <x:v>Stage01</x:v>
      </x:c>
      <x:c r="B1550" t="str">
        <x:v>WAVE_43</x:v>
      </x:c>
      <x:c r="C1550" s="409" t="n">
        <x:v>428.13</x:v>
      </x:c>
      <x:c r="D1550" s="410" t="n">
        <x:v>64</x:v>
      </x:c>
      <x:c r="E1550" t="str">
        <x:v>RIGHT_03</x:v>
      </x:c>
      <x:c r="F1550" t="str">
        <x:v>FlyingEye</x:v>
      </x:c>
      <x:c r="G1550" s="410" t="n">
        <x:v>36</x:v>
      </x:c>
    </x:row>
    <x:row r="1551">
      <x:c r="A1551" t="str">
        <x:v>Stage01</x:v>
      </x:c>
      <x:c r="B1551" t="str">
        <x:v>WAVE_43</x:v>
      </x:c>
      <x:c r="C1551" s="409" t="n">
        <x:v>428.24</x:v>
      </x:c>
      <x:c r="D1551" s="410" t="n">
        <x:v>65</x:v>
      </x:c>
      <x:c r="E1551" t="str">
        <x:v>BOTTOM_04</x:v>
      </x:c>
      <x:c r="F1551" t="str">
        <x:v>ShieldSkeleton</x:v>
      </x:c>
      <x:c r="G1551" s="410" t="n">
        <x:v>37</x:v>
      </x:c>
    </x:row>
    <x:row r="1552">
      <x:c r="A1552" t="str">
        <x:v>Stage01</x:v>
      </x:c>
      <x:c r="B1552" t="str">
        <x:v>WAVE_43</x:v>
      </x:c>
      <x:c r="C1552" s="409" t="n">
        <x:v>428.36</x:v>
      </x:c>
      <x:c r="D1552" s="410" t="n">
        <x:v>66</x:v>
      </x:c>
      <x:c r="E1552" t="str">
        <x:v>LEFT_05</x:v>
      </x:c>
      <x:c r="F1552" t="str">
        <x:v>GoblinMelee</x:v>
      </x:c>
      <x:c r="G1552" s="410" t="n">
        <x:v>36</x:v>
      </x:c>
    </x:row>
    <x:row r="1553">
      <x:c r="A1553" t="str">
        <x:v>Stage01</x:v>
      </x:c>
      <x:c r="B1553" t="str">
        <x:v>WAVE_43</x:v>
      </x:c>
      <x:c r="C1553" s="409" t="n">
        <x:v>428.47</x:v>
      </x:c>
      <x:c r="D1553" s="410" t="n">
        <x:v>67</x:v>
      </x:c>
      <x:c r="E1553" t="str">
        <x:v>TOP_07</x:v>
      </x:c>
      <x:c r="F1553" t="str">
        <x:v>GoblinMelee</x:v>
      </x:c>
      <x:c r="G1553" s="410" t="n">
        <x:v>37</x:v>
      </x:c>
    </x:row>
    <x:row r="1554">
      <x:c r="A1554" t="str">
        <x:v>Stage01</x:v>
      </x:c>
      <x:c r="B1554" t="str">
        <x:v>WAVE_43</x:v>
      </x:c>
      <x:c r="C1554" s="409" t="n">
        <x:v>428.58</x:v>
      </x:c>
      <x:c r="D1554" s="410" t="n">
        <x:v>68</x:v>
      </x:c>
      <x:c r="E1554" t="str">
        <x:v>RIGHT_08</x:v>
      </x:c>
      <x:c r="F1554" t="str">
        <x:v>GoblinRanged</x:v>
      </x:c>
      <x:c r="G1554" s="410" t="n">
        <x:v>36</x:v>
      </x:c>
    </x:row>
    <x:row r="1555">
      <x:c r="A1555" t="str">
        <x:v>Stage01</x:v>
      </x:c>
      <x:c r="B1555" t="str">
        <x:v>WAVE_43</x:v>
      </x:c>
      <x:c r="C1555" s="409" t="n">
        <x:v>428.69</x:v>
      </x:c>
      <x:c r="D1555" s="410" t="n">
        <x:v>69</x:v>
      </x:c>
      <x:c r="E1555" t="str">
        <x:v>BOTTOM_01</x:v>
      </x:c>
      <x:c r="F1555" t="str">
        <x:v>GoblinMelee</x:v>
      </x:c>
      <x:c r="G1555" s="410" t="n">
        <x:v>37</x:v>
      </x:c>
    </x:row>
    <x:row r="1556">
      <x:c r="A1556" t="str">
        <x:v>Stage01</x:v>
      </x:c>
      <x:c r="B1556" t="str">
        <x:v>WAVE_43</x:v>
      </x:c>
      <x:c r="C1556" s="409" t="n">
        <x:v>428.81</x:v>
      </x:c>
      <x:c r="D1556" s="410" t="n">
        <x:v>70</x:v>
      </x:c>
      <x:c r="E1556" t="str">
        <x:v>LEFT_02</x:v>
      </x:c>
      <x:c r="F1556" t="str">
        <x:v>GoblinMelee</x:v>
      </x:c>
      <x:c r="G1556" s="410" t="n">
        <x:v>36</x:v>
      </x:c>
    </x:row>
    <x:row r="1557">
      <x:c r="A1557" t="str">
        <x:v>Stage01</x:v>
      </x:c>
      <x:c r="B1557" t="str">
        <x:v>WAVE_43</x:v>
      </x:c>
      <x:c r="C1557" s="409" t="n">
        <x:v>428.92</x:v>
      </x:c>
      <x:c r="D1557" s="410" t="n">
        <x:v>71</x:v>
      </x:c>
      <x:c r="E1557" t="str">
        <x:v>TOP_04</x:v>
      </x:c>
      <x:c r="F1557" t="str">
        <x:v>GoblinRanged</x:v>
      </x:c>
      <x:c r="G1557" s="410" t="n">
        <x:v>36</x:v>
      </x:c>
    </x:row>
    <x:row r="1558">
      <x:c r="A1558" t="str">
        <x:v>Stage01</x:v>
      </x:c>
      <x:c r="B1558" t="str">
        <x:v>WAVE_43</x:v>
      </x:c>
      <x:c r="C1558" s="409" t="n">
        <x:v>429.03</x:v>
      </x:c>
      <x:c r="D1558" s="410" t="n">
        <x:v>72</x:v>
      </x:c>
      <x:c r="E1558" t="str">
        <x:v>RIGHT_05</x:v>
      </x:c>
      <x:c r="F1558" t="str">
        <x:v>GoblinMelee</x:v>
      </x:c>
      <x:c r="G1558" s="410" t="n">
        <x:v>37</x:v>
      </x:c>
    </x:row>
    <x:row r="1559">
      <x:c r="A1559" t="str">
        <x:v>Stage01</x:v>
      </x:c>
      <x:c r="B1559" t="str">
        <x:v>WAVE_43</x:v>
      </x:c>
      <x:c r="C1559" s="409" t="n">
        <x:v>429.15</x:v>
      </x:c>
      <x:c r="D1559" s="410" t="n">
        <x:v>73</x:v>
      </x:c>
      <x:c r="E1559" t="str">
        <x:v>BOTTOM_06</x:v>
      </x:c>
      <x:c r="F1559" t="str">
        <x:v>ShieldSkeleton</x:v>
      </x:c>
      <x:c r="G1559" s="410" t="n">
        <x:v>36</x:v>
      </x:c>
    </x:row>
    <x:row r="1560">
      <x:c r="A1560" t="str">
        <x:v>Stage01</x:v>
      </x:c>
      <x:c r="B1560" t="str">
        <x:v>WAVE_43</x:v>
      </x:c>
      <x:c r="C1560" s="409" t="n">
        <x:v>429.26</x:v>
      </x:c>
      <x:c r="D1560" s="410" t="n">
        <x:v>74</x:v>
      </x:c>
      <x:c r="E1560" t="str">
        <x:v>LEFT_07</x:v>
      </x:c>
      <x:c r="F1560" t="str">
        <x:v>GoblinMelee</x:v>
      </x:c>
      <x:c r="G1560" s="410" t="n">
        <x:v>37</x:v>
      </x:c>
    </x:row>
    <x:row r="1561">
      <x:c r="A1561" t="str">
        <x:v>Stage01</x:v>
      </x:c>
      <x:c r="B1561" t="str">
        <x:v>WAVE_43</x:v>
      </x:c>
      <x:c r="C1561" s="409" t="n">
        <x:v>429.37</x:v>
      </x:c>
      <x:c r="D1561" s="410" t="n">
        <x:v>75</x:v>
      </x:c>
      <x:c r="E1561" t="str">
        <x:v>TOP_01</x:v>
      </x:c>
      <x:c r="F1561" t="str">
        <x:v>GoblinMelee</x:v>
      </x:c>
      <x:c r="G1561" s="410" t="n">
        <x:v>36</x:v>
      </x:c>
    </x:row>
    <x:row r="1562">
      <x:c r="A1562" t="str">
        <x:v>Stage01</x:v>
      </x:c>
      <x:c r="B1562" t="str">
        <x:v>WAVE_43</x:v>
      </x:c>
      <x:c r="C1562" s="409" t="n">
        <x:v>429.49</x:v>
      </x:c>
      <x:c r="D1562" s="410" t="n">
        <x:v>76</x:v>
      </x:c>
      <x:c r="E1562" t="str">
        <x:v>RIGHT_02</x:v>
      </x:c>
      <x:c r="F1562" t="str">
        <x:v>GoblinRanged</x:v>
      </x:c>
      <x:c r="G1562" s="410" t="n">
        <x:v>37</x:v>
      </x:c>
    </x:row>
    <x:row r="1563">
      <x:c r="A1563" t="str">
        <x:v>Stage01</x:v>
      </x:c>
      <x:c r="B1563" t="str">
        <x:v>WAVE_43</x:v>
      </x:c>
      <x:c r="C1563" s="409" t="n">
        <x:v>429.6</x:v>
      </x:c>
      <x:c r="D1563" s="410" t="n">
        <x:v>77</x:v>
      </x:c>
      <x:c r="E1563" t="str">
        <x:v>BOTTOM_03</x:v>
      </x:c>
      <x:c r="F1563" t="str">
        <x:v>FlyingEye</x:v>
      </x:c>
      <x:c r="G1563" s="410" t="n">
        <x:v>36</x:v>
      </x:c>
    </x:row>
    <x:row r="1564">
      <x:c r="A1564" t="str">
        <x:v>Stage01</x:v>
      </x:c>
      <x:c r="B1564" t="str">
        <x:v>WAVE_44</x:v>
      </x:c>
      <x:c r="C1564" s="409" t="n">
        <x:v>431</x:v>
      </x:c>
      <x:c r="D1564" s="410" t="n">
        <x:v>1</x:v>
      </x:c>
      <x:c r="E1564" t="str">
        <x:v>BOTTOM_06</x:v>
      </x:c>
      <x:c r="F1564" t="str">
        <x:v>GoblinMelee</x:v>
      </x:c>
      <x:c r="G1564" s="410" t="n">
        <x:v>37</x:v>
      </x:c>
    </x:row>
    <x:row r="1565">
      <x:c r="A1565" t="str">
        <x:v>Stage01</x:v>
      </x:c>
      <x:c r="B1565" t="str">
        <x:v>WAVE_44</x:v>
      </x:c>
      <x:c r="C1565" s="409" t="n">
        <x:v>431.11</x:v>
      </x:c>
      <x:c r="D1565" s="410" t="n">
        <x:v>2</x:v>
      </x:c>
      <x:c r="E1565" t="str">
        <x:v>LEFT_07</x:v>
      </x:c>
      <x:c r="F1565" t="str">
        <x:v>GoblinRanged</x:v>
      </x:c>
      <x:c r="G1565" s="410" t="n">
        <x:v>38</x:v>
      </x:c>
    </x:row>
    <x:row r="1566">
      <x:c r="A1566" t="str">
        <x:v>Stage01</x:v>
      </x:c>
      <x:c r="B1566" t="str">
        <x:v>WAVE_44</x:v>
      </x:c>
      <x:c r="C1566" s="409" t="n">
        <x:v>431.22</x:v>
      </x:c>
      <x:c r="D1566" s="410" t="n">
        <x:v>3</x:v>
      </x:c>
      <x:c r="E1566" t="str">
        <x:v>TOP_01</x:v>
      </x:c>
      <x:c r="F1566" t="str">
        <x:v>GoblinMelee</x:v>
      </x:c>
      <x:c r="G1566" s="410" t="n">
        <x:v>37</x:v>
      </x:c>
    </x:row>
    <x:row r="1567">
      <x:c r="A1567" t="str">
        <x:v>Stage01</x:v>
      </x:c>
      <x:c r="B1567" t="str">
        <x:v>WAVE_44</x:v>
      </x:c>
      <x:c r="C1567" s="409" t="n">
        <x:v>431.33</x:v>
      </x:c>
      <x:c r="D1567" s="410" t="n">
        <x:v>4</x:v>
      </x:c>
      <x:c r="E1567" t="str">
        <x:v>RIGHT_02</x:v>
      </x:c>
      <x:c r="F1567" t="str">
        <x:v>ShieldSkeleton</x:v>
      </x:c>
      <x:c r="G1567" s="410" t="n">
        <x:v>38</x:v>
      </x:c>
    </x:row>
    <x:row r="1568">
      <x:c r="A1568" t="str">
        <x:v>Stage01</x:v>
      </x:c>
      <x:c r="B1568" t="str">
        <x:v>WAVE_44</x:v>
      </x:c>
      <x:c r="C1568" s="409" t="n">
        <x:v>431.44</x:v>
      </x:c>
      <x:c r="D1568" s="410" t="n">
        <x:v>5</x:v>
      </x:c>
      <x:c r="E1568" t="str">
        <x:v>BOTTOM_03</x:v>
      </x:c>
      <x:c r="F1568" t="str">
        <x:v>GoblinMelee</x:v>
      </x:c>
      <x:c r="G1568" s="410" t="n">
        <x:v>37</x:v>
      </x:c>
    </x:row>
    <x:row r="1569">
      <x:c r="A1569" t="str">
        <x:v>Stage01</x:v>
      </x:c>
      <x:c r="B1569" t="str">
        <x:v>WAVE_44</x:v>
      </x:c>
      <x:c r="C1569" s="409" t="n">
        <x:v>431.54</x:v>
      </x:c>
      <x:c r="D1569" s="410" t="n">
        <x:v>6</x:v>
      </x:c>
      <x:c r="E1569" t="str">
        <x:v>LEFT_04</x:v>
      </x:c>
      <x:c r="F1569" t="str">
        <x:v>GoblinMelee</x:v>
      </x:c>
      <x:c r="G1569" s="410" t="n">
        <x:v>38</x:v>
      </x:c>
    </x:row>
    <x:row r="1570">
      <x:c r="A1570" t="str">
        <x:v>Stage01</x:v>
      </x:c>
      <x:c r="B1570" t="str">
        <x:v>WAVE_44</x:v>
      </x:c>
      <x:c r="C1570" s="409" t="n">
        <x:v>431.65</x:v>
      </x:c>
      <x:c r="D1570" s="410" t="n">
        <x:v>7</x:v>
      </x:c>
      <x:c r="E1570" t="str">
        <x:v>TOP_06</x:v>
      </x:c>
      <x:c r="F1570" t="str">
        <x:v>GoblinRanged</x:v>
      </x:c>
      <x:c r="G1570" s="410" t="n">
        <x:v>37</x:v>
      </x:c>
    </x:row>
    <x:row r="1571">
      <x:c r="A1571" t="str">
        <x:v>Stage01</x:v>
      </x:c>
      <x:c r="B1571" t="str">
        <x:v>WAVE_44</x:v>
      </x:c>
      <x:c r="C1571" s="409" t="n">
        <x:v>431.76</x:v>
      </x:c>
      <x:c r="D1571" s="410" t="n">
        <x:v>8</x:v>
      </x:c>
      <x:c r="E1571" t="str">
        <x:v>RIGHT_07</x:v>
      </x:c>
      <x:c r="F1571" t="str">
        <x:v>GoblinMelee</x:v>
      </x:c>
      <x:c r="G1571" s="410" t="n">
        <x:v>38</x:v>
      </x:c>
    </x:row>
    <x:row r="1572">
      <x:c r="A1572" t="str">
        <x:v>Stage01</x:v>
      </x:c>
      <x:c r="B1572" t="str">
        <x:v>WAVE_44</x:v>
      </x:c>
      <x:c r="C1572" s="409" t="n">
        <x:v>431.87</x:v>
      </x:c>
      <x:c r="D1572" s="410" t="n">
        <x:v>9</x:v>
      </x:c>
      <x:c r="E1572" t="str">
        <x:v>BOTTOM_08</x:v>
      </x:c>
      <x:c r="F1572" t="str">
        <x:v>GoblinMelee</x:v>
      </x:c>
      <x:c r="G1572" s="410" t="n">
        <x:v>37</x:v>
      </x:c>
    </x:row>
    <x:row r="1573">
      <x:c r="A1573" t="str">
        <x:v>Stage01</x:v>
      </x:c>
      <x:c r="B1573" t="str">
        <x:v>WAVE_44</x:v>
      </x:c>
      <x:c r="C1573" s="409" t="n">
        <x:v>431.98</x:v>
      </x:c>
      <x:c r="D1573" s="410" t="n">
        <x:v>10</x:v>
      </x:c>
      <x:c r="E1573" t="str">
        <x:v>LEFT_01</x:v>
      </x:c>
      <x:c r="F1573" t="str">
        <x:v>GoblinRanged</x:v>
      </x:c>
      <x:c r="G1573" s="410" t="n">
        <x:v>38</x:v>
      </x:c>
    </x:row>
    <x:row r="1574">
      <x:c r="A1574" t="str">
        <x:v>Stage01</x:v>
      </x:c>
      <x:c r="B1574" t="str">
        <x:v>WAVE_44</x:v>
      </x:c>
      <x:c r="C1574" s="409" t="n">
        <x:v>432.09</x:v>
      </x:c>
      <x:c r="D1574" s="410" t="n">
        <x:v>11</x:v>
      </x:c>
      <x:c r="E1574" t="str">
        <x:v>TOP_03</x:v>
      </x:c>
      <x:c r="F1574" t="str">
        <x:v>GoblinMelee</x:v>
      </x:c>
      <x:c r="G1574" s="410" t="n">
        <x:v>37</x:v>
      </x:c>
    </x:row>
    <x:row r="1575">
      <x:c r="A1575" t="str">
        <x:v>Stage01</x:v>
      </x:c>
      <x:c r="B1575" t="str">
        <x:v>WAVE_44</x:v>
      </x:c>
      <x:c r="C1575" s="409" t="n">
        <x:v>432.2</x:v>
      </x:c>
      <x:c r="D1575" s="410" t="n">
        <x:v>12</x:v>
      </x:c>
      <x:c r="E1575" t="str">
        <x:v>RIGHT_04</x:v>
      </x:c>
      <x:c r="F1575" t="str">
        <x:v>ShieldSkeleton</x:v>
      </x:c>
      <x:c r="G1575" s="410" t="n">
        <x:v>38</x:v>
      </x:c>
    </x:row>
    <x:row r="1576">
      <x:c r="A1576" t="str">
        <x:v>Stage01</x:v>
      </x:c>
      <x:c r="B1576" t="str">
        <x:v>WAVE_44</x:v>
      </x:c>
      <x:c r="C1576" s="409" t="n">
        <x:v>432.31</x:v>
      </x:c>
      <x:c r="D1576" s="410" t="n">
        <x:v>13</x:v>
      </x:c>
      <x:c r="E1576" t="str">
        <x:v>BOTTOM_05</x:v>
      </x:c>
      <x:c r="F1576" t="str">
        <x:v>FlyingEye</x:v>
      </x:c>
      <x:c r="G1576" s="410" t="n">
        <x:v>37</x:v>
      </x:c>
    </x:row>
    <x:row r="1577">
      <x:c r="A1577" t="str">
        <x:v>Stage01</x:v>
      </x:c>
      <x:c r="B1577" t="str">
        <x:v>WAVE_44</x:v>
      </x:c>
      <x:c r="C1577" s="409" t="n">
        <x:v>432.42</x:v>
      </x:c>
      <x:c r="D1577" s="410" t="n">
        <x:v>14</x:v>
      </x:c>
      <x:c r="E1577" t="str">
        <x:v>LEFT_06</x:v>
      </x:c>
      <x:c r="F1577" t="str">
        <x:v>GoblinRanged</x:v>
      </x:c>
      <x:c r="G1577" s="410" t="n">
        <x:v>37</x:v>
      </x:c>
    </x:row>
    <x:row r="1578">
      <x:c r="A1578" t="str">
        <x:v>Stage01</x:v>
      </x:c>
      <x:c r="B1578" t="str">
        <x:v>WAVE_44</x:v>
      </x:c>
      <x:c r="C1578" s="409" t="n">
        <x:v>432.52</x:v>
      </x:c>
      <x:c r="D1578" s="410" t="n">
        <x:v>15</x:v>
      </x:c>
      <x:c r="E1578" t="str">
        <x:v>TOP_08</x:v>
      </x:c>
      <x:c r="F1578" t="str">
        <x:v>GoblinMelee</x:v>
      </x:c>
      <x:c r="G1578" s="410" t="n">
        <x:v>38</x:v>
      </x:c>
    </x:row>
    <x:row r="1579">
      <x:c r="A1579" t="str">
        <x:v>Stage01</x:v>
      </x:c>
      <x:c r="B1579" t="str">
        <x:v>WAVE_44</x:v>
      </x:c>
      <x:c r="C1579" s="409" t="n">
        <x:v>432.63</x:v>
      </x:c>
      <x:c r="D1579" s="410" t="n">
        <x:v>16</x:v>
      </x:c>
      <x:c r="E1579" t="str">
        <x:v>RIGHT_01</x:v>
      </x:c>
      <x:c r="F1579" t="str">
        <x:v>GoblinMelee</x:v>
      </x:c>
      <x:c r="G1579" s="410" t="n">
        <x:v>37</x:v>
      </x:c>
    </x:row>
    <x:row r="1580">
      <x:c r="A1580" t="str">
        <x:v>Stage01</x:v>
      </x:c>
      <x:c r="B1580" t="str">
        <x:v>WAVE_44</x:v>
      </x:c>
      <x:c r="C1580" s="409" t="n">
        <x:v>432.74</x:v>
      </x:c>
      <x:c r="D1580" s="410" t="n">
        <x:v>17</x:v>
      </x:c>
      <x:c r="E1580" t="str">
        <x:v>BOTTOM_02</x:v>
      </x:c>
      <x:c r="F1580" t="str">
        <x:v>GoblinRanged</x:v>
      </x:c>
      <x:c r="G1580" s="410" t="n">
        <x:v>38</x:v>
      </x:c>
    </x:row>
    <x:row r="1581">
      <x:c r="A1581" t="str">
        <x:v>Stage01</x:v>
      </x:c>
      <x:c r="B1581" t="str">
        <x:v>WAVE_44</x:v>
      </x:c>
      <x:c r="C1581" s="409" t="n">
        <x:v>432.85</x:v>
      </x:c>
      <x:c r="D1581" s="410" t="n">
        <x:v>18</x:v>
      </x:c>
      <x:c r="E1581" t="str">
        <x:v>LEFT_03</x:v>
      </x:c>
      <x:c r="F1581" t="str">
        <x:v>GoblinMelee</x:v>
      </x:c>
      <x:c r="G1581" s="410" t="n">
        <x:v>37</x:v>
      </x:c>
    </x:row>
    <x:row r="1582">
      <x:c r="A1582" t="str">
        <x:v>Stage01</x:v>
      </x:c>
      <x:c r="B1582" t="str">
        <x:v>WAVE_44</x:v>
      </x:c>
      <x:c r="C1582" s="409" t="n">
        <x:v>432.96</x:v>
      </x:c>
      <x:c r="D1582" s="410" t="n">
        <x:v>19</x:v>
      </x:c>
      <x:c r="E1582" t="str">
        <x:v>TOP_05</x:v>
      </x:c>
      <x:c r="F1582" t="str">
        <x:v>GoblinMelee</x:v>
      </x:c>
      <x:c r="G1582" s="410" t="n">
        <x:v>38</x:v>
      </x:c>
    </x:row>
    <x:row r="1583">
      <x:c r="A1583" t="str">
        <x:v>Stage01</x:v>
      </x:c>
      <x:c r="B1583" t="str">
        <x:v>WAVE_44</x:v>
      </x:c>
      <x:c r="C1583" s="409" t="n">
        <x:v>433.07</x:v>
      </x:c>
      <x:c r="D1583" s="410" t="n">
        <x:v>20</x:v>
      </x:c>
      <x:c r="E1583" t="str">
        <x:v>RIGHT_06</x:v>
      </x:c>
      <x:c r="F1583" t="str">
        <x:v>ShieldSkeleton</x:v>
      </x:c>
      <x:c r="G1583" s="410" t="n">
        <x:v>37</x:v>
      </x:c>
    </x:row>
    <x:row r="1584">
      <x:c r="A1584" t="str">
        <x:v>Stage01</x:v>
      </x:c>
      <x:c r="B1584" t="str">
        <x:v>WAVE_44</x:v>
      </x:c>
      <x:c r="C1584" s="409" t="n">
        <x:v>433.18</x:v>
      </x:c>
      <x:c r="D1584" s="410" t="n">
        <x:v>21</x:v>
      </x:c>
      <x:c r="E1584" t="str">
        <x:v>BOTTOM_07</x:v>
      </x:c>
      <x:c r="F1584" t="str">
        <x:v>GoblinMelee</x:v>
      </x:c>
      <x:c r="G1584" s="410" t="n">
        <x:v>38</x:v>
      </x:c>
    </x:row>
    <x:row r="1585">
      <x:c r="A1585" t="str">
        <x:v>Stage01</x:v>
      </x:c>
      <x:c r="B1585" t="str">
        <x:v>WAVE_44</x:v>
      </x:c>
      <x:c r="C1585" s="409" t="n">
        <x:v>433.29</x:v>
      </x:c>
      <x:c r="D1585" s="410" t="n">
        <x:v>22</x:v>
      </x:c>
      <x:c r="E1585" t="str">
        <x:v>LEFT_08</x:v>
      </x:c>
      <x:c r="F1585" t="str">
        <x:v>GoblinRanged</x:v>
      </x:c>
      <x:c r="G1585" s="410" t="n">
        <x:v>37</x:v>
      </x:c>
    </x:row>
    <x:row r="1586">
      <x:c r="A1586" t="str">
        <x:v>Stage01</x:v>
      </x:c>
      <x:c r="B1586" t="str">
        <x:v>WAVE_44</x:v>
      </x:c>
      <x:c r="C1586" s="409" t="n">
        <x:v>433.39</x:v>
      </x:c>
      <x:c r="D1586" s="410" t="n">
        <x:v>23</x:v>
      </x:c>
      <x:c r="E1586" t="str">
        <x:v>TOP_02</x:v>
      </x:c>
      <x:c r="F1586" t="str">
        <x:v>GoblinMelee</x:v>
      </x:c>
      <x:c r="G1586" s="410" t="n">
        <x:v>38</x:v>
      </x:c>
    </x:row>
    <x:row r="1587">
      <x:c r="A1587" t="str">
        <x:v>Stage01</x:v>
      </x:c>
      <x:c r="B1587" t="str">
        <x:v>WAVE_44</x:v>
      </x:c>
      <x:c r="C1587" s="409" t="n">
        <x:v>433.5</x:v>
      </x:c>
      <x:c r="D1587" s="410" t="n">
        <x:v>24</x:v>
      </x:c>
      <x:c r="E1587" t="str">
        <x:v>RIGHT_03</x:v>
      </x:c>
      <x:c r="F1587" t="str">
        <x:v>GoblinMelee</x:v>
      </x:c>
      <x:c r="G1587" s="410" t="n">
        <x:v>37</x:v>
      </x:c>
    </x:row>
    <x:row r="1588">
      <x:c r="A1588" t="str">
        <x:v>Stage01</x:v>
      </x:c>
      <x:c r="B1588" t="str">
        <x:v>WAVE_44</x:v>
      </x:c>
      <x:c r="C1588" s="409" t="n">
        <x:v>433.61</x:v>
      </x:c>
      <x:c r="D1588" s="410" t="n">
        <x:v>25</x:v>
      </x:c>
      <x:c r="E1588" t="str">
        <x:v>BOTTOM_04</x:v>
      </x:c>
      <x:c r="F1588" t="str">
        <x:v>GoblinRanged</x:v>
      </x:c>
      <x:c r="G1588" s="410" t="n">
        <x:v>38</x:v>
      </x:c>
    </x:row>
    <x:row r="1589">
      <x:c r="A1589" t="str">
        <x:v>Stage01</x:v>
      </x:c>
      <x:c r="B1589" t="str">
        <x:v>WAVE_44</x:v>
      </x:c>
      <x:c r="C1589" s="409" t="n">
        <x:v>433.72</x:v>
      </x:c>
      <x:c r="D1589" s="410" t="n">
        <x:v>26</x:v>
      </x:c>
      <x:c r="E1589" t="str">
        <x:v>LEFT_05</x:v>
      </x:c>
      <x:c r="F1589" t="str">
        <x:v>FlyingEye</x:v>
      </x:c>
      <x:c r="G1589" s="410" t="n">
        <x:v>37</x:v>
      </x:c>
    </x:row>
    <x:row r="1590">
      <x:c r="A1590" t="str">
        <x:v>Stage01</x:v>
      </x:c>
      <x:c r="B1590" t="str">
        <x:v>WAVE_44</x:v>
      </x:c>
      <x:c r="C1590" s="409" t="n">
        <x:v>433.83</x:v>
      </x:c>
      <x:c r="D1590" s="410" t="n">
        <x:v>27</x:v>
      </x:c>
      <x:c r="E1590" t="str">
        <x:v>TOP_07</x:v>
      </x:c>
      <x:c r="F1590" t="str">
        <x:v>GoblinMelee</x:v>
      </x:c>
      <x:c r="G1590" s="410" t="n">
        <x:v>37</x:v>
      </x:c>
    </x:row>
    <x:row r="1591">
      <x:c r="A1591" t="str">
        <x:v>Stage01</x:v>
      </x:c>
      <x:c r="B1591" t="str">
        <x:v>WAVE_44</x:v>
      </x:c>
      <x:c r="C1591" s="409" t="n">
        <x:v>433.94</x:v>
      </x:c>
      <x:c r="D1591" s="410" t="n">
        <x:v>28</x:v>
      </x:c>
      <x:c r="E1591" t="str">
        <x:v>RIGHT_08</x:v>
      </x:c>
      <x:c r="F1591" t="str">
        <x:v>ShieldSkeleton</x:v>
      </x:c>
      <x:c r="G1591" s="410" t="n">
        <x:v>38</x:v>
      </x:c>
    </x:row>
    <x:row r="1592">
      <x:c r="A1592" t="str">
        <x:v>Stage01</x:v>
      </x:c>
      <x:c r="B1592" t="str">
        <x:v>WAVE_44</x:v>
      </x:c>
      <x:c r="C1592" s="409" t="n">
        <x:v>434.05</x:v>
      </x:c>
      <x:c r="D1592" s="410" t="n">
        <x:v>29</x:v>
      </x:c>
      <x:c r="E1592" t="str">
        <x:v>BOTTOM_01</x:v>
      </x:c>
      <x:c r="F1592" t="str">
        <x:v>GoblinMelee</x:v>
      </x:c>
      <x:c r="G1592" s="410" t="n">
        <x:v>37</x:v>
      </x:c>
    </x:row>
    <x:row r="1593">
      <x:c r="A1593" t="str">
        <x:v>Stage01</x:v>
      </x:c>
      <x:c r="B1593" t="str">
        <x:v>WAVE_44</x:v>
      </x:c>
      <x:c r="C1593" s="409" t="n">
        <x:v>434.16</x:v>
      </x:c>
      <x:c r="D1593" s="410" t="n">
        <x:v>30</x:v>
      </x:c>
      <x:c r="E1593" t="str">
        <x:v>LEFT_02</x:v>
      </x:c>
      <x:c r="F1593" t="str">
        <x:v>GoblinRanged</x:v>
      </x:c>
      <x:c r="G1593" s="410" t="n">
        <x:v>38</x:v>
      </x:c>
    </x:row>
    <x:row r="1594">
      <x:c r="A1594" t="str">
        <x:v>Stage01</x:v>
      </x:c>
      <x:c r="B1594" t="str">
        <x:v>WAVE_44</x:v>
      </x:c>
      <x:c r="C1594" s="409" t="n">
        <x:v>434.27</x:v>
      </x:c>
      <x:c r="D1594" s="410" t="n">
        <x:v>31</x:v>
      </x:c>
      <x:c r="E1594" t="str">
        <x:v>TOP_04</x:v>
      </x:c>
      <x:c r="F1594" t="str">
        <x:v>GoblinMelee</x:v>
      </x:c>
      <x:c r="G1594" s="410" t="n">
        <x:v>37</x:v>
      </x:c>
    </x:row>
    <x:row r="1595">
      <x:c r="A1595" t="str">
        <x:v>Stage01</x:v>
      </x:c>
      <x:c r="B1595" t="str">
        <x:v>WAVE_44</x:v>
      </x:c>
      <x:c r="C1595" s="409" t="n">
        <x:v>434.37</x:v>
      </x:c>
      <x:c r="D1595" s="410" t="n">
        <x:v>32</x:v>
      </x:c>
      <x:c r="E1595" t="str">
        <x:v>RIGHT_05</x:v>
      </x:c>
      <x:c r="F1595" t="str">
        <x:v>GoblinMelee</x:v>
      </x:c>
      <x:c r="G1595" s="410" t="n">
        <x:v>38</x:v>
      </x:c>
    </x:row>
    <x:row r="1596">
      <x:c r="A1596" t="str">
        <x:v>Stage01</x:v>
      </x:c>
      <x:c r="B1596" t="str">
        <x:v>WAVE_44</x:v>
      </x:c>
      <x:c r="C1596" s="409" t="n">
        <x:v>434.48</x:v>
      </x:c>
      <x:c r="D1596" s="410" t="n">
        <x:v>33</x:v>
      </x:c>
      <x:c r="E1596" t="str">
        <x:v>BOTTOM_06</x:v>
      </x:c>
      <x:c r="F1596" t="str">
        <x:v>GoblinRanged</x:v>
      </x:c>
      <x:c r="G1596" s="410" t="n">
        <x:v>37</x:v>
      </x:c>
    </x:row>
    <x:row r="1597">
      <x:c r="A1597" t="str">
        <x:v>Stage01</x:v>
      </x:c>
      <x:c r="B1597" t="str">
        <x:v>WAVE_44</x:v>
      </x:c>
      <x:c r="C1597" s="409" t="n">
        <x:v>434.59</x:v>
      </x:c>
      <x:c r="D1597" s="410" t="n">
        <x:v>34</x:v>
      </x:c>
      <x:c r="E1597" t="str">
        <x:v>LEFT_07</x:v>
      </x:c>
      <x:c r="F1597" t="str">
        <x:v>GoblinMelee</x:v>
      </x:c>
      <x:c r="G1597" s="410" t="n">
        <x:v>38</x:v>
      </x:c>
    </x:row>
    <x:row r="1598">
      <x:c r="A1598" t="str">
        <x:v>Stage01</x:v>
      </x:c>
      <x:c r="B1598" t="str">
        <x:v>WAVE_44</x:v>
      </x:c>
      <x:c r="C1598" s="409" t="n">
        <x:v>434.7</x:v>
      </x:c>
      <x:c r="D1598" s="410" t="n">
        <x:v>35</x:v>
      </x:c>
      <x:c r="E1598" t="str">
        <x:v>TOP_01</x:v>
      </x:c>
      <x:c r="F1598" t="str">
        <x:v>GoblinMelee</x:v>
      </x:c>
      <x:c r="G1598" s="410" t="n">
        <x:v>37</x:v>
      </x:c>
    </x:row>
    <x:row r="1599">
      <x:c r="A1599" t="str">
        <x:v>Stage01</x:v>
      </x:c>
      <x:c r="B1599" t="str">
        <x:v>WAVE_44</x:v>
      </x:c>
      <x:c r="C1599" s="409" t="n">
        <x:v>434.81</x:v>
      </x:c>
      <x:c r="D1599" s="410" t="n">
        <x:v>36</x:v>
      </x:c>
      <x:c r="E1599" t="str">
        <x:v>RIGHT_02</x:v>
      </x:c>
      <x:c r="F1599" t="str">
        <x:v>ShieldSkeleton</x:v>
      </x:c>
      <x:c r="G1599" s="410" t="n">
        <x:v>38</x:v>
      </x:c>
    </x:row>
    <x:row r="1600">
      <x:c r="A1600" t="str">
        <x:v>Stage01</x:v>
      </x:c>
      <x:c r="B1600" t="str">
        <x:v>WAVE_44</x:v>
      </x:c>
      <x:c r="C1600" s="409" t="n">
        <x:v>434.92</x:v>
      </x:c>
      <x:c r="D1600" s="410" t="n">
        <x:v>37</x:v>
      </x:c>
      <x:c r="E1600" t="str">
        <x:v>BOTTOM_03</x:v>
      </x:c>
      <x:c r="F1600" t="str">
        <x:v>GoblinRanged</x:v>
      </x:c>
      <x:c r="G1600" s="410" t="n">
        <x:v>37</x:v>
      </x:c>
    </x:row>
    <x:row r="1601">
      <x:c r="A1601" t="str">
        <x:v>Stage01</x:v>
      </x:c>
      <x:c r="B1601" t="str">
        <x:v>WAVE_44</x:v>
      </x:c>
      <x:c r="C1601" s="409" t="n">
        <x:v>435.03</x:v>
      </x:c>
      <x:c r="D1601" s="410" t="n">
        <x:v>38</x:v>
      </x:c>
      <x:c r="E1601" t="str">
        <x:v>LEFT_04</x:v>
      </x:c>
      <x:c r="F1601" t="str">
        <x:v>GoblinMelee</x:v>
      </x:c>
      <x:c r="G1601" s="410" t="n">
        <x:v>38</x:v>
      </x:c>
    </x:row>
    <x:row r="1602">
      <x:c r="A1602" t="str">
        <x:v>Stage01</x:v>
      </x:c>
      <x:c r="B1602" t="str">
        <x:v>WAVE_44</x:v>
      </x:c>
      <x:c r="C1602" s="409" t="n">
        <x:v>435.14</x:v>
      </x:c>
      <x:c r="D1602" s="410" t="n">
        <x:v>39</x:v>
      </x:c>
      <x:c r="E1602" t="str">
        <x:v>TOP_06</x:v>
      </x:c>
      <x:c r="F1602" t="str">
        <x:v>FlyingEye</x:v>
      </x:c>
      <x:c r="G1602" s="410" t="n">
        <x:v>37</x:v>
      </x:c>
    </x:row>
    <x:row r="1603">
      <x:c r="A1603" t="str">
        <x:v>Stage01</x:v>
      </x:c>
      <x:c r="B1603" t="str">
        <x:v>WAVE_44</x:v>
      </x:c>
      <x:c r="C1603" s="409" t="n">
        <x:v>435.25</x:v>
      </x:c>
      <x:c r="D1603" s="410" t="n">
        <x:v>40</x:v>
      </x:c>
      <x:c r="E1603" t="str">
        <x:v>RIGHT_07</x:v>
      </x:c>
      <x:c r="F1603" t="str">
        <x:v>GoblinMelee</x:v>
      </x:c>
      <x:c r="G1603" s="410" t="n">
        <x:v>37</x:v>
      </x:c>
    </x:row>
    <x:row r="1604">
      <x:c r="A1604" t="str">
        <x:v>Stage01</x:v>
      </x:c>
      <x:c r="B1604" t="str">
        <x:v>WAVE_44</x:v>
      </x:c>
      <x:c r="C1604" s="409" t="n">
        <x:v>435.35</x:v>
      </x:c>
      <x:c r="D1604" s="410" t="n">
        <x:v>41</x:v>
      </x:c>
      <x:c r="E1604" t="str">
        <x:v>BOTTOM_08</x:v>
      </x:c>
      <x:c r="F1604" t="str">
        <x:v>GoblinRanged</x:v>
      </x:c>
      <x:c r="G1604" s="410" t="n">
        <x:v>38</x:v>
      </x:c>
    </x:row>
    <x:row r="1605">
      <x:c r="A1605" t="str">
        <x:v>Stage01</x:v>
      </x:c>
      <x:c r="B1605" t="str">
        <x:v>WAVE_44</x:v>
      </x:c>
      <x:c r="C1605" s="409" t="n">
        <x:v>435.46</x:v>
      </x:c>
      <x:c r="D1605" s="410" t="n">
        <x:v>42</x:v>
      </x:c>
      <x:c r="E1605" t="str">
        <x:v>LEFT_01</x:v>
      </x:c>
      <x:c r="F1605" t="str">
        <x:v>GoblinMelee</x:v>
      </x:c>
      <x:c r="G1605" s="410" t="n">
        <x:v>37</x:v>
      </x:c>
    </x:row>
    <x:row r="1606">
      <x:c r="A1606" t="str">
        <x:v>Stage01</x:v>
      </x:c>
      <x:c r="B1606" t="str">
        <x:v>WAVE_44</x:v>
      </x:c>
      <x:c r="C1606" s="409" t="n">
        <x:v>435.57</x:v>
      </x:c>
      <x:c r="D1606" s="410" t="n">
        <x:v>43</x:v>
      </x:c>
      <x:c r="E1606" t="str">
        <x:v>TOP_03</x:v>
      </x:c>
      <x:c r="F1606" t="str">
        <x:v>ShieldSkeleton</x:v>
      </x:c>
      <x:c r="G1606" s="410" t="n">
        <x:v>38</x:v>
      </x:c>
    </x:row>
    <x:row r="1607">
      <x:c r="A1607" t="str">
        <x:v>Stage01</x:v>
      </x:c>
      <x:c r="B1607" t="str">
        <x:v>WAVE_44</x:v>
      </x:c>
      <x:c r="C1607" s="409" t="n">
        <x:v>435.68</x:v>
      </x:c>
      <x:c r="D1607" s="410" t="n">
        <x:v>44</x:v>
      </x:c>
      <x:c r="E1607" t="str">
        <x:v>RIGHT_04</x:v>
      </x:c>
      <x:c r="F1607" t="str">
        <x:v>GoblinMelee</x:v>
      </x:c>
      <x:c r="G1607" s="410" t="n">
        <x:v>37</x:v>
      </x:c>
    </x:row>
    <x:row r="1608">
      <x:c r="A1608" t="str">
        <x:v>Stage01</x:v>
      </x:c>
      <x:c r="B1608" t="str">
        <x:v>WAVE_44</x:v>
      </x:c>
      <x:c r="C1608" s="409" t="n">
        <x:v>435.79</x:v>
      </x:c>
      <x:c r="D1608" s="410" t="n">
        <x:v>45</x:v>
      </x:c>
      <x:c r="E1608" t="str">
        <x:v>BOTTOM_05</x:v>
      </x:c>
      <x:c r="F1608" t="str">
        <x:v>GoblinRanged</x:v>
      </x:c>
      <x:c r="G1608" s="410" t="n">
        <x:v>38</x:v>
      </x:c>
    </x:row>
    <x:row r="1609">
      <x:c r="A1609" t="str">
        <x:v>Stage01</x:v>
      </x:c>
      <x:c r="B1609" t="str">
        <x:v>WAVE_44</x:v>
      </x:c>
      <x:c r="C1609" s="409" t="n">
        <x:v>435.9</x:v>
      </x:c>
      <x:c r="D1609" s="410" t="n">
        <x:v>46</x:v>
      </x:c>
      <x:c r="E1609" t="str">
        <x:v>LEFT_06</x:v>
      </x:c>
      <x:c r="F1609" t="str">
        <x:v>GoblinMelee</x:v>
      </x:c>
      <x:c r="G1609" s="410" t="n">
        <x:v>37</x:v>
      </x:c>
    </x:row>
    <x:row r="1610">
      <x:c r="A1610" t="str">
        <x:v>Stage01</x:v>
      </x:c>
      <x:c r="B1610" t="str">
        <x:v>WAVE_44</x:v>
      </x:c>
      <x:c r="C1610" s="409" t="n">
        <x:v>436.01</x:v>
      </x:c>
      <x:c r="D1610" s="410" t="n">
        <x:v>47</x:v>
      </x:c>
      <x:c r="E1610" t="str">
        <x:v>TOP_08</x:v>
      </x:c>
      <x:c r="F1610" t="str">
        <x:v>GoblinMelee</x:v>
      </x:c>
      <x:c r="G1610" s="410" t="n">
        <x:v>38</x:v>
      </x:c>
    </x:row>
    <x:row r="1611">
      <x:c r="A1611" t="str">
        <x:v>Stage01</x:v>
      </x:c>
      <x:c r="B1611" t="str">
        <x:v>WAVE_44</x:v>
      </x:c>
      <x:c r="C1611" s="409" t="n">
        <x:v>436.12</x:v>
      </x:c>
      <x:c r="D1611" s="410" t="n">
        <x:v>48</x:v>
      </x:c>
      <x:c r="E1611" t="str">
        <x:v>RIGHT_01</x:v>
      </x:c>
      <x:c r="F1611" t="str">
        <x:v>GoblinRanged</x:v>
      </x:c>
      <x:c r="G1611" s="410" t="n">
        <x:v>37</x:v>
      </x:c>
    </x:row>
    <x:row r="1612">
      <x:c r="A1612" t="str">
        <x:v>Stage01</x:v>
      </x:c>
      <x:c r="B1612" t="str">
        <x:v>WAVE_44</x:v>
      </x:c>
      <x:c r="C1612" s="409" t="n">
        <x:v>436.23</x:v>
      </x:c>
      <x:c r="D1612" s="410" t="n">
        <x:v>49</x:v>
      </x:c>
      <x:c r="E1612" t="str">
        <x:v>BOTTOM_02</x:v>
      </x:c>
      <x:c r="F1612" t="str">
        <x:v>GoblinMelee</x:v>
      </x:c>
      <x:c r="G1612" s="410" t="n">
        <x:v>38</x:v>
      </x:c>
    </x:row>
    <x:row r="1613">
      <x:c r="A1613" t="str">
        <x:v>Stage01</x:v>
      </x:c>
      <x:c r="B1613" t="str">
        <x:v>WAVE_44</x:v>
      </x:c>
      <x:c r="C1613" s="409" t="n">
        <x:v>436.33</x:v>
      </x:c>
      <x:c r="D1613" s="410" t="n">
        <x:v>50</x:v>
      </x:c>
      <x:c r="E1613" t="str">
        <x:v>LEFT_03</x:v>
      </x:c>
      <x:c r="F1613" t="str">
        <x:v>GoblinMelee</x:v>
      </x:c>
      <x:c r="G1613" s="410" t="n">
        <x:v>37</x:v>
      </x:c>
    </x:row>
    <x:row r="1614">
      <x:c r="A1614" t="str">
        <x:v>Stage01</x:v>
      </x:c>
      <x:c r="B1614" t="str">
        <x:v>WAVE_44</x:v>
      </x:c>
      <x:c r="C1614" s="409" t="n">
        <x:v>436.44</x:v>
      </x:c>
      <x:c r="D1614" s="410" t="n">
        <x:v>51</x:v>
      </x:c>
      <x:c r="E1614" t="str">
        <x:v>TOP_05</x:v>
      </x:c>
      <x:c r="F1614" t="str">
        <x:v>GoblinRanged</x:v>
      </x:c>
      <x:c r="G1614" s="410" t="n">
        <x:v>38</x:v>
      </x:c>
    </x:row>
    <x:row r="1615">
      <x:c r="A1615" t="str">
        <x:v>Stage01</x:v>
      </x:c>
      <x:c r="B1615" t="str">
        <x:v>WAVE_44</x:v>
      </x:c>
      <x:c r="C1615" s="409" t="n">
        <x:v>436.55</x:v>
      </x:c>
      <x:c r="D1615" s="410" t="n">
        <x:v>52</x:v>
      </x:c>
      <x:c r="E1615" t="str">
        <x:v>RIGHT_06</x:v>
      </x:c>
      <x:c r="F1615" t="str">
        <x:v>FlyingEye</x:v>
      </x:c>
      <x:c r="G1615" s="410" t="n">
        <x:v>37</x:v>
      </x:c>
    </x:row>
    <x:row r="1616">
      <x:c r="A1616" t="str">
        <x:v>Stage01</x:v>
      </x:c>
      <x:c r="B1616" t="str">
        <x:v>WAVE_44</x:v>
      </x:c>
      <x:c r="C1616" s="409" t="n">
        <x:v>436.66</x:v>
      </x:c>
      <x:c r="D1616" s="410" t="n">
        <x:v>53</x:v>
      </x:c>
      <x:c r="E1616" t="str">
        <x:v>BOTTOM_07</x:v>
      </x:c>
      <x:c r="F1616" t="str">
        <x:v>ShieldSkeleton</x:v>
      </x:c>
      <x:c r="G1616" s="410" t="n">
        <x:v>38</x:v>
      </x:c>
    </x:row>
    <x:row r="1617">
      <x:c r="A1617" t="str">
        <x:v>Stage01</x:v>
      </x:c>
      <x:c r="B1617" t="str">
        <x:v>WAVE_44</x:v>
      </x:c>
      <x:c r="C1617" s="409" t="n">
        <x:v>436.77</x:v>
      </x:c>
      <x:c r="D1617" s="410" t="n">
        <x:v>54</x:v>
      </x:c>
      <x:c r="E1617" t="str">
        <x:v>LEFT_08</x:v>
      </x:c>
      <x:c r="F1617" t="str">
        <x:v>GoblinMelee</x:v>
      </x:c>
      <x:c r="G1617" s="410" t="n">
        <x:v>37</x:v>
      </x:c>
    </x:row>
    <x:row r="1618">
      <x:c r="A1618" t="str">
        <x:v>Stage01</x:v>
      </x:c>
      <x:c r="B1618" t="str">
        <x:v>WAVE_44</x:v>
      </x:c>
      <x:c r="C1618" s="409" t="n">
        <x:v>436.88</x:v>
      </x:c>
      <x:c r="D1618" s="410" t="n">
        <x:v>55</x:v>
      </x:c>
      <x:c r="E1618" t="str">
        <x:v>TOP_02</x:v>
      </x:c>
      <x:c r="F1618" t="str">
        <x:v>GoblinMelee</x:v>
      </x:c>
      <x:c r="G1618" s="410" t="n">
        <x:v>37</x:v>
      </x:c>
    </x:row>
    <x:row r="1619">
      <x:c r="A1619" t="str">
        <x:v>Stage01</x:v>
      </x:c>
      <x:c r="B1619" t="str">
        <x:v>WAVE_44</x:v>
      </x:c>
      <x:c r="C1619" s="409" t="n">
        <x:v>436.99</x:v>
      </x:c>
      <x:c r="D1619" s="410" t="n">
        <x:v>56</x:v>
      </x:c>
      <x:c r="E1619" t="str">
        <x:v>RIGHT_03</x:v>
      </x:c>
      <x:c r="F1619" t="str">
        <x:v>GoblinRanged</x:v>
      </x:c>
      <x:c r="G1619" s="410" t="n">
        <x:v>38</x:v>
      </x:c>
    </x:row>
    <x:row r="1620">
      <x:c r="A1620" t="str">
        <x:v>Stage01</x:v>
      </x:c>
      <x:c r="B1620" t="str">
        <x:v>WAVE_44</x:v>
      </x:c>
      <x:c r="C1620" s="409" t="n">
        <x:v>437.1</x:v>
      </x:c>
      <x:c r="D1620" s="410" t="n">
        <x:v>57</x:v>
      </x:c>
      <x:c r="E1620" t="str">
        <x:v>BOTTOM_04</x:v>
      </x:c>
      <x:c r="F1620" t="str">
        <x:v>GoblinMelee</x:v>
      </x:c>
      <x:c r="G1620" s="410" t="n">
        <x:v>37</x:v>
      </x:c>
    </x:row>
    <x:row r="1621">
      <x:c r="A1621" t="str">
        <x:v>Stage01</x:v>
      </x:c>
      <x:c r="B1621" t="str">
        <x:v>WAVE_44</x:v>
      </x:c>
      <x:c r="C1621" s="409" t="n">
        <x:v>437.21</x:v>
      </x:c>
      <x:c r="D1621" s="410" t="n">
        <x:v>58</x:v>
      </x:c>
      <x:c r="E1621" t="str">
        <x:v>LEFT_05</x:v>
      </x:c>
      <x:c r="F1621" t="str">
        <x:v>GoblinMelee</x:v>
      </x:c>
      <x:c r="G1621" s="410" t="n">
        <x:v>38</x:v>
      </x:c>
    </x:row>
    <x:row r="1622">
      <x:c r="A1622" t="str">
        <x:v>Stage01</x:v>
      </x:c>
      <x:c r="B1622" t="str">
        <x:v>WAVE_44</x:v>
      </x:c>
      <x:c r="C1622" s="409" t="n">
        <x:v>437.31</x:v>
      </x:c>
      <x:c r="D1622" s="410" t="n">
        <x:v>59</x:v>
      </x:c>
      <x:c r="E1622" t="str">
        <x:v>TOP_07</x:v>
      </x:c>
      <x:c r="F1622" t="str">
        <x:v>GoblinRanged</x:v>
      </x:c>
      <x:c r="G1622" s="410" t="n">
        <x:v>37</x:v>
      </x:c>
    </x:row>
    <x:row r="1623">
      <x:c r="A1623" t="str">
        <x:v>Stage01</x:v>
      </x:c>
      <x:c r="B1623" t="str">
        <x:v>WAVE_44</x:v>
      </x:c>
      <x:c r="C1623" s="409" t="n">
        <x:v>437.42</x:v>
      </x:c>
      <x:c r="D1623" s="410" t="n">
        <x:v>60</x:v>
      </x:c>
      <x:c r="E1623" t="str">
        <x:v>RIGHT_08</x:v>
      </x:c>
      <x:c r="F1623" t="str">
        <x:v>GoblinMelee</x:v>
      </x:c>
      <x:c r="G1623" s="410" t="n">
        <x:v>38</x:v>
      </x:c>
    </x:row>
    <x:row r="1624">
      <x:c r="A1624" t="str">
        <x:v>Stage01</x:v>
      </x:c>
      <x:c r="B1624" t="str">
        <x:v>WAVE_44</x:v>
      </x:c>
      <x:c r="C1624" s="409" t="n">
        <x:v>437.53</x:v>
      </x:c>
      <x:c r="D1624" s="410" t="n">
        <x:v>61</x:v>
      </x:c>
      <x:c r="E1624" t="str">
        <x:v>BOTTOM_01</x:v>
      </x:c>
      <x:c r="F1624" t="str">
        <x:v>ShieldSkeleton</x:v>
      </x:c>
      <x:c r="G1624" s="410" t="n">
        <x:v>37</x:v>
      </x:c>
    </x:row>
    <x:row r="1625">
      <x:c r="A1625" t="str">
        <x:v>Stage01</x:v>
      </x:c>
      <x:c r="B1625" t="str">
        <x:v>WAVE_44</x:v>
      </x:c>
      <x:c r="C1625" s="409" t="n">
        <x:v>437.64</x:v>
      </x:c>
      <x:c r="D1625" s="410" t="n">
        <x:v>62</x:v>
      </x:c>
      <x:c r="E1625" t="str">
        <x:v>LEFT_02</x:v>
      </x:c>
      <x:c r="F1625" t="str">
        <x:v>GoblinMelee</x:v>
      </x:c>
      <x:c r="G1625" s="410" t="n">
        <x:v>38</x:v>
      </x:c>
    </x:row>
    <x:row r="1626">
      <x:c r="A1626" t="str">
        <x:v>Stage01</x:v>
      </x:c>
      <x:c r="B1626" t="str">
        <x:v>WAVE_44</x:v>
      </x:c>
      <x:c r="C1626" s="409" t="n">
        <x:v>437.75</x:v>
      </x:c>
      <x:c r="D1626" s="410" t="n">
        <x:v>63</x:v>
      </x:c>
      <x:c r="E1626" t="str">
        <x:v>TOP_04</x:v>
      </x:c>
      <x:c r="F1626" t="str">
        <x:v>GoblinMelee</x:v>
      </x:c>
      <x:c r="G1626" s="410" t="n">
        <x:v>37</x:v>
      </x:c>
    </x:row>
    <x:row r="1627">
      <x:c r="A1627" t="str">
        <x:v>Stage01</x:v>
      </x:c>
      <x:c r="B1627" t="str">
        <x:v>WAVE_44</x:v>
      </x:c>
      <x:c r="C1627" s="409" t="n">
        <x:v>437.86</x:v>
      </x:c>
      <x:c r="D1627" s="410" t="n">
        <x:v>64</x:v>
      </x:c>
      <x:c r="E1627" t="str">
        <x:v>RIGHT_05</x:v>
      </x:c>
      <x:c r="F1627" t="str">
        <x:v>GoblinRanged</x:v>
      </x:c>
      <x:c r="G1627" s="410" t="n">
        <x:v>38</x:v>
      </x:c>
    </x:row>
    <x:row r="1628">
      <x:c r="A1628" t="str">
        <x:v>Stage01</x:v>
      </x:c>
      <x:c r="B1628" t="str">
        <x:v>WAVE_44</x:v>
      </x:c>
      <x:c r="C1628" s="409" t="n">
        <x:v>437.97</x:v>
      </x:c>
      <x:c r="D1628" s="410" t="n">
        <x:v>65</x:v>
      </x:c>
      <x:c r="E1628" t="str">
        <x:v>BOTTOM_06</x:v>
      </x:c>
      <x:c r="F1628" t="str">
        <x:v>FlyingEye</x:v>
      </x:c>
      <x:c r="G1628" s="410" t="n">
        <x:v>37</x:v>
      </x:c>
    </x:row>
    <x:row r="1629">
      <x:c r="A1629" t="str">
        <x:v>Stage01</x:v>
      </x:c>
      <x:c r="B1629" t="str">
        <x:v>WAVE_44</x:v>
      </x:c>
      <x:c r="C1629" s="409" t="n">
        <x:v>438.08</x:v>
      </x:c>
      <x:c r="D1629" s="410" t="n">
        <x:v>66</x:v>
      </x:c>
      <x:c r="E1629" t="str">
        <x:v>LEFT_07</x:v>
      </x:c>
      <x:c r="F1629" t="str">
        <x:v>GoblinMelee</x:v>
      </x:c>
      <x:c r="G1629" s="410" t="n">
        <x:v>38</x:v>
      </x:c>
    </x:row>
    <x:row r="1630">
      <x:c r="A1630" t="str">
        <x:v>Stage01</x:v>
      </x:c>
      <x:c r="B1630" t="str">
        <x:v>WAVE_44</x:v>
      </x:c>
      <x:c r="C1630" s="409" t="n">
        <x:v>438.18</x:v>
      </x:c>
      <x:c r="D1630" s="410" t="n">
        <x:v>67</x:v>
      </x:c>
      <x:c r="E1630" t="str">
        <x:v>TOP_01</x:v>
      </x:c>
      <x:c r="F1630" t="str">
        <x:v>GoblinRanged</x:v>
      </x:c>
      <x:c r="G1630" s="410" t="n">
        <x:v>37</x:v>
      </x:c>
    </x:row>
    <x:row r="1631">
      <x:c r="A1631" t="str">
        <x:v>Stage01</x:v>
      </x:c>
      <x:c r="B1631" t="str">
        <x:v>WAVE_44</x:v>
      </x:c>
      <x:c r="C1631" s="409" t="n">
        <x:v>438.29</x:v>
      </x:c>
      <x:c r="D1631" s="410" t="n">
        <x:v>68</x:v>
      </x:c>
      <x:c r="E1631" t="str">
        <x:v>RIGHT_02</x:v>
      </x:c>
      <x:c r="F1631" t="str">
        <x:v>GoblinMelee</x:v>
      </x:c>
      <x:c r="G1631" s="410" t="n">
        <x:v>37</x:v>
      </x:c>
    </x:row>
    <x:row r="1632">
      <x:c r="A1632" t="str">
        <x:v>Stage01</x:v>
      </x:c>
      <x:c r="B1632" t="str">
        <x:v>WAVE_44</x:v>
      </x:c>
      <x:c r="C1632" s="409" t="n">
        <x:v>438.4</x:v>
      </x:c>
      <x:c r="D1632" s="410" t="n">
        <x:v>69</x:v>
      </x:c>
      <x:c r="E1632" t="str">
        <x:v>BOTTOM_03</x:v>
      </x:c>
      <x:c r="F1632" t="str">
        <x:v>ShieldSkeleton</x:v>
      </x:c>
      <x:c r="G1632" s="410" t="n">
        <x:v>38</x:v>
      </x:c>
    </x:row>
    <x:row r="1633">
      <x:c r="A1633" t="str">
        <x:v>Stage01</x:v>
      </x:c>
      <x:c r="B1633" t="str">
        <x:v>WAVE_44</x:v>
      </x:c>
      <x:c r="C1633" s="409" t="n">
        <x:v>438.51</x:v>
      </x:c>
      <x:c r="D1633" s="410" t="n">
        <x:v>70</x:v>
      </x:c>
      <x:c r="E1633" t="str">
        <x:v>LEFT_04</x:v>
      </x:c>
      <x:c r="F1633" t="str">
        <x:v>GoblinMelee</x:v>
      </x:c>
      <x:c r="G1633" s="410" t="n">
        <x:v>37</x:v>
      </x:c>
    </x:row>
    <x:row r="1634">
      <x:c r="A1634" t="str">
        <x:v>Stage01</x:v>
      </x:c>
      <x:c r="B1634" t="str">
        <x:v>WAVE_44</x:v>
      </x:c>
      <x:c r="C1634" s="409" t="n">
        <x:v>438.62</x:v>
      </x:c>
      <x:c r="D1634" s="410" t="n">
        <x:v>71</x:v>
      </x:c>
      <x:c r="E1634" t="str">
        <x:v>TOP_06</x:v>
      </x:c>
      <x:c r="F1634" t="str">
        <x:v>GoblinRanged</x:v>
      </x:c>
      <x:c r="G1634" s="410" t="n">
        <x:v>38</x:v>
      </x:c>
    </x:row>
    <x:row r="1635">
      <x:c r="A1635" t="str">
        <x:v>Stage01</x:v>
      </x:c>
      <x:c r="B1635" t="str">
        <x:v>WAVE_44</x:v>
      </x:c>
      <x:c r="C1635" s="409" t="n">
        <x:v>438.73</x:v>
      </x:c>
      <x:c r="D1635" s="410" t="n">
        <x:v>72</x:v>
      </x:c>
      <x:c r="E1635" t="str">
        <x:v>RIGHT_07</x:v>
      </x:c>
      <x:c r="F1635" t="str">
        <x:v>GoblinMelee</x:v>
      </x:c>
      <x:c r="G1635" s="410" t="n">
        <x:v>37</x:v>
      </x:c>
    </x:row>
    <x:row r="1636">
      <x:c r="A1636" t="str">
        <x:v>Stage01</x:v>
      </x:c>
      <x:c r="B1636" t="str">
        <x:v>WAVE_44</x:v>
      </x:c>
      <x:c r="C1636" s="409" t="n">
        <x:v>438.84</x:v>
      </x:c>
      <x:c r="D1636" s="410" t="n">
        <x:v>73</x:v>
      </x:c>
      <x:c r="E1636" t="str">
        <x:v>BOTTOM_08</x:v>
      </x:c>
      <x:c r="F1636" t="str">
        <x:v>GoblinMelee</x:v>
      </x:c>
      <x:c r="G1636" s="410" t="n">
        <x:v>38</x:v>
      </x:c>
    </x:row>
    <x:row r="1637">
      <x:c r="A1637" t="str">
        <x:v>Stage01</x:v>
      </x:c>
      <x:c r="B1637" t="str">
        <x:v>WAVE_44</x:v>
      </x:c>
      <x:c r="C1637" s="409" t="n">
        <x:v>438.95</x:v>
      </x:c>
      <x:c r="D1637" s="410" t="n">
        <x:v>74</x:v>
      </x:c>
      <x:c r="E1637" t="str">
        <x:v>LEFT_01</x:v>
      </x:c>
      <x:c r="F1637" t="str">
        <x:v>GoblinRanged</x:v>
      </x:c>
      <x:c r="G1637" s="410" t="n">
        <x:v>37</x:v>
      </x:c>
    </x:row>
    <x:row r="1638">
      <x:c r="A1638" t="str">
        <x:v>Stage01</x:v>
      </x:c>
      <x:c r="B1638" t="str">
        <x:v>WAVE_44</x:v>
      </x:c>
      <x:c r="C1638" s="409" t="n">
        <x:v>439.06</x:v>
      </x:c>
      <x:c r="D1638" s="410" t="n">
        <x:v>75</x:v>
      </x:c>
      <x:c r="E1638" t="str">
        <x:v>TOP_03</x:v>
      </x:c>
      <x:c r="F1638" t="str">
        <x:v>GoblinMelee</x:v>
      </x:c>
      <x:c r="G1638" s="410" t="n">
        <x:v>38</x:v>
      </x:c>
    </x:row>
    <x:row r="1639">
      <x:c r="A1639" t="str">
        <x:v>Stage01</x:v>
      </x:c>
      <x:c r="B1639" t="str">
        <x:v>WAVE_44</x:v>
      </x:c>
      <x:c r="C1639" s="409" t="n">
        <x:v>439.16</x:v>
      </x:c>
      <x:c r="D1639" s="410" t="n">
        <x:v>76</x:v>
      </x:c>
      <x:c r="E1639" t="str">
        <x:v>RIGHT_04</x:v>
      </x:c>
      <x:c r="F1639" t="str">
        <x:v>GoblinMelee</x:v>
      </x:c>
      <x:c r="G1639" s="410" t="n">
        <x:v>37</x:v>
      </x:c>
    </x:row>
    <x:row r="1640">
      <x:c r="A1640" t="str">
        <x:v>Stage01</x:v>
      </x:c>
      <x:c r="B1640" t="str">
        <x:v>WAVE_44</x:v>
      </x:c>
      <x:c r="C1640" s="409" t="n">
        <x:v>439.27</x:v>
      </x:c>
      <x:c r="D1640" s="410" t="n">
        <x:v>77</x:v>
      </x:c>
      <x:c r="E1640" t="str">
        <x:v>BOTTOM_05</x:v>
      </x:c>
      <x:c r="F1640" t="str">
        <x:v>ShieldSkeleton</x:v>
      </x:c>
      <x:c r="G1640" s="410" t="n">
        <x:v>38</x:v>
      </x:c>
    </x:row>
    <x:row r="1641">
      <x:c r="A1641" t="str">
        <x:v>Stage01</x:v>
      </x:c>
      <x:c r="B1641" t="str">
        <x:v>WAVE_44</x:v>
      </x:c>
      <x:c r="C1641" s="409" t="n">
        <x:v>439.38</x:v>
      </x:c>
      <x:c r="D1641" s="410" t="n">
        <x:v>78</x:v>
      </x:c>
      <x:c r="E1641" t="str">
        <x:v>LEFT_06</x:v>
      </x:c>
      <x:c r="F1641" t="str">
        <x:v>FlyingEye</x:v>
      </x:c>
      <x:c r="G1641" s="410" t="n">
        <x:v>37</x:v>
      </x:c>
    </x:row>
    <x:row r="1642">
      <x:c r="A1642" t="str">
        <x:v>Stage01</x:v>
      </x:c>
      <x:c r="B1642" t="str">
        <x:v>WAVE_44</x:v>
      </x:c>
      <x:c r="C1642" s="409" t="n">
        <x:v>439.49</x:v>
      </x:c>
      <x:c r="D1642" s="410" t="n">
        <x:v>79</x:v>
      </x:c>
      <x:c r="E1642" t="str">
        <x:v>TOP_08</x:v>
      </x:c>
      <x:c r="F1642" t="str">
        <x:v>GoblinRanged</x:v>
      </x:c>
      <x:c r="G1642" s="410" t="n">
        <x:v>38</x:v>
      </x:c>
    </x:row>
    <x:row r="1643">
      <x:c r="A1643" t="str">
        <x:v>Stage01</x:v>
      </x:c>
      <x:c r="B1643" t="str">
        <x:v>WAVE_44</x:v>
      </x:c>
      <x:c r="C1643" s="409" t="n">
        <x:v>439.6</x:v>
      </x:c>
      <x:c r="D1643" s="410" t="n">
        <x:v>80</x:v>
      </x:c>
      <x:c r="E1643" t="str">
        <x:v>RIGHT_01</x:v>
      </x:c>
      <x:c r="F1643" t="str">
        <x:v>GoblinMelee</x:v>
      </x:c>
      <x:c r="G1643" s="410" t="n">
        <x:v>37</x:v>
      </x:c>
    </x:row>
    <x:row r="1644">
      <x:c r="A1644" t="str">
        <x:v>Stage01</x:v>
      </x:c>
      <x:c r="B1644" t="str">
        <x:v>WAVE_45</x:v>
      </x:c>
      <x:c r="C1644" s="409" t="n">
        <x:v>441</x:v>
      </x:c>
      <x:c r="D1644" s="410" t="n">
        <x:v>1</x:v>
      </x:c>
      <x:c r="E1644" t="str">
        <x:v>RIGHT_04</x:v>
      </x:c>
      <x:c r="F1644" t="str">
        <x:v>GoblinMelee</x:v>
      </x:c>
      <x:c r="G1644" s="410" t="n">
        <x:v>38</x:v>
      </x:c>
    </x:row>
    <x:row r="1645">
      <x:c r="A1645" t="str">
        <x:v>Stage01</x:v>
      </x:c>
      <x:c r="B1645" t="str">
        <x:v>WAVE_45</x:v>
      </x:c>
      <x:c r="C1645" s="409" t="n">
        <x:v>441.11</x:v>
      </x:c>
      <x:c r="D1645" s="410" t="n">
        <x:v>2</x:v>
      </x:c>
      <x:c r="E1645" t="str">
        <x:v>BOTTOM_05</x:v>
      </x:c>
      <x:c r="F1645" t="str">
        <x:v>GoblinRanged</x:v>
      </x:c>
      <x:c r="G1645" s="410" t="n">
        <x:v>39</x:v>
      </x:c>
    </x:row>
    <x:row r="1646">
      <x:c r="A1646" t="str">
        <x:v>Stage01</x:v>
      </x:c>
      <x:c r="B1646" t="str">
        <x:v>WAVE_45</x:v>
      </x:c>
      <x:c r="C1646" s="409" t="n">
        <x:v>441.21</x:v>
      </x:c>
      <x:c r="D1646" s="410" t="n">
        <x:v>3</x:v>
      </x:c>
      <x:c r="E1646" t="str">
        <x:v>LEFT_06</x:v>
      </x:c>
      <x:c r="F1646" t="str">
        <x:v>GoblinMelee</x:v>
      </x:c>
      <x:c r="G1646" s="410" t="n">
        <x:v>38</x:v>
      </x:c>
    </x:row>
    <x:row r="1647">
      <x:c r="A1647" t="str">
        <x:v>Stage01</x:v>
      </x:c>
      <x:c r="B1647" t="str">
        <x:v>WAVE_45</x:v>
      </x:c>
      <x:c r="C1647" s="409" t="n">
        <x:v>441.32</x:v>
      </x:c>
      <x:c r="D1647" s="410" t="n">
        <x:v>4</x:v>
      </x:c>
      <x:c r="E1647" t="str">
        <x:v>TOP_08</x:v>
      </x:c>
      <x:c r="F1647" t="str">
        <x:v>ShieldSkeleton</x:v>
      </x:c>
      <x:c r="G1647" s="410" t="n">
        <x:v>39</x:v>
      </x:c>
    </x:row>
    <x:row r="1648">
      <x:c r="A1648" t="str">
        <x:v>Stage01</x:v>
      </x:c>
      <x:c r="B1648" t="str">
        <x:v>WAVE_45</x:v>
      </x:c>
      <x:c r="C1648" s="409" t="n">
        <x:v>441.42</x:v>
      </x:c>
      <x:c r="D1648" s="410" t="n">
        <x:v>5</x:v>
      </x:c>
      <x:c r="E1648" t="str">
        <x:v>RIGHT_01</x:v>
      </x:c>
      <x:c r="F1648" t="str">
        <x:v>GoblinMelee</x:v>
      </x:c>
      <x:c r="G1648" s="410" t="n">
        <x:v>38</x:v>
      </x:c>
    </x:row>
    <x:row r="1649">
      <x:c r="A1649" t="str">
        <x:v>Stage01</x:v>
      </x:c>
      <x:c r="B1649" t="str">
        <x:v>WAVE_45</x:v>
      </x:c>
      <x:c r="C1649" s="409" t="n">
        <x:v>441.53</x:v>
      </x:c>
      <x:c r="D1649" s="410" t="n">
        <x:v>6</x:v>
      </x:c>
      <x:c r="E1649" t="str">
        <x:v>BOTTOM_02</x:v>
      </x:c>
      <x:c r="F1649" t="str">
        <x:v>GoblinMelee</x:v>
      </x:c>
      <x:c r="G1649" s="410" t="n">
        <x:v>39</x:v>
      </x:c>
    </x:row>
    <x:row r="1650">
      <x:c r="A1650" t="str">
        <x:v>Stage01</x:v>
      </x:c>
      <x:c r="B1650" t="str">
        <x:v>WAVE_45</x:v>
      </x:c>
      <x:c r="C1650" s="409" t="n">
        <x:v>441.64</x:v>
      </x:c>
      <x:c r="D1650" s="410" t="n">
        <x:v>7</x:v>
      </x:c>
      <x:c r="E1650" t="str">
        <x:v>LEFT_03</x:v>
      </x:c>
      <x:c r="F1650" t="str">
        <x:v>GoblinRanged</x:v>
      </x:c>
      <x:c r="G1650" s="410" t="n">
        <x:v>38</x:v>
      </x:c>
    </x:row>
    <x:row r="1651">
      <x:c r="A1651" t="str">
        <x:v>Stage01</x:v>
      </x:c>
      <x:c r="B1651" t="str">
        <x:v>WAVE_45</x:v>
      </x:c>
      <x:c r="C1651" s="409" t="n">
        <x:v>441.74</x:v>
      </x:c>
      <x:c r="D1651" s="410" t="n">
        <x:v>8</x:v>
      </x:c>
      <x:c r="E1651" t="str">
        <x:v>TOP_05</x:v>
      </x:c>
      <x:c r="F1651" t="str">
        <x:v>GoblinMelee</x:v>
      </x:c>
      <x:c r="G1651" s="410" t="n">
        <x:v>39</x:v>
      </x:c>
    </x:row>
    <x:row r="1652">
      <x:c r="A1652" t="str">
        <x:v>Stage01</x:v>
      </x:c>
      <x:c r="B1652" t="str">
        <x:v>WAVE_45</x:v>
      </x:c>
      <x:c r="C1652" s="409" t="n">
        <x:v>441.85</x:v>
      </x:c>
      <x:c r="D1652" s="410" t="n">
        <x:v>9</x:v>
      </x:c>
      <x:c r="E1652" t="str">
        <x:v>RIGHT_06</x:v>
      </x:c>
      <x:c r="F1652" t="str">
        <x:v>GoblinMelee</x:v>
      </x:c>
      <x:c r="G1652" s="410" t="n">
        <x:v>38</x:v>
      </x:c>
    </x:row>
    <x:row r="1653">
      <x:c r="A1653" t="str">
        <x:v>Stage01</x:v>
      </x:c>
      <x:c r="B1653" t="str">
        <x:v>WAVE_45</x:v>
      </x:c>
      <x:c r="C1653" s="409" t="n">
        <x:v>441.96</x:v>
      </x:c>
      <x:c r="D1653" s="410" t="n">
        <x:v>10</x:v>
      </x:c>
      <x:c r="E1653" t="str">
        <x:v>BOTTOM_07</x:v>
      </x:c>
      <x:c r="F1653" t="str">
        <x:v>GoblinRanged</x:v>
      </x:c>
      <x:c r="G1653" s="410" t="n">
        <x:v>39</x:v>
      </x:c>
    </x:row>
    <x:row r="1654">
      <x:c r="A1654" t="str">
        <x:v>Stage01</x:v>
      </x:c>
      <x:c r="B1654" t="str">
        <x:v>WAVE_45</x:v>
      </x:c>
      <x:c r="C1654" s="409" t="n">
        <x:v>442.06</x:v>
      </x:c>
      <x:c r="D1654" s="410" t="n">
        <x:v>11</x:v>
      </x:c>
      <x:c r="E1654" t="str">
        <x:v>LEFT_08</x:v>
      </x:c>
      <x:c r="F1654" t="str">
        <x:v>GoblinMelee</x:v>
      </x:c>
      <x:c r="G1654" s="410" t="n">
        <x:v>38</x:v>
      </x:c>
    </x:row>
    <x:row r="1655">
      <x:c r="A1655" t="str">
        <x:v>Stage01</x:v>
      </x:c>
      <x:c r="B1655" t="str">
        <x:v>WAVE_45</x:v>
      </x:c>
      <x:c r="C1655" s="409" t="n">
        <x:v>442.17</x:v>
      </x:c>
      <x:c r="D1655" s="410" t="n">
        <x:v>12</x:v>
      </x:c>
      <x:c r="E1655" t="str">
        <x:v>TOP_02</x:v>
      </x:c>
      <x:c r="F1655" t="str">
        <x:v>ShieldSkeleton</x:v>
      </x:c>
      <x:c r="G1655" s="410" t="n">
        <x:v>39</x:v>
      </x:c>
    </x:row>
    <x:row r="1656">
      <x:c r="A1656" t="str">
        <x:v>Stage01</x:v>
      </x:c>
      <x:c r="B1656" t="str">
        <x:v>WAVE_45</x:v>
      </x:c>
      <x:c r="C1656" s="409" t="n">
        <x:v>442.27</x:v>
      </x:c>
      <x:c r="D1656" s="410" t="n">
        <x:v>13</x:v>
      </x:c>
      <x:c r="E1656" t="str">
        <x:v>RIGHT_03</x:v>
      </x:c>
      <x:c r="F1656" t="str">
        <x:v>FlyingEye</x:v>
      </x:c>
      <x:c r="G1656" s="410" t="n">
        <x:v>38</x:v>
      </x:c>
    </x:row>
    <x:row r="1657">
      <x:c r="A1657" t="str">
        <x:v>Stage01</x:v>
      </x:c>
      <x:c r="B1657" t="str">
        <x:v>WAVE_45</x:v>
      </x:c>
      <x:c r="C1657" s="409" t="n">
        <x:v>442.38</x:v>
      </x:c>
      <x:c r="D1657" s="410" t="n">
        <x:v>14</x:v>
      </x:c>
      <x:c r="E1657" t="str">
        <x:v>BOTTOM_04</x:v>
      </x:c>
      <x:c r="F1657" t="str">
        <x:v>GoblinRanged</x:v>
      </x:c>
      <x:c r="G1657" s="410" t="n">
        <x:v>39</x:v>
      </x:c>
    </x:row>
    <x:row r="1658">
      <x:c r="A1658" t="str">
        <x:v>Stage01</x:v>
      </x:c>
      <x:c r="B1658" t="str">
        <x:v>WAVE_45</x:v>
      </x:c>
      <x:c r="C1658" s="409" t="n">
        <x:v>442.49</x:v>
      </x:c>
      <x:c r="D1658" s="410" t="n">
        <x:v>15</x:v>
      </x:c>
      <x:c r="E1658" t="str">
        <x:v>LEFT_05</x:v>
      </x:c>
      <x:c r="F1658" t="str">
        <x:v>GoblinMelee</x:v>
      </x:c>
      <x:c r="G1658" s="410" t="n">
        <x:v>38</x:v>
      </x:c>
    </x:row>
    <x:row r="1659">
      <x:c r="A1659" t="str">
        <x:v>Stage01</x:v>
      </x:c>
      <x:c r="B1659" t="str">
        <x:v>WAVE_45</x:v>
      </x:c>
      <x:c r="C1659" s="409" t="n">
        <x:v>442.59</x:v>
      </x:c>
      <x:c r="D1659" s="410" t="n">
        <x:v>16</x:v>
      </x:c>
      <x:c r="E1659" t="str">
        <x:v>TOP_07</x:v>
      </x:c>
      <x:c r="F1659" t="str">
        <x:v>GoblinMelee</x:v>
      </x:c>
      <x:c r="G1659" s="410" t="n">
        <x:v>39</x:v>
      </x:c>
    </x:row>
    <x:row r="1660">
      <x:c r="A1660" t="str">
        <x:v>Stage01</x:v>
      </x:c>
      <x:c r="B1660" t="str">
        <x:v>WAVE_45</x:v>
      </x:c>
      <x:c r="C1660" s="409" t="n">
        <x:v>442.7</x:v>
      </x:c>
      <x:c r="D1660" s="410" t="n">
        <x:v>17</x:v>
      </x:c>
      <x:c r="E1660" t="str">
        <x:v>RIGHT_08</x:v>
      </x:c>
      <x:c r="F1660" t="str">
        <x:v>GoblinRanged</x:v>
      </x:c>
      <x:c r="G1660" s="410" t="n">
        <x:v>38</x:v>
      </x:c>
    </x:row>
    <x:row r="1661">
      <x:c r="A1661" t="str">
        <x:v>Stage01</x:v>
      </x:c>
      <x:c r="B1661" t="str">
        <x:v>WAVE_45</x:v>
      </x:c>
      <x:c r="C1661" s="409" t="n">
        <x:v>442.8</x:v>
      </x:c>
      <x:c r="D1661" s="410" t="n">
        <x:v>18</x:v>
      </x:c>
      <x:c r="E1661" t="str">
        <x:v>BOTTOM_01</x:v>
      </x:c>
      <x:c r="F1661" t="str">
        <x:v>GoblinMelee</x:v>
      </x:c>
      <x:c r="G1661" s="410" t="n">
        <x:v>39</x:v>
      </x:c>
    </x:row>
    <x:row r="1662">
      <x:c r="A1662" t="str">
        <x:v>Stage01</x:v>
      </x:c>
      <x:c r="B1662" t="str">
        <x:v>WAVE_45</x:v>
      </x:c>
      <x:c r="C1662" s="409" t="n">
        <x:v>442.91</x:v>
      </x:c>
      <x:c r="D1662" s="410" t="n">
        <x:v>19</x:v>
      </x:c>
      <x:c r="E1662" t="str">
        <x:v>LEFT_02</x:v>
      </x:c>
      <x:c r="F1662" t="str">
        <x:v>GoblinMelee</x:v>
      </x:c>
      <x:c r="G1662" s="410" t="n">
        <x:v>38</x:v>
      </x:c>
    </x:row>
    <x:row r="1663">
      <x:c r="A1663" t="str">
        <x:v>Stage01</x:v>
      </x:c>
      <x:c r="B1663" t="str">
        <x:v>WAVE_45</x:v>
      </x:c>
      <x:c r="C1663" s="409" t="n">
        <x:v>443.02</x:v>
      </x:c>
      <x:c r="D1663" s="410" t="n">
        <x:v>20</x:v>
      </x:c>
      <x:c r="E1663" t="str">
        <x:v>TOP_04</x:v>
      </x:c>
      <x:c r="F1663" t="str">
        <x:v>ShieldSkeleton</x:v>
      </x:c>
      <x:c r="G1663" s="410" t="n">
        <x:v>39</x:v>
      </x:c>
    </x:row>
    <x:row r="1664">
      <x:c r="A1664" t="str">
        <x:v>Stage01</x:v>
      </x:c>
      <x:c r="B1664" t="str">
        <x:v>WAVE_45</x:v>
      </x:c>
      <x:c r="C1664" s="409" t="n">
        <x:v>443.12</x:v>
      </x:c>
      <x:c r="D1664" s="410" t="n">
        <x:v>21</x:v>
      </x:c>
      <x:c r="E1664" t="str">
        <x:v>RIGHT_05</x:v>
      </x:c>
      <x:c r="F1664" t="str">
        <x:v>GoblinMelee</x:v>
      </x:c>
      <x:c r="G1664" s="410" t="n">
        <x:v>38</x:v>
      </x:c>
    </x:row>
    <x:row r="1665">
      <x:c r="A1665" t="str">
        <x:v>Stage01</x:v>
      </x:c>
      <x:c r="B1665" t="str">
        <x:v>WAVE_45</x:v>
      </x:c>
      <x:c r="C1665" s="409" t="n">
        <x:v>443.23</x:v>
      </x:c>
      <x:c r="D1665" s="410" t="n">
        <x:v>22</x:v>
      </x:c>
      <x:c r="E1665" t="str">
        <x:v>BOTTOM_06</x:v>
      </x:c>
      <x:c r="F1665" t="str">
        <x:v>GoblinRanged</x:v>
      </x:c>
      <x:c r="G1665" s="410" t="n">
        <x:v>39</x:v>
      </x:c>
    </x:row>
    <x:row r="1666">
      <x:c r="A1666" t="str">
        <x:v>Stage01</x:v>
      </x:c>
      <x:c r="B1666" t="str">
        <x:v>WAVE_45</x:v>
      </x:c>
      <x:c r="C1666" s="409" t="n">
        <x:v>443.34</x:v>
      </x:c>
      <x:c r="D1666" s="410" t="n">
        <x:v>23</x:v>
      </x:c>
      <x:c r="E1666" t="str">
        <x:v>LEFT_07</x:v>
      </x:c>
      <x:c r="F1666" t="str">
        <x:v>GoblinMelee</x:v>
      </x:c>
      <x:c r="G1666" s="410" t="n">
        <x:v>38</x:v>
      </x:c>
    </x:row>
    <x:row r="1667">
      <x:c r="A1667" t="str">
        <x:v>Stage01</x:v>
      </x:c>
      <x:c r="B1667" t="str">
        <x:v>WAVE_45</x:v>
      </x:c>
      <x:c r="C1667" s="409" t="n">
        <x:v>443.44</x:v>
      </x:c>
      <x:c r="D1667" s="410" t="n">
        <x:v>24</x:v>
      </x:c>
      <x:c r="E1667" t="str">
        <x:v>TOP_01</x:v>
      </x:c>
      <x:c r="F1667" t="str">
        <x:v>GoblinMelee</x:v>
      </x:c>
      <x:c r="G1667" s="410" t="n">
        <x:v>39</x:v>
      </x:c>
    </x:row>
    <x:row r="1668">
      <x:c r="A1668" t="str">
        <x:v>Stage01</x:v>
      </x:c>
      <x:c r="B1668" t="str">
        <x:v>WAVE_45</x:v>
      </x:c>
      <x:c r="C1668" s="409" t="n">
        <x:v>443.55</x:v>
      </x:c>
      <x:c r="D1668" s="410" t="n">
        <x:v>25</x:v>
      </x:c>
      <x:c r="E1668" t="str">
        <x:v>RIGHT_02</x:v>
      </x:c>
      <x:c r="F1668" t="str">
        <x:v>GoblinRanged</x:v>
      </x:c>
      <x:c r="G1668" s="410" t="n">
        <x:v>38</x:v>
      </x:c>
    </x:row>
    <x:row r="1669">
      <x:c r="A1669" t="str">
        <x:v>Stage01</x:v>
      </x:c>
      <x:c r="B1669" t="str">
        <x:v>WAVE_45</x:v>
      </x:c>
      <x:c r="C1669" s="409" t="n">
        <x:v>443.65</x:v>
      </x:c>
      <x:c r="D1669" s="410" t="n">
        <x:v>26</x:v>
      </x:c>
      <x:c r="E1669" t="str">
        <x:v>BOTTOM_03</x:v>
      </x:c>
      <x:c r="F1669" t="str">
        <x:v>FlyingEye</x:v>
      </x:c>
      <x:c r="G1669" s="410" t="n">
        <x:v>39</x:v>
      </x:c>
    </x:row>
    <x:row r="1670">
      <x:c r="A1670" t="str">
        <x:v>Stage01</x:v>
      </x:c>
      <x:c r="B1670" t="str">
        <x:v>WAVE_45</x:v>
      </x:c>
      <x:c r="C1670" s="409" t="n">
        <x:v>443.76</x:v>
      </x:c>
      <x:c r="D1670" s="410" t="n">
        <x:v>27</x:v>
      </x:c>
      <x:c r="E1670" t="str">
        <x:v>LEFT_04</x:v>
      </x:c>
      <x:c r="F1670" t="str">
        <x:v>GoblinMelee</x:v>
      </x:c>
      <x:c r="G1670" s="410" t="n">
        <x:v>38</x:v>
      </x:c>
    </x:row>
    <x:row r="1671">
      <x:c r="A1671" t="str">
        <x:v>Stage01</x:v>
      </x:c>
      <x:c r="B1671" t="str">
        <x:v>WAVE_45</x:v>
      </x:c>
      <x:c r="C1671" s="409" t="n">
        <x:v>443.87</x:v>
      </x:c>
      <x:c r="D1671" s="410" t="n">
        <x:v>28</x:v>
      </x:c>
      <x:c r="E1671" t="str">
        <x:v>TOP_06</x:v>
      </x:c>
      <x:c r="F1671" t="str">
        <x:v>GoblinRanged</x:v>
      </x:c>
      <x:c r="G1671" s="410" t="n">
        <x:v>39</x:v>
      </x:c>
    </x:row>
    <x:row r="1672">
      <x:c r="A1672" t="str">
        <x:v>Stage01</x:v>
      </x:c>
      <x:c r="B1672" t="str">
        <x:v>WAVE_45</x:v>
      </x:c>
      <x:c r="C1672" s="409" t="n">
        <x:v>443.97</x:v>
      </x:c>
      <x:c r="D1672" s="410" t="n">
        <x:v>29</x:v>
      </x:c>
      <x:c r="E1672" t="str">
        <x:v>RIGHT_07</x:v>
      </x:c>
      <x:c r="F1672" t="str">
        <x:v>GoblinMelee</x:v>
      </x:c>
      <x:c r="G1672" s="410" t="n">
        <x:v>38</x:v>
      </x:c>
    </x:row>
    <x:row r="1673">
      <x:c r="A1673" t="str">
        <x:v>Stage01</x:v>
      </x:c>
      <x:c r="B1673" t="str">
        <x:v>WAVE_45</x:v>
      </x:c>
      <x:c r="C1673" s="409" t="n">
        <x:v>444.08</x:v>
      </x:c>
      <x:c r="D1673" s="410" t="n">
        <x:v>30</x:v>
      </x:c>
      <x:c r="E1673" t="str">
        <x:v>BOTTOM_08</x:v>
      </x:c>
      <x:c r="F1673" t="str">
        <x:v>ShieldSkeleton</x:v>
      </x:c>
      <x:c r="G1673" s="410" t="n">
        <x:v>39</x:v>
      </x:c>
    </x:row>
    <x:row r="1674">
      <x:c r="A1674" t="str">
        <x:v>Stage01</x:v>
      </x:c>
      <x:c r="B1674" t="str">
        <x:v>WAVE_45</x:v>
      </x:c>
      <x:c r="C1674" s="409" t="n">
        <x:v>444.19</x:v>
      </x:c>
      <x:c r="D1674" s="410" t="n">
        <x:v>31</x:v>
      </x:c>
      <x:c r="E1674" t="str">
        <x:v>LEFT_01</x:v>
      </x:c>
      <x:c r="F1674" t="str">
        <x:v>GoblinMelee</x:v>
      </x:c>
      <x:c r="G1674" s="410" t="n">
        <x:v>38</x:v>
      </x:c>
    </x:row>
    <x:row r="1675">
      <x:c r="A1675" t="str">
        <x:v>Stage01</x:v>
      </x:c>
      <x:c r="B1675" t="str">
        <x:v>WAVE_45</x:v>
      </x:c>
      <x:c r="C1675" s="409" t="n">
        <x:v>444.29</x:v>
      </x:c>
      <x:c r="D1675" s="410" t="n">
        <x:v>32</x:v>
      </x:c>
      <x:c r="E1675" t="str">
        <x:v>TOP_03</x:v>
      </x:c>
      <x:c r="F1675" t="str">
        <x:v>GoblinRanged</x:v>
      </x:c>
      <x:c r="G1675" s="410" t="n">
        <x:v>39</x:v>
      </x:c>
    </x:row>
    <x:row r="1676">
      <x:c r="A1676" t="str">
        <x:v>Stage01</x:v>
      </x:c>
      <x:c r="B1676" t="str">
        <x:v>WAVE_45</x:v>
      </x:c>
      <x:c r="C1676" s="409" t="n">
        <x:v>444.4</x:v>
      </x:c>
      <x:c r="D1676" s="410" t="n">
        <x:v>33</x:v>
      </x:c>
      <x:c r="E1676" t="str">
        <x:v>RIGHT_04</x:v>
      </x:c>
      <x:c r="F1676" t="str">
        <x:v>GoblinMelee</x:v>
      </x:c>
      <x:c r="G1676" s="410" t="n">
        <x:v>38</x:v>
      </x:c>
    </x:row>
    <x:row r="1677">
      <x:c r="A1677" t="str">
        <x:v>Stage01</x:v>
      </x:c>
      <x:c r="B1677" t="str">
        <x:v>WAVE_45</x:v>
      </x:c>
      <x:c r="C1677" s="409" t="n">
        <x:v>444.5</x:v>
      </x:c>
      <x:c r="D1677" s="410" t="n">
        <x:v>34</x:v>
      </x:c>
      <x:c r="E1677" t="str">
        <x:v>BOTTOM_05</x:v>
      </x:c>
      <x:c r="F1677" t="str">
        <x:v>GoblinMelee</x:v>
      </x:c>
      <x:c r="G1677" s="410" t="n">
        <x:v>39</x:v>
      </x:c>
    </x:row>
    <x:row r="1678">
      <x:c r="A1678" t="str">
        <x:v>Stage01</x:v>
      </x:c>
      <x:c r="B1678" t="str">
        <x:v>WAVE_45</x:v>
      </x:c>
      <x:c r="C1678" s="409" t="n">
        <x:v>444.61</x:v>
      </x:c>
      <x:c r="D1678" s="410" t="n">
        <x:v>35</x:v>
      </x:c>
      <x:c r="E1678" t="str">
        <x:v>LEFT_06</x:v>
      </x:c>
      <x:c r="F1678" t="str">
        <x:v>GoblinRanged</x:v>
      </x:c>
      <x:c r="G1678" s="410" t="n">
        <x:v>38</x:v>
      </x:c>
    </x:row>
    <x:row r="1679">
      <x:c r="A1679" t="str">
        <x:v>Stage01</x:v>
      </x:c>
      <x:c r="B1679" t="str">
        <x:v>WAVE_45</x:v>
      </x:c>
      <x:c r="C1679" s="409" t="n">
        <x:v>444.72</x:v>
      </x:c>
      <x:c r="D1679" s="410" t="n">
        <x:v>36</x:v>
      </x:c>
      <x:c r="E1679" t="str">
        <x:v>TOP_08</x:v>
      </x:c>
      <x:c r="F1679" t="str">
        <x:v>GoblinMelee</x:v>
      </x:c>
      <x:c r="G1679" s="410" t="n">
        <x:v>39</x:v>
      </x:c>
    </x:row>
    <x:row r="1680">
      <x:c r="A1680" t="str">
        <x:v>Stage01</x:v>
      </x:c>
      <x:c r="B1680" t="str">
        <x:v>WAVE_45</x:v>
      </x:c>
      <x:c r="C1680" s="409" t="n">
        <x:v>444.82</x:v>
      </x:c>
      <x:c r="D1680" s="410" t="n">
        <x:v>37</x:v>
      </x:c>
      <x:c r="E1680" t="str">
        <x:v>RIGHT_01</x:v>
      </x:c>
      <x:c r="F1680" t="str">
        <x:v>GoblinMelee</x:v>
      </x:c>
      <x:c r="G1680" s="410" t="n">
        <x:v>38</x:v>
      </x:c>
    </x:row>
    <x:row r="1681">
      <x:c r="A1681" t="str">
        <x:v>Stage01</x:v>
      </x:c>
      <x:c r="B1681" t="str">
        <x:v>WAVE_45</x:v>
      </x:c>
      <x:c r="C1681" s="409" t="n">
        <x:v>444.93</x:v>
      </x:c>
      <x:c r="D1681" s="410" t="n">
        <x:v>38</x:v>
      </x:c>
      <x:c r="E1681" t="str">
        <x:v>BOTTOM_02</x:v>
      </x:c>
      <x:c r="F1681" t="str">
        <x:v>ShieldSkeleton</x:v>
      </x:c>
      <x:c r="G1681" s="410" t="n">
        <x:v>39</x:v>
      </x:c>
    </x:row>
    <x:row r="1682">
      <x:c r="A1682" t="str">
        <x:v>Stage01</x:v>
      </x:c>
      <x:c r="B1682" t="str">
        <x:v>WAVE_45</x:v>
      </x:c>
      <x:c r="C1682" s="409" t="n">
        <x:v>445.03</x:v>
      </x:c>
      <x:c r="D1682" s="410" t="n">
        <x:v>39</x:v>
      </x:c>
      <x:c r="E1682" t="str">
        <x:v>LEFT_03</x:v>
      </x:c>
      <x:c r="F1682" t="str">
        <x:v>FlyingEye</x:v>
      </x:c>
      <x:c r="G1682" s="410" t="n">
        <x:v>38</x:v>
      </x:c>
    </x:row>
    <x:row r="1683">
      <x:c r="A1683" t="str">
        <x:v>Stage01</x:v>
      </x:c>
      <x:c r="B1683" t="str">
        <x:v>WAVE_45</x:v>
      </x:c>
      <x:c r="C1683" s="409" t="n">
        <x:v>445.14</x:v>
      </x:c>
      <x:c r="D1683" s="410" t="n">
        <x:v>40</x:v>
      </x:c>
      <x:c r="E1683" t="str">
        <x:v>TOP_05</x:v>
      </x:c>
      <x:c r="F1683" t="str">
        <x:v>GoblinRanged</x:v>
      </x:c>
      <x:c r="G1683" s="410" t="n">
        <x:v>39</x:v>
      </x:c>
    </x:row>
    <x:row r="1684">
      <x:c r="A1684" t="str">
        <x:v>Stage01</x:v>
      </x:c>
      <x:c r="B1684" t="str">
        <x:v>WAVE_45</x:v>
      </x:c>
      <x:c r="C1684" s="409" t="n">
        <x:v>445.25</x:v>
      </x:c>
      <x:c r="D1684" s="410" t="n">
        <x:v>41</x:v>
      </x:c>
      <x:c r="E1684" t="str">
        <x:v>RIGHT_06</x:v>
      </x:c>
      <x:c r="F1684" t="str">
        <x:v>GoblinMelee</x:v>
      </x:c>
      <x:c r="G1684" s="410" t="n">
        <x:v>38</x:v>
      </x:c>
    </x:row>
    <x:row r="1685">
      <x:c r="A1685" t="str">
        <x:v>Stage01</x:v>
      </x:c>
      <x:c r="B1685" t="str">
        <x:v>WAVE_45</x:v>
      </x:c>
      <x:c r="C1685" s="409" t="n">
        <x:v>445.35</x:v>
      </x:c>
      <x:c r="D1685" s="410" t="n">
        <x:v>42</x:v>
      </x:c>
      <x:c r="E1685" t="str">
        <x:v>BOTTOM_07</x:v>
      </x:c>
      <x:c r="F1685" t="str">
        <x:v>GoblinMelee</x:v>
      </x:c>
      <x:c r="G1685" s="410" t="n">
        <x:v>38</x:v>
      </x:c>
    </x:row>
    <x:row r="1686">
      <x:c r="A1686" t="str">
        <x:v>Stage01</x:v>
      </x:c>
      <x:c r="B1686" t="str">
        <x:v>WAVE_45</x:v>
      </x:c>
      <x:c r="C1686" s="409" t="n">
        <x:v>445.46</x:v>
      </x:c>
      <x:c r="D1686" s="410" t="n">
        <x:v>43</x:v>
      </x:c>
      <x:c r="E1686" t="str">
        <x:v>LEFT_08</x:v>
      </x:c>
      <x:c r="F1686" t="str">
        <x:v>GoblinRanged</x:v>
      </x:c>
      <x:c r="G1686" s="410" t="n">
        <x:v>39</x:v>
      </x:c>
    </x:row>
    <x:row r="1687">
      <x:c r="A1687" t="str">
        <x:v>Stage01</x:v>
      </x:c>
      <x:c r="B1687" t="str">
        <x:v>WAVE_45</x:v>
      </x:c>
      <x:c r="C1687" s="409" t="n">
        <x:v>445.57</x:v>
      </x:c>
      <x:c r="D1687" s="410" t="n">
        <x:v>44</x:v>
      </x:c>
      <x:c r="E1687" t="str">
        <x:v>TOP_02</x:v>
      </x:c>
      <x:c r="F1687" t="str">
        <x:v>GoblinMelee</x:v>
      </x:c>
      <x:c r="G1687" s="410" t="n">
        <x:v>38</x:v>
      </x:c>
    </x:row>
    <x:row r="1688">
      <x:c r="A1688" t="str">
        <x:v>Stage01</x:v>
      </x:c>
      <x:c r="B1688" t="str">
        <x:v>WAVE_45</x:v>
      </x:c>
      <x:c r="C1688" s="409" t="n">
        <x:v>445.67</x:v>
      </x:c>
      <x:c r="D1688" s="410" t="n">
        <x:v>45</x:v>
      </x:c>
      <x:c r="E1688" t="str">
        <x:v>RIGHT_03</x:v>
      </x:c>
      <x:c r="F1688" t="str">
        <x:v>ShieldSkeleton</x:v>
      </x:c>
      <x:c r="G1688" s="410" t="n">
        <x:v>39</x:v>
      </x:c>
    </x:row>
    <x:row r="1689">
      <x:c r="A1689" t="str">
        <x:v>Stage01</x:v>
      </x:c>
      <x:c r="B1689" t="str">
        <x:v>WAVE_45</x:v>
      </x:c>
      <x:c r="C1689" s="409" t="n">
        <x:v>445.78</x:v>
      </x:c>
      <x:c r="D1689" s="410" t="n">
        <x:v>46</x:v>
      </x:c>
      <x:c r="E1689" t="str">
        <x:v>BOTTOM_04</x:v>
      </x:c>
      <x:c r="F1689" t="str">
        <x:v>GoblinMelee</x:v>
      </x:c>
      <x:c r="G1689" s="410" t="n">
        <x:v>38</x:v>
      </x:c>
    </x:row>
    <x:row r="1690">
      <x:c r="A1690" t="str">
        <x:v>Stage01</x:v>
      </x:c>
      <x:c r="B1690" t="str">
        <x:v>WAVE_45</x:v>
      </x:c>
      <x:c r="C1690" s="409" t="n">
        <x:v>445.88</x:v>
      </x:c>
      <x:c r="D1690" s="410" t="n">
        <x:v>47</x:v>
      </x:c>
      <x:c r="E1690" t="str">
        <x:v>LEFT_05</x:v>
      </x:c>
      <x:c r="F1690" t="str">
        <x:v>GoblinMelee</x:v>
      </x:c>
      <x:c r="G1690" s="410" t="n">
        <x:v>39</x:v>
      </x:c>
    </x:row>
    <x:row r="1691">
      <x:c r="A1691" t="str">
        <x:v>Stage01</x:v>
      </x:c>
      <x:c r="B1691" t="str">
        <x:v>WAVE_45</x:v>
      </x:c>
      <x:c r="C1691" s="409" t="n">
        <x:v>445.99</x:v>
      </x:c>
      <x:c r="D1691" s="410" t="n">
        <x:v>48</x:v>
      </x:c>
      <x:c r="E1691" t="str">
        <x:v>TOP_07</x:v>
      </x:c>
      <x:c r="F1691" t="str">
        <x:v>GoblinRanged</x:v>
      </x:c>
      <x:c r="G1691" s="410" t="n">
        <x:v>38</x:v>
      </x:c>
    </x:row>
    <x:row r="1692">
      <x:c r="A1692" t="str">
        <x:v>Stage01</x:v>
      </x:c>
      <x:c r="B1692" t="str">
        <x:v>WAVE_45</x:v>
      </x:c>
      <x:c r="C1692" s="409" t="n">
        <x:v>446.1</x:v>
      </x:c>
      <x:c r="D1692" s="410" t="n">
        <x:v>49</x:v>
      </x:c>
      <x:c r="E1692" t="str">
        <x:v>RIGHT_08</x:v>
      </x:c>
      <x:c r="F1692" t="str">
        <x:v>GoblinMelee</x:v>
      </x:c>
      <x:c r="G1692" s="410" t="n">
        <x:v>39</x:v>
      </x:c>
    </x:row>
    <x:row r="1693">
      <x:c r="A1693" t="str">
        <x:v>Stage01</x:v>
      </x:c>
      <x:c r="B1693" t="str">
        <x:v>WAVE_45</x:v>
      </x:c>
      <x:c r="C1693" s="409" t="n">
        <x:v>446.2</x:v>
      </x:c>
      <x:c r="D1693" s="410" t="n">
        <x:v>50</x:v>
      </x:c>
      <x:c r="E1693" t="str">
        <x:v>BOTTOM_01</x:v>
      </x:c>
      <x:c r="F1693" t="str">
        <x:v>GoblinMelee</x:v>
      </x:c>
      <x:c r="G1693" s="410" t="n">
        <x:v>38</x:v>
      </x:c>
    </x:row>
    <x:row r="1694">
      <x:c r="A1694" t="str">
        <x:v>Stage01</x:v>
      </x:c>
      <x:c r="B1694" t="str">
        <x:v>WAVE_45</x:v>
      </x:c>
      <x:c r="C1694" s="409" t="n">
        <x:v>446.31</x:v>
      </x:c>
      <x:c r="D1694" s="410" t="n">
        <x:v>51</x:v>
      </x:c>
      <x:c r="E1694" t="str">
        <x:v>LEFT_02</x:v>
      </x:c>
      <x:c r="F1694" t="str">
        <x:v>GoblinRanged</x:v>
      </x:c>
      <x:c r="G1694" s="410" t="n">
        <x:v>39</x:v>
      </x:c>
    </x:row>
    <x:row r="1695">
      <x:c r="A1695" t="str">
        <x:v>Stage01</x:v>
      </x:c>
      <x:c r="B1695" t="str">
        <x:v>WAVE_45</x:v>
      </x:c>
      <x:c r="C1695" s="409" t="n">
        <x:v>446.41</x:v>
      </x:c>
      <x:c r="D1695" s="410" t="n">
        <x:v>52</x:v>
      </x:c>
      <x:c r="E1695" t="str">
        <x:v>TOP_04</x:v>
      </x:c>
      <x:c r="F1695" t="str">
        <x:v>FlyingEye</x:v>
      </x:c>
      <x:c r="G1695" s="410" t="n">
        <x:v>38</x:v>
      </x:c>
    </x:row>
    <x:row r="1696">
      <x:c r="A1696" t="str">
        <x:v>Stage01</x:v>
      </x:c>
      <x:c r="B1696" t="str">
        <x:v>WAVE_45</x:v>
      </x:c>
      <x:c r="C1696" s="409" t="n">
        <x:v>446.52</x:v>
      </x:c>
      <x:c r="D1696" s="410" t="n">
        <x:v>53</x:v>
      </x:c>
      <x:c r="E1696" t="str">
        <x:v>RIGHT_05</x:v>
      </x:c>
      <x:c r="F1696" t="str">
        <x:v>ShieldSkeleton</x:v>
      </x:c>
      <x:c r="G1696" s="410" t="n">
        <x:v>39</x:v>
      </x:c>
    </x:row>
    <x:row r="1697">
      <x:c r="A1697" t="str">
        <x:v>Stage01</x:v>
      </x:c>
      <x:c r="B1697" t="str">
        <x:v>WAVE_45</x:v>
      </x:c>
      <x:c r="C1697" s="409" t="n">
        <x:v>446.63</x:v>
      </x:c>
      <x:c r="D1697" s="410" t="n">
        <x:v>54</x:v>
      </x:c>
      <x:c r="E1697" t="str">
        <x:v>BOTTOM_06</x:v>
      </x:c>
      <x:c r="F1697" t="str">
        <x:v>GoblinMelee</x:v>
      </x:c>
      <x:c r="G1697" s="410" t="n">
        <x:v>38</x:v>
      </x:c>
    </x:row>
    <x:row r="1698">
      <x:c r="A1698" t="str">
        <x:v>Stage01</x:v>
      </x:c>
      <x:c r="B1698" t="str">
        <x:v>WAVE_45</x:v>
      </x:c>
      <x:c r="C1698" s="409" t="n">
        <x:v>446.73</x:v>
      </x:c>
      <x:c r="D1698" s="410" t="n">
        <x:v>55</x:v>
      </x:c>
      <x:c r="E1698" t="str">
        <x:v>LEFT_07</x:v>
      </x:c>
      <x:c r="F1698" t="str">
        <x:v>GoblinRanged</x:v>
      </x:c>
      <x:c r="G1698" s="410" t="n">
        <x:v>39</x:v>
      </x:c>
    </x:row>
    <x:row r="1699">
      <x:c r="A1699" t="str">
        <x:v>Stage01</x:v>
      </x:c>
      <x:c r="B1699" t="str">
        <x:v>WAVE_45</x:v>
      </x:c>
      <x:c r="C1699" s="409" t="n">
        <x:v>446.84</x:v>
      </x:c>
      <x:c r="D1699" s="410" t="n">
        <x:v>56</x:v>
      </x:c>
      <x:c r="E1699" t="str">
        <x:v>TOP_01</x:v>
      </x:c>
      <x:c r="F1699" t="str">
        <x:v>GoblinMelee</x:v>
      </x:c>
      <x:c r="G1699" s="410" t="n">
        <x:v>38</x:v>
      </x:c>
    </x:row>
    <x:row r="1700">
      <x:c r="A1700" t="str">
        <x:v>Stage01</x:v>
      </x:c>
      <x:c r="B1700" t="str">
        <x:v>WAVE_45</x:v>
      </x:c>
      <x:c r="C1700" s="409" t="n">
        <x:v>446.95</x:v>
      </x:c>
      <x:c r="D1700" s="410" t="n">
        <x:v>57</x:v>
      </x:c>
      <x:c r="E1700" t="str">
        <x:v>RIGHT_02</x:v>
      </x:c>
      <x:c r="F1700" t="str">
        <x:v>GoblinMelee</x:v>
      </x:c>
      <x:c r="G1700" s="410" t="n">
        <x:v>39</x:v>
      </x:c>
    </x:row>
    <x:row r="1701">
      <x:c r="A1701" t="str">
        <x:v>Stage01</x:v>
      </x:c>
      <x:c r="B1701" t="str">
        <x:v>WAVE_45</x:v>
      </x:c>
      <x:c r="C1701" s="409" t="n">
        <x:v>447.05</x:v>
      </x:c>
      <x:c r="D1701" s="410" t="n">
        <x:v>58</x:v>
      </x:c>
      <x:c r="E1701" t="str">
        <x:v>BOTTOM_03</x:v>
      </x:c>
      <x:c r="F1701" t="str">
        <x:v>GoblinRanged</x:v>
      </x:c>
      <x:c r="G1701" s="410" t="n">
        <x:v>38</x:v>
      </x:c>
    </x:row>
    <x:row r="1702">
      <x:c r="A1702" t="str">
        <x:v>Stage01</x:v>
      </x:c>
      <x:c r="B1702" t="str">
        <x:v>WAVE_45</x:v>
      </x:c>
      <x:c r="C1702" s="409" t="n">
        <x:v>447.16</x:v>
      </x:c>
      <x:c r="D1702" s="410" t="n">
        <x:v>59</x:v>
      </x:c>
      <x:c r="E1702" t="str">
        <x:v>LEFT_04</x:v>
      </x:c>
      <x:c r="F1702" t="str">
        <x:v>GoblinMelee</x:v>
      </x:c>
      <x:c r="G1702" s="410" t="n">
        <x:v>39</x:v>
      </x:c>
    </x:row>
    <x:row r="1703">
      <x:c r="A1703" t="str">
        <x:v>Stage01</x:v>
      </x:c>
      <x:c r="B1703" t="str">
        <x:v>WAVE_45</x:v>
      </x:c>
      <x:c r="C1703" s="409" t="n">
        <x:v>447.26</x:v>
      </x:c>
      <x:c r="D1703" s="410" t="n">
        <x:v>60</x:v>
      </x:c>
      <x:c r="E1703" t="str">
        <x:v>TOP_06</x:v>
      </x:c>
      <x:c r="F1703" t="str">
        <x:v>GoblinMelee</x:v>
      </x:c>
      <x:c r="G1703" s="410" t="n">
        <x:v>38</x:v>
      </x:c>
    </x:row>
    <x:row r="1704">
      <x:c r="A1704" t="str">
        <x:v>Stage01</x:v>
      </x:c>
      <x:c r="B1704" t="str">
        <x:v>WAVE_45</x:v>
      </x:c>
      <x:c r="C1704" s="409" t="n">
        <x:v>447.37</x:v>
      </x:c>
      <x:c r="D1704" s="410" t="n">
        <x:v>61</x:v>
      </x:c>
      <x:c r="E1704" t="str">
        <x:v>RIGHT_07</x:v>
      </x:c>
      <x:c r="F1704" t="str">
        <x:v>ShieldSkeleton</x:v>
      </x:c>
      <x:c r="G1704" s="410" t="n">
        <x:v>39</x:v>
      </x:c>
    </x:row>
    <x:row r="1705">
      <x:c r="A1705" t="str">
        <x:v>Stage01</x:v>
      </x:c>
      <x:c r="B1705" t="str">
        <x:v>WAVE_45</x:v>
      </x:c>
      <x:c r="C1705" s="409" t="n">
        <x:v>447.48</x:v>
      </x:c>
      <x:c r="D1705" s="410" t="n">
        <x:v>62</x:v>
      </x:c>
      <x:c r="E1705" t="str">
        <x:v>BOTTOM_08</x:v>
      </x:c>
      <x:c r="F1705" t="str">
        <x:v>GoblinMelee</x:v>
      </x:c>
      <x:c r="G1705" s="410" t="n">
        <x:v>38</x:v>
      </x:c>
    </x:row>
    <x:row r="1706">
      <x:c r="A1706" t="str">
        <x:v>Stage01</x:v>
      </x:c>
      <x:c r="B1706" t="str">
        <x:v>WAVE_45</x:v>
      </x:c>
      <x:c r="C1706" s="409" t="n">
        <x:v>447.58</x:v>
      </x:c>
      <x:c r="D1706" s="410" t="n">
        <x:v>63</x:v>
      </x:c>
      <x:c r="E1706" t="str">
        <x:v>LEFT_01</x:v>
      </x:c>
      <x:c r="F1706" t="str">
        <x:v>GoblinRanged</x:v>
      </x:c>
      <x:c r="G1706" s="410" t="n">
        <x:v>39</x:v>
      </x:c>
    </x:row>
    <x:row r="1707">
      <x:c r="A1707" t="str">
        <x:v>Stage01</x:v>
      </x:c>
      <x:c r="B1707" t="str">
        <x:v>WAVE_45</x:v>
      </x:c>
      <x:c r="C1707" s="409" t="n">
        <x:v>447.69</x:v>
      </x:c>
      <x:c r="D1707" s="410" t="n">
        <x:v>64</x:v>
      </x:c>
      <x:c r="E1707" t="str">
        <x:v>TOP_03</x:v>
      </x:c>
      <x:c r="F1707" t="str">
        <x:v>GoblinMelee</x:v>
      </x:c>
      <x:c r="G1707" s="410" t="n">
        <x:v>38</x:v>
      </x:c>
    </x:row>
    <x:row r="1708">
      <x:c r="A1708" t="str">
        <x:v>Stage01</x:v>
      </x:c>
      <x:c r="B1708" t="str">
        <x:v>WAVE_45</x:v>
      </x:c>
      <x:c r="C1708" s="409" t="n">
        <x:v>447.8</x:v>
      </x:c>
      <x:c r="D1708" s="410" t="n">
        <x:v>65</x:v>
      </x:c>
      <x:c r="E1708" t="str">
        <x:v>RIGHT_04</x:v>
      </x:c>
      <x:c r="F1708" t="str">
        <x:v>FlyingEye</x:v>
      </x:c>
      <x:c r="G1708" s="410" t="n">
        <x:v>39</x:v>
      </x:c>
    </x:row>
    <x:row r="1709">
      <x:c r="A1709" t="str">
        <x:v>Stage01</x:v>
      </x:c>
      <x:c r="B1709" t="str">
        <x:v>WAVE_45</x:v>
      </x:c>
      <x:c r="C1709" s="409" t="n">
        <x:v>447.9</x:v>
      </x:c>
      <x:c r="D1709" s="410" t="n">
        <x:v>66</x:v>
      </x:c>
      <x:c r="E1709" t="str">
        <x:v>BOTTOM_05</x:v>
      </x:c>
      <x:c r="F1709" t="str">
        <x:v>GoblinRanged</x:v>
      </x:c>
      <x:c r="G1709" s="410" t="n">
        <x:v>38</x:v>
      </x:c>
    </x:row>
    <x:row r="1710">
      <x:c r="A1710" t="str">
        <x:v>Stage01</x:v>
      </x:c>
      <x:c r="B1710" t="str">
        <x:v>WAVE_45</x:v>
      </x:c>
      <x:c r="C1710" s="409" t="n">
        <x:v>448.01</x:v>
      </x:c>
      <x:c r="D1710" s="410" t="n">
        <x:v>67</x:v>
      </x:c>
      <x:c r="E1710" t="str">
        <x:v>LEFT_06</x:v>
      </x:c>
      <x:c r="F1710" t="str">
        <x:v>GoblinMelee</x:v>
      </x:c>
      <x:c r="G1710" s="410" t="n">
        <x:v>39</x:v>
      </x:c>
    </x:row>
    <x:row r="1711">
      <x:c r="A1711" t="str">
        <x:v>Stage01</x:v>
      </x:c>
      <x:c r="B1711" t="str">
        <x:v>WAVE_45</x:v>
      </x:c>
      <x:c r="C1711" s="409" t="n">
        <x:v>448.11</x:v>
      </x:c>
      <x:c r="D1711" s="410" t="n">
        <x:v>68</x:v>
      </x:c>
      <x:c r="E1711" t="str">
        <x:v>TOP_08</x:v>
      </x:c>
      <x:c r="F1711" t="str">
        <x:v>GoblinMelee</x:v>
      </x:c>
      <x:c r="G1711" s="410" t="n">
        <x:v>38</x:v>
      </x:c>
    </x:row>
    <x:row r="1712">
      <x:c r="A1712" t="str">
        <x:v>Stage01</x:v>
      </x:c>
      <x:c r="B1712" t="str">
        <x:v>WAVE_45</x:v>
      </x:c>
      <x:c r="C1712" s="409" t="n">
        <x:v>448.22</x:v>
      </x:c>
      <x:c r="D1712" s="410" t="n">
        <x:v>69</x:v>
      </x:c>
      <x:c r="E1712" t="str">
        <x:v>RIGHT_01</x:v>
      </x:c>
      <x:c r="F1712" t="str">
        <x:v>GoblinRanged</x:v>
      </x:c>
      <x:c r="G1712" s="410" t="n">
        <x:v>39</x:v>
      </x:c>
    </x:row>
    <x:row r="1713">
      <x:c r="A1713" t="str">
        <x:v>Stage01</x:v>
      </x:c>
      <x:c r="B1713" t="str">
        <x:v>WAVE_45</x:v>
      </x:c>
      <x:c r="C1713" s="409" t="n">
        <x:v>448.33</x:v>
      </x:c>
      <x:c r="D1713" s="410" t="n">
        <x:v>70</x:v>
      </x:c>
      <x:c r="E1713" t="str">
        <x:v>BOTTOM_02</x:v>
      </x:c>
      <x:c r="F1713" t="str">
        <x:v>GoblinMelee</x:v>
      </x:c>
      <x:c r="G1713" s="410" t="n">
        <x:v>38</x:v>
      </x:c>
    </x:row>
    <x:row r="1714">
      <x:c r="A1714" t="str">
        <x:v>Stage01</x:v>
      </x:c>
      <x:c r="B1714" t="str">
        <x:v>WAVE_45</x:v>
      </x:c>
      <x:c r="C1714" s="409" t="n">
        <x:v>448.43</x:v>
      </x:c>
      <x:c r="D1714" s="410" t="n">
        <x:v>71</x:v>
      </x:c>
      <x:c r="E1714" t="str">
        <x:v>LEFT_03</x:v>
      </x:c>
      <x:c r="F1714" t="str">
        <x:v>ShieldSkeleton</x:v>
      </x:c>
      <x:c r="G1714" s="410" t="n">
        <x:v>39</x:v>
      </x:c>
    </x:row>
    <x:row r="1715">
      <x:c r="A1715" t="str">
        <x:v>Stage01</x:v>
      </x:c>
      <x:c r="B1715" t="str">
        <x:v>WAVE_45</x:v>
      </x:c>
      <x:c r="C1715" s="409" t="n">
        <x:v>448.54</x:v>
      </x:c>
      <x:c r="D1715" s="410" t="n">
        <x:v>72</x:v>
      </x:c>
      <x:c r="E1715" t="str">
        <x:v>TOP_05</x:v>
      </x:c>
      <x:c r="F1715" t="str">
        <x:v>GoblinMelee</x:v>
      </x:c>
      <x:c r="G1715" s="410" t="n">
        <x:v>38</x:v>
      </x:c>
    </x:row>
    <x:row r="1716">
      <x:c r="A1716" t="str">
        <x:v>Stage01</x:v>
      </x:c>
      <x:c r="B1716" t="str">
        <x:v>WAVE_45</x:v>
      </x:c>
      <x:c r="C1716" s="409" t="n">
        <x:v>448.64</x:v>
      </x:c>
      <x:c r="D1716" s="410" t="n">
        <x:v>73</x:v>
      </x:c>
      <x:c r="E1716" t="str">
        <x:v>RIGHT_06</x:v>
      </x:c>
      <x:c r="F1716" t="str">
        <x:v>GoblinRanged</x:v>
      </x:c>
      <x:c r="G1716" s="410" t="n">
        <x:v>39</x:v>
      </x:c>
    </x:row>
    <x:row r="1717">
      <x:c r="A1717" t="str">
        <x:v>Stage01</x:v>
      </x:c>
      <x:c r="B1717" t="str">
        <x:v>WAVE_45</x:v>
      </x:c>
      <x:c r="C1717" s="409" t="n">
        <x:v>448.75</x:v>
      </x:c>
      <x:c r="D1717" s="410" t="n">
        <x:v>74</x:v>
      </x:c>
      <x:c r="E1717" t="str">
        <x:v>BOTTOM_07</x:v>
      </x:c>
      <x:c r="F1717" t="str">
        <x:v>GoblinMelee</x:v>
      </x:c>
      <x:c r="G1717" s="410" t="n">
        <x:v>38</x:v>
      </x:c>
    </x:row>
    <x:row r="1718">
      <x:c r="A1718" t="str">
        <x:v>Stage01</x:v>
      </x:c>
      <x:c r="B1718" t="str">
        <x:v>WAVE_45</x:v>
      </x:c>
      <x:c r="C1718" s="409" t="n">
        <x:v>448.86</x:v>
      </x:c>
      <x:c r="D1718" s="410" t="n">
        <x:v>75</x:v>
      </x:c>
      <x:c r="E1718" t="str">
        <x:v>LEFT_08</x:v>
      </x:c>
      <x:c r="F1718" t="str">
        <x:v>GoblinMelee</x:v>
      </x:c>
      <x:c r="G1718" s="410" t="n">
        <x:v>39</x:v>
      </x:c>
    </x:row>
    <x:row r="1719">
      <x:c r="A1719" t="str">
        <x:v>Stage01</x:v>
      </x:c>
      <x:c r="B1719" t="str">
        <x:v>WAVE_45</x:v>
      </x:c>
      <x:c r="C1719" s="409" t="n">
        <x:v>448.96</x:v>
      </x:c>
      <x:c r="D1719" s="410" t="n">
        <x:v>76</x:v>
      </x:c>
      <x:c r="E1719" t="str">
        <x:v>TOP_02</x:v>
      </x:c>
      <x:c r="F1719" t="str">
        <x:v>GoblinRanged</x:v>
      </x:c>
      <x:c r="G1719" s="410" t="n">
        <x:v>38</x:v>
      </x:c>
    </x:row>
    <x:row r="1720">
      <x:c r="A1720" t="str">
        <x:v>Stage01</x:v>
      </x:c>
      <x:c r="B1720" t="str">
        <x:v>WAVE_45</x:v>
      </x:c>
      <x:c r="C1720" s="409" t="n">
        <x:v>449.07</x:v>
      </x:c>
      <x:c r="D1720" s="410" t="n">
        <x:v>77</x:v>
      </x:c>
      <x:c r="E1720" t="str">
        <x:v>RIGHT_03</x:v>
      </x:c>
      <x:c r="F1720" t="str">
        <x:v>GoblinMelee</x:v>
      </x:c>
      <x:c r="G1720" s="410" t="n">
        <x:v>39</x:v>
      </x:c>
    </x:row>
    <x:row r="1721">
      <x:c r="A1721" t="str">
        <x:v>Stage01</x:v>
      </x:c>
      <x:c r="B1721" t="str">
        <x:v>WAVE_45</x:v>
      </x:c>
      <x:c r="C1721" s="409" t="n">
        <x:v>449.18</x:v>
      </x:c>
      <x:c r="D1721" s="410" t="n">
        <x:v>78</x:v>
      </x:c>
      <x:c r="E1721" t="str">
        <x:v>BOTTOM_04</x:v>
      </x:c>
      <x:c r="F1721" t="str">
        <x:v>FlyingEye</x:v>
      </x:c>
      <x:c r="G1721" s="410" t="n">
        <x:v>38</x:v>
      </x:c>
    </x:row>
    <x:row r="1722">
      <x:c r="A1722" t="str">
        <x:v>Stage01</x:v>
      </x:c>
      <x:c r="B1722" t="str">
        <x:v>WAVE_45</x:v>
      </x:c>
      <x:c r="C1722" s="409" t="n">
        <x:v>449.28</x:v>
      </x:c>
      <x:c r="D1722" s="410" t="n">
        <x:v>79</x:v>
      </x:c>
      <x:c r="E1722" t="str">
        <x:v>LEFT_05</x:v>
      </x:c>
      <x:c r="F1722" t="str">
        <x:v>ShieldSkeleton</x:v>
      </x:c>
      <x:c r="G1722" s="410" t="n">
        <x:v>39</x:v>
      </x:c>
    </x:row>
    <x:row r="1723">
      <x:c r="A1723" t="str">
        <x:v>Stage01</x:v>
      </x:c>
      <x:c r="B1723" t="str">
        <x:v>WAVE_45</x:v>
      </x:c>
      <x:c r="C1723" s="409" t="n">
        <x:v>449.39</x:v>
      </x:c>
      <x:c r="D1723" s="410" t="n">
        <x:v>80</x:v>
      </x:c>
      <x:c r="E1723" t="str">
        <x:v>TOP_07</x:v>
      </x:c>
      <x:c r="F1723" t="str">
        <x:v>GoblinMelee</x:v>
      </x:c>
      <x:c r="G1723" s="410" t="n">
        <x:v>38</x:v>
      </x:c>
    </x:row>
    <x:row r="1724">
      <x:c r="A1724" t="str">
        <x:v>Stage01</x:v>
      </x:c>
      <x:c r="B1724" t="str">
        <x:v>WAVE_45</x:v>
      </x:c>
      <x:c r="C1724" s="409" t="n">
        <x:v>449.49</x:v>
      </x:c>
      <x:c r="D1724" s="410" t="n">
        <x:v>81</x:v>
      </x:c>
      <x:c r="E1724" t="str">
        <x:v>RIGHT_08</x:v>
      </x:c>
      <x:c r="F1724" t="str">
        <x:v>GoblinRanged</x:v>
      </x:c>
      <x:c r="G1724" s="410" t="n">
        <x:v>39</x:v>
      </x:c>
    </x:row>
    <x:row r="1725">
      <x:c r="A1725" t="str">
        <x:v>Stage01</x:v>
      </x:c>
      <x:c r="B1725" t="str">
        <x:v>WAVE_45</x:v>
      </x:c>
      <x:c r="C1725" s="409" t="n">
        <x:v>449.6</x:v>
      </x:c>
      <x:c r="D1725" s="410" t="n">
        <x:v>82</x:v>
      </x:c>
      <x:c r="E1725" t="str">
        <x:v>BOTTOM_01</x:v>
      </x:c>
      <x:c r="F1725" t="str">
        <x:v>GoblinMelee</x:v>
      </x:c>
      <x:c r="G1725" s="410" t="n">
        <x:v>38</x:v>
      </x:c>
    </x:row>
    <x:row r="1726">
      <x:c r="A1726" t="str">
        <x:v>Stage01</x:v>
      </x:c>
      <x:c r="B1726" t="str">
        <x:v>WAVE_46</x:v>
      </x:c>
      <x:c r="C1726" s="409" t="n">
        <x:v>451</x:v>
      </x:c>
      <x:c r="D1726" s="410" t="n">
        <x:v>1</x:v>
      </x:c>
      <x:c r="E1726" t="str">
        <x:v>BOTTOM_04</x:v>
      </x:c>
      <x:c r="F1726" t="str">
        <x:v>GoblinMelee</x:v>
      </x:c>
      <x:c r="G1726" s="410" t="n">
        <x:v>39</x:v>
      </x:c>
    </x:row>
    <x:row r="1727">
      <x:c r="A1727" t="str">
        <x:v>Stage01</x:v>
      </x:c>
      <x:c r="B1727" t="str">
        <x:v>WAVE_46</x:v>
      </x:c>
      <x:c r="C1727" s="409" t="n">
        <x:v>451.1</x:v>
      </x:c>
      <x:c r="D1727" s="410" t="n">
        <x:v>2</x:v>
      </x:c>
      <x:c r="E1727" t="str">
        <x:v>LEFT_05</x:v>
      </x:c>
      <x:c r="F1727" t="str">
        <x:v>GoblinRanged</x:v>
      </x:c>
      <x:c r="G1727" s="410" t="n">
        <x:v>38</x:v>
      </x:c>
    </x:row>
    <x:row r="1728">
      <x:c r="A1728" t="str">
        <x:v>Stage01</x:v>
      </x:c>
      <x:c r="B1728" t="str">
        <x:v>WAVE_46</x:v>
      </x:c>
      <x:c r="C1728" s="409" t="n">
        <x:v>451.2</x:v>
      </x:c>
      <x:c r="D1728" s="410" t="n">
        <x:v>3</x:v>
      </x:c>
      <x:c r="E1728" t="str">
        <x:v>TOP_07</x:v>
      </x:c>
      <x:c r="F1728" t="str">
        <x:v>GoblinMelee</x:v>
      </x:c>
      <x:c r="G1728" s="410" t="n">
        <x:v>39</x:v>
      </x:c>
    </x:row>
    <x:row r="1729">
      <x:c r="A1729" t="str">
        <x:v>Stage01</x:v>
      </x:c>
      <x:c r="B1729" t="str">
        <x:v>WAVE_46</x:v>
      </x:c>
      <x:c r="C1729" s="409" t="n">
        <x:v>451.31</x:v>
      </x:c>
      <x:c r="D1729" s="410" t="n">
        <x:v>4</x:v>
      </x:c>
      <x:c r="E1729" t="str">
        <x:v>RIGHT_08</x:v>
      </x:c>
      <x:c r="F1729" t="str">
        <x:v>ShieldSkeleton</x:v>
      </x:c>
      <x:c r="G1729" s="410" t="n">
        <x:v>38</x:v>
      </x:c>
    </x:row>
    <x:row r="1730">
      <x:c r="A1730" t="str">
        <x:v>Stage01</x:v>
      </x:c>
      <x:c r="B1730" t="str">
        <x:v>WAVE_46</x:v>
      </x:c>
      <x:c r="C1730" s="409" t="n">
        <x:v>451.41</x:v>
      </x:c>
      <x:c r="D1730" s="410" t="n">
        <x:v>5</x:v>
      </x:c>
      <x:c r="E1730" t="str">
        <x:v>BOTTOM_01</x:v>
      </x:c>
      <x:c r="F1730" t="str">
        <x:v>GoblinMelee</x:v>
      </x:c>
      <x:c r="G1730" s="410" t="n">
        <x:v>39</x:v>
      </x:c>
    </x:row>
    <x:row r="1731">
      <x:c r="A1731" t="str">
        <x:v>Stage01</x:v>
      </x:c>
      <x:c r="B1731" t="str">
        <x:v>WAVE_46</x:v>
      </x:c>
      <x:c r="C1731" s="409" t="n">
        <x:v>451.51</x:v>
      </x:c>
      <x:c r="D1731" s="410" t="n">
        <x:v>6</x:v>
      </x:c>
      <x:c r="E1731" t="str">
        <x:v>LEFT_02</x:v>
      </x:c>
      <x:c r="F1731" t="str">
        <x:v>GoblinRanged</x:v>
      </x:c>
      <x:c r="G1731" s="410" t="n">
        <x:v>38</x:v>
      </x:c>
    </x:row>
    <x:row r="1732">
      <x:c r="A1732" t="str">
        <x:v>Stage01</x:v>
      </x:c>
      <x:c r="B1732" t="str">
        <x:v>WAVE_46</x:v>
      </x:c>
      <x:c r="C1732" s="409" t="n">
        <x:v>451.61</x:v>
      </x:c>
      <x:c r="D1732" s="410" t="n">
        <x:v>7</x:v>
      </x:c>
      <x:c r="E1732" t="str">
        <x:v>TOP_04</x:v>
      </x:c>
      <x:c r="F1732" t="str">
        <x:v>GoblinMelee</x:v>
      </x:c>
      <x:c r="G1732" s="410" t="n">
        <x:v>39</x:v>
      </x:c>
    </x:row>
    <x:row r="1733">
      <x:c r="A1733" t="str">
        <x:v>Stage01</x:v>
      </x:c>
      <x:c r="B1733" t="str">
        <x:v>WAVE_46</x:v>
      </x:c>
      <x:c r="C1733" s="409" t="n">
        <x:v>451.72</x:v>
      </x:c>
      <x:c r="D1733" s="410" t="n">
        <x:v>8</x:v>
      </x:c>
      <x:c r="E1733" t="str">
        <x:v>RIGHT_05</x:v>
      </x:c>
      <x:c r="F1733" t="str">
        <x:v>GoblinMelee</x:v>
      </x:c>
      <x:c r="G1733" s="410" t="n">
        <x:v>38</x:v>
      </x:c>
    </x:row>
    <x:row r="1734">
      <x:c r="A1734" t="str">
        <x:v>Stage01</x:v>
      </x:c>
      <x:c r="B1734" t="str">
        <x:v>WAVE_46</x:v>
      </x:c>
      <x:c r="C1734" s="409" t="n">
        <x:v>451.82</x:v>
      </x:c>
      <x:c r="D1734" s="410" t="n">
        <x:v>9</x:v>
      </x:c>
      <x:c r="E1734" t="str">
        <x:v>BOTTOM_06</x:v>
      </x:c>
      <x:c r="F1734" t="str">
        <x:v>GoblinRanged</x:v>
      </x:c>
      <x:c r="G1734" s="410" t="n">
        <x:v>39</x:v>
      </x:c>
    </x:row>
    <x:row r="1735">
      <x:c r="A1735" t="str">
        <x:v>Stage01</x:v>
      </x:c>
      <x:c r="B1735" t="str">
        <x:v>WAVE_46</x:v>
      </x:c>
      <x:c r="C1735" s="409" t="n">
        <x:v>451.92</x:v>
      </x:c>
      <x:c r="D1735" s="410" t="n">
        <x:v>10</x:v>
      </x:c>
      <x:c r="E1735" t="str">
        <x:v>LEFT_07</x:v>
      </x:c>
      <x:c r="F1735" t="str">
        <x:v>GoblinMelee</x:v>
      </x:c>
      <x:c r="G1735" s="410" t="n">
        <x:v>38</x:v>
      </x:c>
    </x:row>
    <x:row r="1736">
      <x:c r="A1736" t="str">
        <x:v>Stage01</x:v>
      </x:c>
      <x:c r="B1736" t="str">
        <x:v>WAVE_46</x:v>
      </x:c>
      <x:c r="C1736" s="409" t="n">
        <x:v>452.02</x:v>
      </x:c>
      <x:c r="D1736" s="410" t="n">
        <x:v>11</x:v>
      </x:c>
      <x:c r="E1736" t="str">
        <x:v>TOP_01</x:v>
      </x:c>
      <x:c r="F1736" t="str">
        <x:v>GoblinMelee</x:v>
      </x:c>
      <x:c r="G1736" s="410" t="n">
        <x:v>39</x:v>
      </x:c>
    </x:row>
    <x:row r="1737">
      <x:c r="A1737" t="str">
        <x:v>Stage01</x:v>
      </x:c>
      <x:c r="B1737" t="str">
        <x:v>WAVE_46</x:v>
      </x:c>
      <x:c r="C1737" s="409" t="n">
        <x:v>452.13</x:v>
      </x:c>
      <x:c r="D1737" s="410" t="n">
        <x:v>12</x:v>
      </x:c>
      <x:c r="E1737" t="str">
        <x:v>RIGHT_02</x:v>
      </x:c>
      <x:c r="F1737" t="str">
        <x:v>ShieldSkeleton</x:v>
      </x:c>
      <x:c r="G1737" s="410" t="n">
        <x:v>38</x:v>
      </x:c>
    </x:row>
    <x:row r="1738">
      <x:c r="A1738" t="str">
        <x:v>Stage01</x:v>
      </x:c>
      <x:c r="B1738" t="str">
        <x:v>WAVE_46</x:v>
      </x:c>
      <x:c r="C1738" s="409" t="n">
        <x:v>452.23</x:v>
      </x:c>
      <x:c r="D1738" s="410" t="n">
        <x:v>13</x:v>
      </x:c>
      <x:c r="E1738" t="str">
        <x:v>BOTTOM_03</x:v>
      </x:c>
      <x:c r="F1738" t="str">
        <x:v>FlyingEye</x:v>
      </x:c>
      <x:c r="G1738" s="410" t="n">
        <x:v>39</x:v>
      </x:c>
    </x:row>
    <x:row r="1739">
      <x:c r="A1739" t="str">
        <x:v>Stage01</x:v>
      </x:c>
      <x:c r="B1739" t="str">
        <x:v>WAVE_46</x:v>
      </x:c>
      <x:c r="C1739" s="409" t="n">
        <x:v>452.33</x:v>
      </x:c>
      <x:c r="D1739" s="410" t="n">
        <x:v>14</x:v>
      </x:c>
      <x:c r="E1739" t="str">
        <x:v>LEFT_04</x:v>
      </x:c>
      <x:c r="F1739" t="str">
        <x:v>GoblinRanged</x:v>
      </x:c>
      <x:c r="G1739" s="410" t="n">
        <x:v>38</x:v>
      </x:c>
    </x:row>
    <x:row r="1740">
      <x:c r="A1740" t="str">
        <x:v>Stage01</x:v>
      </x:c>
      <x:c r="B1740" t="str">
        <x:v>WAVE_46</x:v>
      </x:c>
      <x:c r="C1740" s="409" t="n">
        <x:v>452.43</x:v>
      </x:c>
      <x:c r="D1740" s="410" t="n">
        <x:v>15</x:v>
      </x:c>
      <x:c r="E1740" t="str">
        <x:v>TOP_06</x:v>
      </x:c>
      <x:c r="F1740" t="str">
        <x:v>GoblinMelee</x:v>
      </x:c>
      <x:c r="G1740" s="410" t="n">
        <x:v>39</x:v>
      </x:c>
    </x:row>
    <x:row r="1741">
      <x:c r="A1741" t="str">
        <x:v>Stage01</x:v>
      </x:c>
      <x:c r="B1741" t="str">
        <x:v>WAVE_46</x:v>
      </x:c>
      <x:c r="C1741" s="409" t="n">
        <x:v>452.54</x:v>
      </x:c>
      <x:c r="D1741" s="410" t="n">
        <x:v>16</x:v>
      </x:c>
      <x:c r="E1741" t="str">
        <x:v>RIGHT_07</x:v>
      </x:c>
      <x:c r="F1741" t="str">
        <x:v>GoblinMelee</x:v>
      </x:c>
      <x:c r="G1741" s="410" t="n">
        <x:v>38</x:v>
      </x:c>
    </x:row>
    <x:row r="1742">
      <x:c r="A1742" t="str">
        <x:v>Stage01</x:v>
      </x:c>
      <x:c r="B1742" t="str">
        <x:v>WAVE_46</x:v>
      </x:c>
      <x:c r="C1742" s="409" t="n">
        <x:v>452.64</x:v>
      </x:c>
      <x:c r="D1742" s="410" t="n">
        <x:v>17</x:v>
      </x:c>
      <x:c r="E1742" t="str">
        <x:v>BOTTOM_08</x:v>
      </x:c>
      <x:c r="F1742" t="str">
        <x:v>GoblinRanged</x:v>
      </x:c>
      <x:c r="G1742" s="410" t="n">
        <x:v>39</x:v>
      </x:c>
    </x:row>
    <x:row r="1743">
      <x:c r="A1743" t="str">
        <x:v>Stage01</x:v>
      </x:c>
      <x:c r="B1743" t="str">
        <x:v>WAVE_46</x:v>
      </x:c>
      <x:c r="C1743" s="409" t="n">
        <x:v>452.74</x:v>
      </x:c>
      <x:c r="D1743" s="410" t="n">
        <x:v>18</x:v>
      </x:c>
      <x:c r="E1743" t="str">
        <x:v>LEFT_01</x:v>
      </x:c>
      <x:c r="F1743" t="str">
        <x:v>GoblinMelee</x:v>
      </x:c>
      <x:c r="G1743" s="410" t="n">
        <x:v>39</x:v>
      </x:c>
    </x:row>
    <x:row r="1744">
      <x:c r="A1744" t="str">
        <x:v>Stage01</x:v>
      </x:c>
      <x:c r="B1744" t="str">
        <x:v>WAVE_46</x:v>
      </x:c>
      <x:c r="C1744" s="409" t="n">
        <x:v>452.84</x:v>
      </x:c>
      <x:c r="D1744" s="410" t="n">
        <x:v>19</x:v>
      </x:c>
      <x:c r="E1744" t="str">
        <x:v>TOP_03</x:v>
      </x:c>
      <x:c r="F1744" t="str">
        <x:v>ShieldSkeleton</x:v>
      </x:c>
      <x:c r="G1744" s="410" t="n">
        <x:v>38</x:v>
      </x:c>
    </x:row>
    <x:row r="1745">
      <x:c r="A1745" t="str">
        <x:v>Stage01</x:v>
      </x:c>
      <x:c r="B1745" t="str">
        <x:v>WAVE_46</x:v>
      </x:c>
      <x:c r="C1745" s="409" t="n">
        <x:v>452.95</x:v>
      </x:c>
      <x:c r="D1745" s="410" t="n">
        <x:v>20</x:v>
      </x:c>
      <x:c r="E1745" t="str">
        <x:v>RIGHT_04</x:v>
      </x:c>
      <x:c r="F1745" t="str">
        <x:v>GoblinMelee</x:v>
      </x:c>
      <x:c r="G1745" s="410" t="n">
        <x:v>39</x:v>
      </x:c>
    </x:row>
    <x:row r="1746">
      <x:c r="A1746" t="str">
        <x:v>Stage01</x:v>
      </x:c>
      <x:c r="B1746" t="str">
        <x:v>WAVE_46</x:v>
      </x:c>
      <x:c r="C1746" s="409" t="n">
        <x:v>453.05</x:v>
      </x:c>
      <x:c r="D1746" s="410" t="n">
        <x:v>21</x:v>
      </x:c>
      <x:c r="E1746" t="str">
        <x:v>BOTTOM_05</x:v>
      </x:c>
      <x:c r="F1746" t="str">
        <x:v>GoblinRanged</x:v>
      </x:c>
      <x:c r="G1746" s="410" t="n">
        <x:v>38</x:v>
      </x:c>
    </x:row>
    <x:row r="1747">
      <x:c r="A1747" t="str">
        <x:v>Stage01</x:v>
      </x:c>
      <x:c r="B1747" t="str">
        <x:v>WAVE_46</x:v>
      </x:c>
      <x:c r="C1747" s="409" t="n">
        <x:v>453.15</x:v>
      </x:c>
      <x:c r="D1747" s="410" t="n">
        <x:v>22</x:v>
      </x:c>
      <x:c r="E1747" t="str">
        <x:v>LEFT_06</x:v>
      </x:c>
      <x:c r="F1747" t="str">
        <x:v>GoblinMelee</x:v>
      </x:c>
      <x:c r="G1747" s="410" t="n">
        <x:v>39</x:v>
      </x:c>
    </x:row>
    <x:row r="1748">
      <x:c r="A1748" t="str">
        <x:v>Stage01</x:v>
      </x:c>
      <x:c r="B1748" t="str">
        <x:v>WAVE_46</x:v>
      </x:c>
      <x:c r="C1748" s="409" t="n">
        <x:v>453.25</x:v>
      </x:c>
      <x:c r="D1748" s="410" t="n">
        <x:v>23</x:v>
      </x:c>
      <x:c r="E1748" t="str">
        <x:v>TOP_08</x:v>
      </x:c>
      <x:c r="F1748" t="str">
        <x:v>GoblinMelee</x:v>
      </x:c>
      <x:c r="G1748" s="410" t="n">
        <x:v>38</x:v>
      </x:c>
    </x:row>
    <x:row r="1749">
      <x:c r="A1749" t="str">
        <x:v>Stage01</x:v>
      </x:c>
      <x:c r="B1749" t="str">
        <x:v>WAVE_46</x:v>
      </x:c>
      <x:c r="C1749" s="409" t="n">
        <x:v>453.35</x:v>
      </x:c>
      <x:c r="D1749" s="410" t="n">
        <x:v>24</x:v>
      </x:c>
      <x:c r="E1749" t="str">
        <x:v>RIGHT_01</x:v>
      </x:c>
      <x:c r="F1749" t="str">
        <x:v>GoblinRanged</x:v>
      </x:c>
      <x:c r="G1749" s="410" t="n">
        <x:v>39</x:v>
      </x:c>
    </x:row>
    <x:row r="1750">
      <x:c r="A1750" t="str">
        <x:v>Stage01</x:v>
      </x:c>
      <x:c r="B1750" t="str">
        <x:v>WAVE_46</x:v>
      </x:c>
      <x:c r="C1750" s="409" t="n">
        <x:v>453.46</x:v>
      </x:c>
      <x:c r="D1750" s="410" t="n">
        <x:v>25</x:v>
      </x:c>
      <x:c r="E1750" t="str">
        <x:v>BOTTOM_02</x:v>
      </x:c>
      <x:c r="F1750" t="str">
        <x:v>GoblinMelee</x:v>
      </x:c>
      <x:c r="G1750" s="410" t="n">
        <x:v>38</x:v>
      </x:c>
    </x:row>
    <x:row r="1751">
      <x:c r="A1751" t="str">
        <x:v>Stage01</x:v>
      </x:c>
      <x:c r="B1751" t="str">
        <x:v>WAVE_46</x:v>
      </x:c>
      <x:c r="C1751" s="409" t="n">
        <x:v>453.56</x:v>
      </x:c>
      <x:c r="D1751" s="410" t="n">
        <x:v>26</x:v>
      </x:c>
      <x:c r="E1751" t="str">
        <x:v>LEFT_03</x:v>
      </x:c>
      <x:c r="F1751" t="str">
        <x:v>FlyingEye</x:v>
      </x:c>
      <x:c r="G1751" s="410" t="n">
        <x:v>39</x:v>
      </x:c>
    </x:row>
    <x:row r="1752">
      <x:c r="A1752" t="str">
        <x:v>Stage01</x:v>
      </x:c>
      <x:c r="B1752" t="str">
        <x:v>WAVE_46</x:v>
      </x:c>
      <x:c r="C1752" s="409" t="n">
        <x:v>453.66</x:v>
      </x:c>
      <x:c r="D1752" s="410" t="n">
        <x:v>27</x:v>
      </x:c>
      <x:c r="E1752" t="str">
        <x:v>TOP_05</x:v>
      </x:c>
      <x:c r="F1752" t="str">
        <x:v>ShieldSkeleton</x:v>
      </x:c>
      <x:c r="G1752" s="410" t="n">
        <x:v>38</x:v>
      </x:c>
    </x:row>
    <x:row r="1753">
      <x:c r="A1753" t="str">
        <x:v>Stage01</x:v>
      </x:c>
      <x:c r="B1753" t="str">
        <x:v>WAVE_46</x:v>
      </x:c>
      <x:c r="C1753" s="409" t="n">
        <x:v>453.76</x:v>
      </x:c>
      <x:c r="D1753" s="410" t="n">
        <x:v>28</x:v>
      </x:c>
      <x:c r="E1753" t="str">
        <x:v>RIGHT_06</x:v>
      </x:c>
      <x:c r="F1753" t="str">
        <x:v>GoblinMelee</x:v>
      </x:c>
      <x:c r="G1753" s="410" t="n">
        <x:v>39</x:v>
      </x:c>
    </x:row>
    <x:row r="1754">
      <x:c r="A1754" t="str">
        <x:v>Stage01</x:v>
      </x:c>
      <x:c r="B1754" t="str">
        <x:v>WAVE_46</x:v>
      </x:c>
      <x:c r="C1754" s="409" t="n">
        <x:v>453.87</x:v>
      </x:c>
      <x:c r="D1754" s="410" t="n">
        <x:v>29</x:v>
      </x:c>
      <x:c r="E1754" t="str">
        <x:v>BOTTOM_07</x:v>
      </x:c>
      <x:c r="F1754" t="str">
        <x:v>GoblinRanged</x:v>
      </x:c>
      <x:c r="G1754" s="410" t="n">
        <x:v>38</x:v>
      </x:c>
    </x:row>
    <x:row r="1755">
      <x:c r="A1755" t="str">
        <x:v>Stage01</x:v>
      </x:c>
      <x:c r="B1755" t="str">
        <x:v>WAVE_46</x:v>
      </x:c>
      <x:c r="C1755" s="409" t="n">
        <x:v>453.97</x:v>
      </x:c>
      <x:c r="D1755" s="410" t="n">
        <x:v>30</x:v>
      </x:c>
      <x:c r="E1755" t="str">
        <x:v>LEFT_08</x:v>
      </x:c>
      <x:c r="F1755" t="str">
        <x:v>GoblinMelee</x:v>
      </x:c>
      <x:c r="G1755" s="410" t="n">
        <x:v>39</x:v>
      </x:c>
    </x:row>
    <x:row r="1756">
      <x:c r="A1756" t="str">
        <x:v>Stage01</x:v>
      </x:c>
      <x:c r="B1756" t="str">
        <x:v>WAVE_46</x:v>
      </x:c>
      <x:c r="C1756" s="409" t="n">
        <x:v>454.07</x:v>
      </x:c>
      <x:c r="D1756" s="410" t="n">
        <x:v>31</x:v>
      </x:c>
      <x:c r="E1756" t="str">
        <x:v>TOP_02</x:v>
      </x:c>
      <x:c r="F1756" t="str">
        <x:v>GoblinMelee</x:v>
      </x:c>
      <x:c r="G1756" s="410" t="n">
        <x:v>38</x:v>
      </x:c>
    </x:row>
    <x:row r="1757">
      <x:c r="A1757" t="str">
        <x:v>Stage01</x:v>
      </x:c>
      <x:c r="B1757" t="str">
        <x:v>WAVE_46</x:v>
      </x:c>
      <x:c r="C1757" s="409" t="n">
        <x:v>454.17</x:v>
      </x:c>
      <x:c r="D1757" s="410" t="n">
        <x:v>32</x:v>
      </x:c>
      <x:c r="E1757" t="str">
        <x:v>RIGHT_03</x:v>
      </x:c>
      <x:c r="F1757" t="str">
        <x:v>GoblinRanged</x:v>
      </x:c>
      <x:c r="G1757" s="410" t="n">
        <x:v>39</x:v>
      </x:c>
    </x:row>
    <x:row r="1758">
      <x:c r="A1758" t="str">
        <x:v>Stage01</x:v>
      </x:c>
      <x:c r="B1758" t="str">
        <x:v>WAVE_46</x:v>
      </x:c>
      <x:c r="C1758" s="409" t="n">
        <x:v>454.28</x:v>
      </x:c>
      <x:c r="D1758" s="410" t="n">
        <x:v>33</x:v>
      </x:c>
      <x:c r="E1758" t="str">
        <x:v>BOTTOM_04</x:v>
      </x:c>
      <x:c r="F1758" t="str">
        <x:v>GoblinMelee</x:v>
      </x:c>
      <x:c r="G1758" s="410" t="n">
        <x:v>38</x:v>
      </x:c>
    </x:row>
    <x:row r="1759">
      <x:c r="A1759" t="str">
        <x:v>Stage01</x:v>
      </x:c>
      <x:c r="B1759" t="str">
        <x:v>WAVE_46</x:v>
      </x:c>
      <x:c r="C1759" s="409" t="n">
        <x:v>454.38</x:v>
      </x:c>
      <x:c r="D1759" s="410" t="n">
        <x:v>34</x:v>
      </x:c>
      <x:c r="E1759" t="str">
        <x:v>LEFT_05</x:v>
      </x:c>
      <x:c r="F1759" t="str">
        <x:v>ShieldSkeleton</x:v>
      </x:c>
      <x:c r="G1759" s="410" t="n">
        <x:v>39</x:v>
      </x:c>
    </x:row>
    <x:row r="1760">
      <x:c r="A1760" t="str">
        <x:v>Stage01</x:v>
      </x:c>
      <x:c r="B1760" t="str">
        <x:v>WAVE_46</x:v>
      </x:c>
      <x:c r="C1760" s="409" t="n">
        <x:v>454.48</x:v>
      </x:c>
      <x:c r="D1760" s="410" t="n">
        <x:v>35</x:v>
      </x:c>
      <x:c r="E1760" t="str">
        <x:v>TOP_07</x:v>
      </x:c>
      <x:c r="F1760" t="str">
        <x:v>GoblinMelee</x:v>
      </x:c>
      <x:c r="G1760" s="410" t="n">
        <x:v>39</x:v>
      </x:c>
    </x:row>
    <x:row r="1761">
      <x:c r="A1761" t="str">
        <x:v>Stage01</x:v>
      </x:c>
      <x:c r="B1761" t="str">
        <x:v>WAVE_46</x:v>
      </x:c>
      <x:c r="C1761" s="409" t="n">
        <x:v>454.58</x:v>
      </x:c>
      <x:c r="D1761" s="410" t="n">
        <x:v>36</x:v>
      </x:c>
      <x:c r="E1761" t="str">
        <x:v>RIGHT_08</x:v>
      </x:c>
      <x:c r="F1761" t="str">
        <x:v>GoblinRanged</x:v>
      </x:c>
      <x:c r="G1761" s="410" t="n">
        <x:v>38</x:v>
      </x:c>
    </x:row>
    <x:row r="1762">
      <x:c r="A1762" t="str">
        <x:v>Stage01</x:v>
      </x:c>
      <x:c r="B1762" t="str">
        <x:v>WAVE_46</x:v>
      </x:c>
      <x:c r="C1762" s="409" t="n">
        <x:v>454.69</x:v>
      </x:c>
      <x:c r="D1762" s="410" t="n">
        <x:v>37</x:v>
      </x:c>
      <x:c r="E1762" t="str">
        <x:v>BOTTOM_01</x:v>
      </x:c>
      <x:c r="F1762" t="str">
        <x:v>GoblinMelee</x:v>
      </x:c>
      <x:c r="G1762" s="410" t="n">
        <x:v>39</x:v>
      </x:c>
    </x:row>
    <x:row r="1763">
      <x:c r="A1763" t="str">
        <x:v>Stage01</x:v>
      </x:c>
      <x:c r="B1763" t="str">
        <x:v>WAVE_46</x:v>
      </x:c>
      <x:c r="C1763" s="409" t="n">
        <x:v>454.79</x:v>
      </x:c>
      <x:c r="D1763" s="410" t="n">
        <x:v>38</x:v>
      </x:c>
      <x:c r="E1763" t="str">
        <x:v>LEFT_02</x:v>
      </x:c>
      <x:c r="F1763" t="str">
        <x:v>GoblinMelee</x:v>
      </x:c>
      <x:c r="G1763" s="410" t="n">
        <x:v>38</x:v>
      </x:c>
    </x:row>
    <x:row r="1764">
      <x:c r="A1764" t="str">
        <x:v>Stage01</x:v>
      </x:c>
      <x:c r="B1764" t="str">
        <x:v>WAVE_46</x:v>
      </x:c>
      <x:c r="C1764" s="409" t="n">
        <x:v>454.89</x:v>
      </x:c>
      <x:c r="D1764" s="410" t="n">
        <x:v>39</x:v>
      </x:c>
      <x:c r="E1764" t="str">
        <x:v>TOP_04</x:v>
      </x:c>
      <x:c r="F1764" t="str">
        <x:v>GoblinRanged</x:v>
      </x:c>
      <x:c r="G1764" s="410" t="n">
        <x:v>39</x:v>
      </x:c>
    </x:row>
    <x:row r="1765">
      <x:c r="A1765" t="str">
        <x:v>Stage01</x:v>
      </x:c>
      <x:c r="B1765" t="str">
        <x:v>WAVE_46</x:v>
      </x:c>
      <x:c r="C1765" s="409" t="n">
        <x:v>454.99</x:v>
      </x:c>
      <x:c r="D1765" s="410" t="n">
        <x:v>40</x:v>
      </x:c>
      <x:c r="E1765" t="str">
        <x:v>RIGHT_05</x:v>
      </x:c>
      <x:c r="F1765" t="str">
        <x:v>FlyingEye</x:v>
      </x:c>
      <x:c r="G1765" s="410" t="n">
        <x:v>38</x:v>
      </x:c>
    </x:row>
    <x:row r="1766">
      <x:c r="A1766" t="str">
        <x:v>Stage01</x:v>
      </x:c>
      <x:c r="B1766" t="str">
        <x:v>WAVE_46</x:v>
      </x:c>
      <x:c r="C1766" s="409" t="n">
        <x:v>455.1</x:v>
      </x:c>
      <x:c r="D1766" s="410" t="n">
        <x:v>41</x:v>
      </x:c>
      <x:c r="E1766" t="str">
        <x:v>BOTTOM_06</x:v>
      </x:c>
      <x:c r="F1766" t="str">
        <x:v>GoblinMelee</x:v>
      </x:c>
      <x:c r="G1766" s="410" t="n">
        <x:v>39</x:v>
      </x:c>
    </x:row>
    <x:row r="1767">
      <x:c r="A1767" t="str">
        <x:v>Stage01</x:v>
      </x:c>
      <x:c r="B1767" t="str">
        <x:v>WAVE_46</x:v>
      </x:c>
      <x:c r="C1767" s="409" t="n">
        <x:v>455.2</x:v>
      </x:c>
      <x:c r="D1767" s="410" t="n">
        <x:v>42</x:v>
      </x:c>
      <x:c r="E1767" t="str">
        <x:v>LEFT_07</x:v>
      </x:c>
      <x:c r="F1767" t="str">
        <x:v>ShieldSkeleton</x:v>
      </x:c>
      <x:c r="G1767" s="410" t="n">
        <x:v>38</x:v>
      </x:c>
    </x:row>
    <x:row r="1768">
      <x:c r="A1768" t="str">
        <x:v>Stage01</x:v>
      </x:c>
      <x:c r="B1768" t="str">
        <x:v>WAVE_46</x:v>
      </x:c>
      <x:c r="C1768" s="409" t="n">
        <x:v>455.3</x:v>
      </x:c>
      <x:c r="D1768" s="410" t="n">
        <x:v>43</x:v>
      </x:c>
      <x:c r="E1768" t="str">
        <x:v>TOP_01</x:v>
      </x:c>
      <x:c r="F1768" t="str">
        <x:v>GoblinMelee</x:v>
      </x:c>
      <x:c r="G1768" s="410" t="n">
        <x:v>39</x:v>
      </x:c>
    </x:row>
    <x:row r="1769">
      <x:c r="A1769" t="str">
        <x:v>Stage01</x:v>
      </x:c>
      <x:c r="B1769" t="str">
        <x:v>WAVE_46</x:v>
      </x:c>
      <x:c r="C1769" s="409" t="n">
        <x:v>455.4</x:v>
      </x:c>
      <x:c r="D1769" s="410" t="n">
        <x:v>44</x:v>
      </x:c>
      <x:c r="E1769" t="str">
        <x:v>RIGHT_02</x:v>
      </x:c>
      <x:c r="F1769" t="str">
        <x:v>GoblinRanged</x:v>
      </x:c>
      <x:c r="G1769" s="410" t="n">
        <x:v>38</x:v>
      </x:c>
    </x:row>
    <x:row r="1770">
      <x:c r="A1770" t="str">
        <x:v>Stage01</x:v>
      </x:c>
      <x:c r="B1770" t="str">
        <x:v>WAVE_46</x:v>
      </x:c>
      <x:c r="C1770" s="409" t="n">
        <x:v>455.5</x:v>
      </x:c>
      <x:c r="D1770" s="410" t="n">
        <x:v>45</x:v>
      </x:c>
      <x:c r="E1770" t="str">
        <x:v>BOTTOM_03</x:v>
      </x:c>
      <x:c r="F1770" t="str">
        <x:v>GoblinMelee</x:v>
      </x:c>
      <x:c r="G1770" s="410" t="n">
        <x:v>39</x:v>
      </x:c>
    </x:row>
    <x:row r="1771">
      <x:c r="A1771" t="str">
        <x:v>Stage01</x:v>
      </x:c>
      <x:c r="B1771" t="str">
        <x:v>WAVE_46</x:v>
      </x:c>
      <x:c r="C1771" s="409" t="n">
        <x:v>455.61</x:v>
      </x:c>
      <x:c r="D1771" s="410" t="n">
        <x:v>46</x:v>
      </x:c>
      <x:c r="E1771" t="str">
        <x:v>LEFT_04</x:v>
      </x:c>
      <x:c r="F1771" t="str">
        <x:v>GoblinMelee</x:v>
      </x:c>
      <x:c r="G1771" s="410" t="n">
        <x:v>38</x:v>
      </x:c>
    </x:row>
    <x:row r="1772">
      <x:c r="A1772" t="str">
        <x:v>Stage01</x:v>
      </x:c>
      <x:c r="B1772" t="str">
        <x:v>WAVE_46</x:v>
      </x:c>
      <x:c r="C1772" s="409" t="n">
        <x:v>455.71</x:v>
      </x:c>
      <x:c r="D1772" s="410" t="n">
        <x:v>47</x:v>
      </x:c>
      <x:c r="E1772" t="str">
        <x:v>TOP_06</x:v>
      </x:c>
      <x:c r="F1772" t="str">
        <x:v>GoblinRanged</x:v>
      </x:c>
      <x:c r="G1772" s="410" t="n">
        <x:v>39</x:v>
      </x:c>
    </x:row>
    <x:row r="1773">
      <x:c r="A1773" t="str">
        <x:v>Stage01</x:v>
      </x:c>
      <x:c r="B1773" t="str">
        <x:v>WAVE_46</x:v>
      </x:c>
      <x:c r="C1773" s="409" t="n">
        <x:v>455.81</x:v>
      </x:c>
      <x:c r="D1773" s="410" t="n">
        <x:v>48</x:v>
      </x:c>
      <x:c r="E1773" t="str">
        <x:v>RIGHT_07</x:v>
      </x:c>
      <x:c r="F1773" t="str">
        <x:v>GoblinMelee</x:v>
      </x:c>
      <x:c r="G1773" s="410" t="n">
        <x:v>38</x:v>
      </x:c>
    </x:row>
    <x:row r="1774">
      <x:c r="A1774" t="str">
        <x:v>Stage01</x:v>
      </x:c>
      <x:c r="B1774" t="str">
        <x:v>WAVE_46</x:v>
      </x:c>
      <x:c r="C1774" s="409" t="n">
        <x:v>455.91</x:v>
      </x:c>
      <x:c r="D1774" s="410" t="n">
        <x:v>49</x:v>
      </x:c>
      <x:c r="E1774" t="str">
        <x:v>BOTTOM_08</x:v>
      </x:c>
      <x:c r="F1774" t="str">
        <x:v>GoblinMelee</x:v>
      </x:c>
      <x:c r="G1774" s="410" t="n">
        <x:v>39</x:v>
      </x:c>
    </x:row>
    <x:row r="1775">
      <x:c r="A1775" t="str">
        <x:v>Stage01</x:v>
      </x:c>
      <x:c r="B1775" t="str">
        <x:v>WAVE_46</x:v>
      </x:c>
      <x:c r="C1775" s="409" t="n">
        <x:v>456.02</x:v>
      </x:c>
      <x:c r="D1775" s="410" t="n">
        <x:v>50</x:v>
      </x:c>
      <x:c r="E1775" t="str">
        <x:v>LEFT_01</x:v>
      </x:c>
      <x:c r="F1775" t="str">
        <x:v>GoblinRanged</x:v>
      </x:c>
      <x:c r="G1775" s="410" t="n">
        <x:v>38</x:v>
      </x:c>
    </x:row>
    <x:row r="1776">
      <x:c r="A1776" t="str">
        <x:v>Stage01</x:v>
      </x:c>
      <x:c r="B1776" t="str">
        <x:v>WAVE_46</x:v>
      </x:c>
      <x:c r="C1776" s="409" t="n">
        <x:v>456.12</x:v>
      </x:c>
      <x:c r="D1776" s="410" t="n">
        <x:v>51</x:v>
      </x:c>
      <x:c r="E1776" t="str">
        <x:v>TOP_03</x:v>
      </x:c>
      <x:c r="F1776" t="str">
        <x:v>GoblinMelee</x:v>
      </x:c>
      <x:c r="G1776" s="410" t="n">
        <x:v>39</x:v>
      </x:c>
    </x:row>
    <x:row r="1777">
      <x:c r="A1777" t="str">
        <x:v>Stage01</x:v>
      </x:c>
      <x:c r="B1777" t="str">
        <x:v>WAVE_46</x:v>
      </x:c>
      <x:c r="C1777" s="409" t="n">
        <x:v>456.22</x:v>
      </x:c>
      <x:c r="D1777" s="410" t="n">
        <x:v>52</x:v>
      </x:c>
      <x:c r="E1777" t="str">
        <x:v>RIGHT_04</x:v>
      </x:c>
      <x:c r="F1777" t="str">
        <x:v>ShieldSkeleton</x:v>
      </x:c>
      <x:c r="G1777" s="410" t="n">
        <x:v>39</x:v>
      </x:c>
    </x:row>
    <x:row r="1778">
      <x:c r="A1778" t="str">
        <x:v>Stage01</x:v>
      </x:c>
      <x:c r="B1778" t="str">
        <x:v>WAVE_46</x:v>
      </x:c>
      <x:c r="C1778" s="409" t="n">
        <x:v>456.32</x:v>
      </x:c>
      <x:c r="D1778" s="410" t="n">
        <x:v>53</x:v>
      </x:c>
      <x:c r="E1778" t="str">
        <x:v>BOTTOM_05</x:v>
      </x:c>
      <x:c r="F1778" t="str">
        <x:v>FlyingEye</x:v>
      </x:c>
      <x:c r="G1778" s="410" t="n">
        <x:v>38</x:v>
      </x:c>
    </x:row>
    <x:row r="1779">
      <x:c r="A1779" t="str">
        <x:v>Stage01</x:v>
      </x:c>
      <x:c r="B1779" t="str">
        <x:v>WAVE_46</x:v>
      </x:c>
      <x:c r="C1779" s="409" t="n">
        <x:v>456.43</x:v>
      </x:c>
      <x:c r="D1779" s="410" t="n">
        <x:v>54</x:v>
      </x:c>
      <x:c r="E1779" t="str">
        <x:v>LEFT_06</x:v>
      </x:c>
      <x:c r="F1779" t="str">
        <x:v>GoblinRanged</x:v>
      </x:c>
      <x:c r="G1779" s="410" t="n">
        <x:v>39</x:v>
      </x:c>
    </x:row>
    <x:row r="1780">
      <x:c r="A1780" t="str">
        <x:v>Stage01</x:v>
      </x:c>
      <x:c r="B1780" t="str">
        <x:v>WAVE_46</x:v>
      </x:c>
      <x:c r="C1780" s="409" t="n">
        <x:v>456.53</x:v>
      </x:c>
      <x:c r="D1780" s="410" t="n">
        <x:v>55</x:v>
      </x:c>
      <x:c r="E1780" t="str">
        <x:v>TOP_08</x:v>
      </x:c>
      <x:c r="F1780" t="str">
        <x:v>GoblinMelee</x:v>
      </x:c>
      <x:c r="G1780" s="410" t="n">
        <x:v>38</x:v>
      </x:c>
    </x:row>
    <x:row r="1781">
      <x:c r="A1781" t="str">
        <x:v>Stage01</x:v>
      </x:c>
      <x:c r="B1781" t="str">
        <x:v>WAVE_46</x:v>
      </x:c>
      <x:c r="C1781" s="409" t="n">
        <x:v>456.63</x:v>
      </x:c>
      <x:c r="D1781" s="410" t="n">
        <x:v>56</x:v>
      </x:c>
      <x:c r="E1781" t="str">
        <x:v>RIGHT_01</x:v>
      </x:c>
      <x:c r="F1781" t="str">
        <x:v>GoblinMelee</x:v>
      </x:c>
      <x:c r="G1781" s="410" t="n">
        <x:v>39</x:v>
      </x:c>
    </x:row>
    <x:row r="1782">
      <x:c r="A1782" t="str">
        <x:v>Stage01</x:v>
      </x:c>
      <x:c r="B1782" t="str">
        <x:v>WAVE_46</x:v>
      </x:c>
      <x:c r="C1782" s="409" t="n">
        <x:v>456.73</x:v>
      </x:c>
      <x:c r="D1782" s="410" t="n">
        <x:v>57</x:v>
      </x:c>
      <x:c r="E1782" t="str">
        <x:v>BOTTOM_02</x:v>
      </x:c>
      <x:c r="F1782" t="str">
        <x:v>GoblinRanged</x:v>
      </x:c>
      <x:c r="G1782" s="410" t="n">
        <x:v>38</x:v>
      </x:c>
    </x:row>
    <x:row r="1783">
      <x:c r="A1783" t="str">
        <x:v>Stage01</x:v>
      </x:c>
      <x:c r="B1783" t="str">
        <x:v>WAVE_46</x:v>
      </x:c>
      <x:c r="C1783" s="409" t="n">
        <x:v>456.84</x:v>
      </x:c>
      <x:c r="D1783" s="410" t="n">
        <x:v>58</x:v>
      </x:c>
      <x:c r="E1783" t="str">
        <x:v>LEFT_03</x:v>
      </x:c>
      <x:c r="F1783" t="str">
        <x:v>GoblinMelee</x:v>
      </x:c>
      <x:c r="G1783" s="410" t="n">
        <x:v>39</x:v>
      </x:c>
    </x:row>
    <x:row r="1784">
      <x:c r="A1784" t="str">
        <x:v>Stage01</x:v>
      </x:c>
      <x:c r="B1784" t="str">
        <x:v>WAVE_46</x:v>
      </x:c>
      <x:c r="C1784" s="409" t="n">
        <x:v>456.94</x:v>
      </x:c>
      <x:c r="D1784" s="410" t="n">
        <x:v>59</x:v>
      </x:c>
      <x:c r="E1784" t="str">
        <x:v>TOP_05</x:v>
      </x:c>
      <x:c r="F1784" t="str">
        <x:v>ShieldSkeleton</x:v>
      </x:c>
      <x:c r="G1784" s="410" t="n">
        <x:v>38</x:v>
      </x:c>
    </x:row>
    <x:row r="1785">
      <x:c r="A1785" t="str">
        <x:v>Stage01</x:v>
      </x:c>
      <x:c r="B1785" t="str">
        <x:v>WAVE_46</x:v>
      </x:c>
      <x:c r="C1785" s="409" t="n">
        <x:v>457.04</x:v>
      </x:c>
      <x:c r="D1785" s="410" t="n">
        <x:v>60</x:v>
      </x:c>
      <x:c r="E1785" t="str">
        <x:v>RIGHT_06</x:v>
      </x:c>
      <x:c r="F1785" t="str">
        <x:v>GoblinMelee</x:v>
      </x:c>
      <x:c r="G1785" s="410" t="n">
        <x:v>39</x:v>
      </x:c>
    </x:row>
    <x:row r="1786">
      <x:c r="A1786" t="str">
        <x:v>Stage01</x:v>
      </x:c>
      <x:c r="B1786" t="str">
        <x:v>WAVE_46</x:v>
      </x:c>
      <x:c r="C1786" s="409" t="n">
        <x:v>457.14</x:v>
      </x:c>
      <x:c r="D1786" s="410" t="n">
        <x:v>61</x:v>
      </x:c>
      <x:c r="E1786" t="str">
        <x:v>BOTTOM_07</x:v>
      </x:c>
      <x:c r="F1786" t="str">
        <x:v>GoblinMelee</x:v>
      </x:c>
      <x:c r="G1786" s="410" t="n">
        <x:v>38</x:v>
      </x:c>
    </x:row>
    <x:row r="1787">
      <x:c r="A1787" t="str">
        <x:v>Stage01</x:v>
      </x:c>
      <x:c r="B1787" t="str">
        <x:v>WAVE_46</x:v>
      </x:c>
      <x:c r="C1787" s="409" t="n">
        <x:v>457.25</x:v>
      </x:c>
      <x:c r="D1787" s="410" t="n">
        <x:v>62</x:v>
      </x:c>
      <x:c r="E1787" t="str">
        <x:v>LEFT_08</x:v>
      </x:c>
      <x:c r="F1787" t="str">
        <x:v>GoblinRanged</x:v>
      </x:c>
      <x:c r="G1787" s="410" t="n">
        <x:v>39</x:v>
      </x:c>
    </x:row>
    <x:row r="1788">
      <x:c r="A1788" t="str">
        <x:v>Stage01</x:v>
      </x:c>
      <x:c r="B1788" t="str">
        <x:v>WAVE_46</x:v>
      </x:c>
      <x:c r="C1788" s="409" t="n">
        <x:v>457.35</x:v>
      </x:c>
      <x:c r="D1788" s="410" t="n">
        <x:v>63</x:v>
      </x:c>
      <x:c r="E1788" t="str">
        <x:v>TOP_02</x:v>
      </x:c>
      <x:c r="F1788" t="str">
        <x:v>GoblinMelee</x:v>
      </x:c>
      <x:c r="G1788" s="410" t="n">
        <x:v>38</x:v>
      </x:c>
    </x:row>
    <x:row r="1789">
      <x:c r="A1789" t="str">
        <x:v>Stage01</x:v>
      </x:c>
      <x:c r="B1789" t="str">
        <x:v>WAVE_46</x:v>
      </x:c>
      <x:c r="C1789" s="409" t="n">
        <x:v>457.45</x:v>
      </x:c>
      <x:c r="D1789" s="410" t="n">
        <x:v>64</x:v>
      </x:c>
      <x:c r="E1789" t="str">
        <x:v>RIGHT_03</x:v>
      </x:c>
      <x:c r="F1789" t="str">
        <x:v>GoblinMelee</x:v>
      </x:c>
      <x:c r="G1789" s="410" t="n">
        <x:v>39</x:v>
      </x:c>
    </x:row>
    <x:row r="1790">
      <x:c r="A1790" t="str">
        <x:v>Stage01</x:v>
      </x:c>
      <x:c r="B1790" t="str">
        <x:v>WAVE_46</x:v>
      </x:c>
      <x:c r="C1790" s="409" t="n">
        <x:v>457.55</x:v>
      </x:c>
      <x:c r="D1790" s="410" t="n">
        <x:v>65</x:v>
      </x:c>
      <x:c r="E1790" t="str">
        <x:v>BOTTOM_04</x:v>
      </x:c>
      <x:c r="F1790" t="str">
        <x:v>GoblinRanged</x:v>
      </x:c>
      <x:c r="G1790" s="410" t="n">
        <x:v>38</x:v>
      </x:c>
    </x:row>
    <x:row r="1791">
      <x:c r="A1791" t="str">
        <x:v>Stage01</x:v>
      </x:c>
      <x:c r="B1791" t="str">
        <x:v>WAVE_46</x:v>
      </x:c>
      <x:c r="C1791" s="409" t="n">
        <x:v>457.65</x:v>
      </x:c>
      <x:c r="D1791" s="410" t="n">
        <x:v>66</x:v>
      </x:c>
      <x:c r="E1791" t="str">
        <x:v>LEFT_05</x:v>
      </x:c>
      <x:c r="F1791" t="str">
        <x:v>FlyingEye</x:v>
      </x:c>
      <x:c r="G1791" s="410" t="n">
        <x:v>39</x:v>
      </x:c>
    </x:row>
    <x:row r="1792">
      <x:c r="A1792" t="str">
        <x:v>Stage01</x:v>
      </x:c>
      <x:c r="B1792" t="str">
        <x:v>WAVE_46</x:v>
      </x:c>
      <x:c r="C1792" s="409" t="n">
        <x:v>457.76</x:v>
      </x:c>
      <x:c r="D1792" s="410" t="n">
        <x:v>67</x:v>
      </x:c>
      <x:c r="E1792" t="str">
        <x:v>TOP_07</x:v>
      </x:c>
      <x:c r="F1792" t="str">
        <x:v>ShieldSkeleton</x:v>
      </x:c>
      <x:c r="G1792" s="410" t="n">
        <x:v>38</x:v>
      </x:c>
    </x:row>
    <x:row r="1793">
      <x:c r="A1793" t="str">
        <x:v>Stage01</x:v>
      </x:c>
      <x:c r="B1793" t="str">
        <x:v>WAVE_46</x:v>
      </x:c>
      <x:c r="C1793" s="409" t="n">
        <x:v>457.86</x:v>
      </x:c>
      <x:c r="D1793" s="410" t="n">
        <x:v>68</x:v>
      </x:c>
      <x:c r="E1793" t="str">
        <x:v>RIGHT_08</x:v>
      </x:c>
      <x:c r="F1793" t="str">
        <x:v>GoblinMelee</x:v>
      </x:c>
      <x:c r="G1793" s="410" t="n">
        <x:v>39</x:v>
      </x:c>
    </x:row>
    <x:row r="1794">
      <x:c r="A1794" t="str">
        <x:v>Stage01</x:v>
      </x:c>
      <x:c r="B1794" t="str">
        <x:v>WAVE_46</x:v>
      </x:c>
      <x:c r="C1794" s="409" t="n">
        <x:v>457.96</x:v>
      </x:c>
      <x:c r="D1794" s="410" t="n">
        <x:v>69</x:v>
      </x:c>
      <x:c r="E1794" t="str">
        <x:v>BOTTOM_01</x:v>
      </x:c>
      <x:c r="F1794" t="str">
        <x:v>GoblinRanged</x:v>
      </x:c>
      <x:c r="G1794" s="410" t="n">
        <x:v>39</x:v>
      </x:c>
    </x:row>
    <x:row r="1795">
      <x:c r="A1795" t="str">
        <x:v>Stage01</x:v>
      </x:c>
      <x:c r="B1795" t="str">
        <x:v>WAVE_46</x:v>
      </x:c>
      <x:c r="C1795" s="409" t="n">
        <x:v>458.06</x:v>
      </x:c>
      <x:c r="D1795" s="410" t="n">
        <x:v>70</x:v>
      </x:c>
      <x:c r="E1795" t="str">
        <x:v>LEFT_02</x:v>
      </x:c>
      <x:c r="F1795" t="str">
        <x:v>GoblinMelee</x:v>
      </x:c>
      <x:c r="G1795" s="410" t="n">
        <x:v>38</x:v>
      </x:c>
    </x:row>
    <x:row r="1796">
      <x:c r="A1796" t="str">
        <x:v>Stage01</x:v>
      </x:c>
      <x:c r="B1796" t="str">
        <x:v>WAVE_46</x:v>
      </x:c>
      <x:c r="C1796" s="409" t="n">
        <x:v>458.17</x:v>
      </x:c>
      <x:c r="D1796" s="410" t="n">
        <x:v>71</x:v>
      </x:c>
      <x:c r="E1796" t="str">
        <x:v>TOP_04</x:v>
      </x:c>
      <x:c r="F1796" t="str">
        <x:v>GoblinMelee</x:v>
      </x:c>
      <x:c r="G1796" s="410" t="n">
        <x:v>39</x:v>
      </x:c>
    </x:row>
    <x:row r="1797">
      <x:c r="A1797" t="str">
        <x:v>Stage01</x:v>
      </x:c>
      <x:c r="B1797" t="str">
        <x:v>WAVE_46</x:v>
      </x:c>
      <x:c r="C1797" s="409" t="n">
        <x:v>458.27</x:v>
      </x:c>
      <x:c r="D1797" s="410" t="n">
        <x:v>72</x:v>
      </x:c>
      <x:c r="E1797" t="str">
        <x:v>RIGHT_05</x:v>
      </x:c>
      <x:c r="F1797" t="str">
        <x:v>GoblinRanged</x:v>
      </x:c>
      <x:c r="G1797" s="410" t="n">
        <x:v>38</x:v>
      </x:c>
    </x:row>
    <x:row r="1798">
      <x:c r="A1798" t="str">
        <x:v>Stage01</x:v>
      </x:c>
      <x:c r="B1798" t="str">
        <x:v>WAVE_46</x:v>
      </x:c>
      <x:c r="C1798" s="409" t="n">
        <x:v>458.37</x:v>
      </x:c>
      <x:c r="D1798" s="410" t="n">
        <x:v>73</x:v>
      </x:c>
      <x:c r="E1798" t="str">
        <x:v>BOTTOM_06</x:v>
      </x:c>
      <x:c r="F1798" t="str">
        <x:v>GoblinMelee</x:v>
      </x:c>
      <x:c r="G1798" s="410" t="n">
        <x:v>39</x:v>
      </x:c>
    </x:row>
    <x:row r="1799">
      <x:c r="A1799" t="str">
        <x:v>Stage01</x:v>
      </x:c>
      <x:c r="B1799" t="str">
        <x:v>WAVE_46</x:v>
      </x:c>
      <x:c r="C1799" s="409" t="n">
        <x:v>458.47</x:v>
      </x:c>
      <x:c r="D1799" s="410" t="n">
        <x:v>74</x:v>
      </x:c>
      <x:c r="E1799" t="str">
        <x:v>LEFT_07</x:v>
      </x:c>
      <x:c r="F1799" t="str">
        <x:v>ShieldSkeleton</x:v>
      </x:c>
      <x:c r="G1799" s="410" t="n">
        <x:v>38</x:v>
      </x:c>
    </x:row>
    <x:row r="1800">
      <x:c r="A1800" t="str">
        <x:v>Stage01</x:v>
      </x:c>
      <x:c r="B1800" t="str">
        <x:v>WAVE_46</x:v>
      </x:c>
      <x:c r="C1800" s="409" t="n">
        <x:v>458.58</x:v>
      </x:c>
      <x:c r="D1800" s="410" t="n">
        <x:v>75</x:v>
      </x:c>
      <x:c r="E1800" t="str">
        <x:v>TOP_01</x:v>
      </x:c>
      <x:c r="F1800" t="str">
        <x:v>GoblinMelee</x:v>
      </x:c>
      <x:c r="G1800" s="410" t="n">
        <x:v>39</x:v>
      </x:c>
    </x:row>
    <x:row r="1801">
      <x:c r="A1801" t="str">
        <x:v>Stage01</x:v>
      </x:c>
      <x:c r="B1801" t="str">
        <x:v>WAVE_46</x:v>
      </x:c>
      <x:c r="C1801" s="409" t="n">
        <x:v>458.68</x:v>
      </x:c>
      <x:c r="D1801" s="410" t="n">
        <x:v>76</x:v>
      </x:c>
      <x:c r="E1801" t="str">
        <x:v>RIGHT_02</x:v>
      </x:c>
      <x:c r="F1801" t="str">
        <x:v>GoblinMelee</x:v>
      </x:c>
      <x:c r="G1801" s="410" t="n">
        <x:v>38</x:v>
      </x:c>
    </x:row>
    <x:row r="1802">
      <x:c r="A1802" t="str">
        <x:v>Stage01</x:v>
      </x:c>
      <x:c r="B1802" t="str">
        <x:v>WAVE_46</x:v>
      </x:c>
      <x:c r="C1802" s="409" t="n">
        <x:v>458.78</x:v>
      </x:c>
      <x:c r="D1802" s="410" t="n">
        <x:v>77</x:v>
      </x:c>
      <x:c r="E1802" t="str">
        <x:v>BOTTOM_03</x:v>
      </x:c>
      <x:c r="F1802" t="str">
        <x:v>GoblinRanged</x:v>
      </x:c>
      <x:c r="G1802" s="410" t="n">
        <x:v>39</x:v>
      </x:c>
    </x:row>
    <x:row r="1803">
      <x:c r="A1803" t="str">
        <x:v>Stage01</x:v>
      </x:c>
      <x:c r="B1803" t="str">
        <x:v>WAVE_46</x:v>
      </x:c>
      <x:c r="C1803" s="409" t="n">
        <x:v>458.88</x:v>
      </x:c>
      <x:c r="D1803" s="410" t="n">
        <x:v>78</x:v>
      </x:c>
      <x:c r="E1803" t="str">
        <x:v>LEFT_04</x:v>
      </x:c>
      <x:c r="F1803" t="str">
        <x:v>GoblinMelee</x:v>
      </x:c>
      <x:c r="G1803" s="410" t="n">
        <x:v>38</x:v>
      </x:c>
    </x:row>
    <x:row r="1804">
      <x:c r="A1804" t="str">
        <x:v>Stage01</x:v>
      </x:c>
      <x:c r="B1804" t="str">
        <x:v>WAVE_46</x:v>
      </x:c>
      <x:c r="C1804" s="409" t="n">
        <x:v>458.99</x:v>
      </x:c>
      <x:c r="D1804" s="410" t="n">
        <x:v>79</x:v>
      </x:c>
      <x:c r="E1804" t="str">
        <x:v>TOP_06</x:v>
      </x:c>
      <x:c r="F1804" t="str">
        <x:v>FlyingEye</x:v>
      </x:c>
      <x:c r="G1804" s="410" t="n">
        <x:v>39</x:v>
      </x:c>
    </x:row>
    <x:row r="1805">
      <x:c r="A1805" t="str">
        <x:v>Stage01</x:v>
      </x:c>
      <x:c r="B1805" t="str">
        <x:v>WAVE_46</x:v>
      </x:c>
      <x:c r="C1805" s="409" t="n">
        <x:v>459.09</x:v>
      </x:c>
      <x:c r="D1805" s="410" t="n">
        <x:v>80</x:v>
      </x:c>
      <x:c r="E1805" t="str">
        <x:v>RIGHT_07</x:v>
      </x:c>
      <x:c r="F1805" t="str">
        <x:v>GoblinRanged</x:v>
      </x:c>
      <x:c r="G1805" s="410" t="n">
        <x:v>38</x:v>
      </x:c>
    </x:row>
    <x:row r="1806">
      <x:c r="A1806" t="str">
        <x:v>Stage01</x:v>
      </x:c>
      <x:c r="B1806" t="str">
        <x:v>WAVE_46</x:v>
      </x:c>
      <x:c r="C1806" s="409" t="n">
        <x:v>459.19</x:v>
      </x:c>
      <x:c r="D1806" s="410" t="n">
        <x:v>81</x:v>
      </x:c>
      <x:c r="E1806" t="str">
        <x:v>BOTTOM_08</x:v>
      </x:c>
      <x:c r="F1806" t="str">
        <x:v>GoblinMelee</x:v>
      </x:c>
      <x:c r="G1806" s="410" t="n">
        <x:v>39</x:v>
      </x:c>
    </x:row>
    <x:row r="1807">
      <x:c r="A1807" t="str">
        <x:v>Stage01</x:v>
      </x:c>
      <x:c r="B1807" t="str">
        <x:v>WAVE_46</x:v>
      </x:c>
      <x:c r="C1807" s="409" t="n">
        <x:v>459.29</x:v>
      </x:c>
      <x:c r="D1807" s="410" t="n">
        <x:v>82</x:v>
      </x:c>
      <x:c r="E1807" t="str">
        <x:v>LEFT_01</x:v>
      </x:c>
      <x:c r="F1807" t="str">
        <x:v>ShieldSkeleton</x:v>
      </x:c>
      <x:c r="G1807" s="410" t="n">
        <x:v>38</x:v>
      </x:c>
    </x:row>
    <x:row r="1808">
      <x:c r="A1808" t="str">
        <x:v>Stage01</x:v>
      </x:c>
      <x:c r="B1808" t="str">
        <x:v>WAVE_46</x:v>
      </x:c>
      <x:c r="C1808" s="409" t="n">
        <x:v>459.4</x:v>
      </x:c>
      <x:c r="D1808" s="410" t="n">
        <x:v>83</x:v>
      </x:c>
      <x:c r="E1808" t="str">
        <x:v>TOP_03</x:v>
      </x:c>
      <x:c r="F1808" t="str">
        <x:v>GoblinMelee</x:v>
      </x:c>
      <x:c r="G1808" s="410" t="n">
        <x:v>39</x:v>
      </x:c>
    </x:row>
    <x:row r="1809">
      <x:c r="A1809" t="str">
        <x:v>Stage01</x:v>
      </x:c>
      <x:c r="B1809" t="str">
        <x:v>WAVE_46</x:v>
      </x:c>
      <x:c r="C1809" s="409" t="n">
        <x:v>459.5</x:v>
      </x:c>
      <x:c r="D1809" s="410" t="n">
        <x:v>84</x:v>
      </x:c>
      <x:c r="E1809" t="str">
        <x:v>RIGHT_04</x:v>
      </x:c>
      <x:c r="F1809" t="str">
        <x:v>GoblinRanged</x:v>
      </x:c>
      <x:c r="G1809" s="410" t="n">
        <x:v>38</x:v>
      </x:c>
    </x:row>
    <x:row r="1810">
      <x:c r="A1810" t="str">
        <x:v>Stage01</x:v>
      </x:c>
      <x:c r="B1810" t="str">
        <x:v>WAVE_46</x:v>
      </x:c>
      <x:c r="C1810" s="409" t="n">
        <x:v>459.6</x:v>
      </x:c>
      <x:c r="D1810" s="410" t="n">
        <x:v>85</x:v>
      </x:c>
      <x:c r="E1810" t="str">
        <x:v>BOTTOM_05</x:v>
      </x:c>
      <x:c r="F1810" t="str">
        <x:v>GoblinMelee</x:v>
      </x:c>
      <x:c r="G1810" s="410" t="n">
        <x:v>39</x:v>
      </x:c>
    </x:row>
    <x:row r="1811">
      <x:c r="A1811" t="str">
        <x:v>Stage01</x:v>
      </x:c>
      <x:c r="B1811" t="str">
        <x:v>WAVE_47</x:v>
      </x:c>
      <x:c r="C1811" s="409" t="n">
        <x:v>461</x:v>
      </x:c>
      <x:c r="D1811" s="410" t="n">
        <x:v>1</x:v>
      </x:c>
      <x:c r="E1811" t="str">
        <x:v>BOTTOM_08</x:v>
      </x:c>
      <x:c r="F1811" t="str">
        <x:v>GoblinMelee</x:v>
      </x:c>
      <x:c r="G1811" s="410" t="n">
        <x:v>40</x:v>
      </x:c>
    </x:row>
    <x:row r="1812">
      <x:c r="A1812" t="str">
        <x:v>Stage01</x:v>
      </x:c>
      <x:c r="B1812" t="str">
        <x:v>WAVE_47</x:v>
      </x:c>
      <x:c r="C1812" s="409" t="n">
        <x:v>461.1</x:v>
      </x:c>
      <x:c r="D1812" s="410" t="n">
        <x:v>2</x:v>
      </x:c>
      <x:c r="E1812" t="str">
        <x:v>LEFT_01</x:v>
      </x:c>
      <x:c r="F1812" t="str">
        <x:v>GoblinRanged</x:v>
      </x:c>
      <x:c r="G1812" s="410" t="n">
        <x:v>39</x:v>
      </x:c>
    </x:row>
    <x:row r="1813">
      <x:c r="A1813" t="str">
        <x:v>Stage01</x:v>
      </x:c>
      <x:c r="B1813" t="str">
        <x:v>WAVE_47</x:v>
      </x:c>
      <x:c r="C1813" s="409" t="n">
        <x:v>461.2</x:v>
      </x:c>
      <x:c r="D1813" s="410" t="n">
        <x:v>3</x:v>
      </x:c>
      <x:c r="E1813" t="str">
        <x:v>TOP_03</x:v>
      </x:c>
      <x:c r="F1813" t="str">
        <x:v>GoblinMelee</x:v>
      </x:c>
      <x:c r="G1813" s="410" t="n">
        <x:v>40</x:v>
      </x:c>
    </x:row>
    <x:row r="1814">
      <x:c r="A1814" t="str">
        <x:v>Stage01</x:v>
      </x:c>
      <x:c r="B1814" t="str">
        <x:v>WAVE_47</x:v>
      </x:c>
      <x:c r="C1814" s="409" t="n">
        <x:v>461.3</x:v>
      </x:c>
      <x:c r="D1814" s="410" t="n">
        <x:v>4</x:v>
      </x:c>
      <x:c r="E1814" t="str">
        <x:v>RIGHT_04</x:v>
      </x:c>
      <x:c r="F1814" t="str">
        <x:v>ShieldSkeleton</x:v>
      </x:c>
      <x:c r="G1814" s="410" t="n">
        <x:v>39</x:v>
      </x:c>
    </x:row>
    <x:row r="1815">
      <x:c r="A1815" t="str">
        <x:v>Stage01</x:v>
      </x:c>
      <x:c r="B1815" t="str">
        <x:v>WAVE_47</x:v>
      </x:c>
      <x:c r="C1815" s="409" t="n">
        <x:v>461.4</x:v>
      </x:c>
      <x:c r="D1815" s="410" t="n">
        <x:v>5</x:v>
      </x:c>
      <x:c r="E1815" t="str">
        <x:v>BOTTOM_05</x:v>
      </x:c>
      <x:c r="F1815" t="str">
        <x:v>GoblinMelee</x:v>
      </x:c>
      <x:c r="G1815" s="410" t="n">
        <x:v>40</x:v>
      </x:c>
    </x:row>
    <x:row r="1816">
      <x:c r="A1816" t="str">
        <x:v>Stage01</x:v>
      </x:c>
      <x:c r="B1816" t="str">
        <x:v>WAVE_47</x:v>
      </x:c>
      <x:c r="C1816" s="409" t="n">
        <x:v>461.5</x:v>
      </x:c>
      <x:c r="D1816" s="410" t="n">
        <x:v>6</x:v>
      </x:c>
      <x:c r="E1816" t="str">
        <x:v>LEFT_06</x:v>
      </x:c>
      <x:c r="F1816" t="str">
        <x:v>GoblinRanged</x:v>
      </x:c>
      <x:c r="G1816" s="410" t="n">
        <x:v>39</x:v>
      </x:c>
    </x:row>
    <x:row r="1817">
      <x:c r="A1817" t="str">
        <x:v>Stage01</x:v>
      </x:c>
      <x:c r="B1817" t="str">
        <x:v>WAVE_47</x:v>
      </x:c>
      <x:c r="C1817" s="409" t="n">
        <x:v>461.6</x:v>
      </x:c>
      <x:c r="D1817" s="410" t="n">
        <x:v>7</x:v>
      </x:c>
      <x:c r="E1817" t="str">
        <x:v>TOP_08</x:v>
      </x:c>
      <x:c r="F1817" t="str">
        <x:v>GoblinMelee</x:v>
      </x:c>
      <x:c r="G1817" s="410" t="n">
        <x:v>40</x:v>
      </x:c>
    </x:row>
    <x:row r="1818">
      <x:c r="A1818" t="str">
        <x:v>Stage01</x:v>
      </x:c>
      <x:c r="B1818" t="str">
        <x:v>WAVE_47</x:v>
      </x:c>
      <x:c r="C1818" s="409" t="n">
        <x:v>461.7</x:v>
      </x:c>
      <x:c r="D1818" s="410" t="n">
        <x:v>8</x:v>
      </x:c>
      <x:c r="E1818" t="str">
        <x:v>RIGHT_01</x:v>
      </x:c>
      <x:c r="F1818" t="str">
        <x:v>GoblinMelee</x:v>
      </x:c>
      <x:c r="G1818" s="410" t="n">
        <x:v>40</x:v>
      </x:c>
    </x:row>
    <x:row r="1819">
      <x:c r="A1819" t="str">
        <x:v>Stage01</x:v>
      </x:c>
      <x:c r="B1819" t="str">
        <x:v>WAVE_47</x:v>
      </x:c>
      <x:c r="C1819" s="409" t="n">
        <x:v>461.8</x:v>
      </x:c>
      <x:c r="D1819" s="410" t="n">
        <x:v>9</x:v>
      </x:c>
      <x:c r="E1819" t="str">
        <x:v>BOTTOM_02</x:v>
      </x:c>
      <x:c r="F1819" t="str">
        <x:v>GoblinRanged</x:v>
      </x:c>
      <x:c r="G1819" s="410" t="n">
        <x:v>39</x:v>
      </x:c>
    </x:row>
    <x:row r="1820">
      <x:c r="A1820" t="str">
        <x:v>Stage01</x:v>
      </x:c>
      <x:c r="B1820" t="str">
        <x:v>WAVE_47</x:v>
      </x:c>
      <x:c r="C1820" s="409" t="n">
        <x:v>461.9</x:v>
      </x:c>
      <x:c r="D1820" s="410" t="n">
        <x:v>10</x:v>
      </x:c>
      <x:c r="E1820" t="str">
        <x:v>LEFT_03</x:v>
      </x:c>
      <x:c r="F1820" t="str">
        <x:v>GoblinMelee</x:v>
      </x:c>
      <x:c r="G1820" s="410" t="n">
        <x:v>40</x:v>
      </x:c>
    </x:row>
    <x:row r="1821">
      <x:c r="A1821" t="str">
        <x:v>Stage01</x:v>
      </x:c>
      <x:c r="B1821" t="str">
        <x:v>WAVE_47</x:v>
      </x:c>
      <x:c r="C1821" s="409" t="n">
        <x:v>462</x:v>
      </x:c>
      <x:c r="D1821" s="410" t="n">
        <x:v>11</x:v>
      </x:c>
      <x:c r="E1821" t="str">
        <x:v>TOP_05</x:v>
      </x:c>
      <x:c r="F1821" t="str">
        <x:v>GoblinMelee</x:v>
      </x:c>
      <x:c r="G1821" s="410" t="n">
        <x:v>39</x:v>
      </x:c>
    </x:row>
    <x:row r="1822">
      <x:c r="A1822" t="str">
        <x:v>Stage01</x:v>
      </x:c>
      <x:c r="B1822" t="str">
        <x:v>WAVE_47</x:v>
      </x:c>
      <x:c r="C1822" s="409" t="n">
        <x:v>462.1</x:v>
      </x:c>
      <x:c r="D1822" s="410" t="n">
        <x:v>12</x:v>
      </x:c>
      <x:c r="E1822" t="str">
        <x:v>RIGHT_06</x:v>
      </x:c>
      <x:c r="F1822" t="str">
        <x:v>ShieldSkeleton</x:v>
      </x:c>
      <x:c r="G1822" s="410" t="n">
        <x:v>40</x:v>
      </x:c>
    </x:row>
    <x:row r="1823">
      <x:c r="A1823" t="str">
        <x:v>Stage01</x:v>
      </x:c>
      <x:c r="B1823" t="str">
        <x:v>WAVE_47</x:v>
      </x:c>
      <x:c r="C1823" s="409" t="n">
        <x:v>462.2</x:v>
      </x:c>
      <x:c r="D1823" s="410" t="n">
        <x:v>13</x:v>
      </x:c>
      <x:c r="E1823" t="str">
        <x:v>BOTTOM_07</x:v>
      </x:c>
      <x:c r="F1823" t="str">
        <x:v>FlyingEye</x:v>
      </x:c>
      <x:c r="G1823" s="410" t="n">
        <x:v>39</x:v>
      </x:c>
    </x:row>
    <x:row r="1824">
      <x:c r="A1824" t="str">
        <x:v>Stage01</x:v>
      </x:c>
      <x:c r="B1824" t="str">
        <x:v>WAVE_47</x:v>
      </x:c>
      <x:c r="C1824" s="409" t="n">
        <x:v>462.3</x:v>
      </x:c>
      <x:c r="D1824" s="410" t="n">
        <x:v>14</x:v>
      </x:c>
      <x:c r="E1824" t="str">
        <x:v>LEFT_08</x:v>
      </x:c>
      <x:c r="F1824" t="str">
        <x:v>GoblinRanged</x:v>
      </x:c>
      <x:c r="G1824" s="410" t="n">
        <x:v>40</x:v>
      </x:c>
    </x:row>
    <x:row r="1825">
      <x:c r="A1825" t="str">
        <x:v>Stage01</x:v>
      </x:c>
      <x:c r="B1825" t="str">
        <x:v>WAVE_47</x:v>
      </x:c>
      <x:c r="C1825" s="409" t="n">
        <x:v>462.4</x:v>
      </x:c>
      <x:c r="D1825" s="410" t="n">
        <x:v>15</x:v>
      </x:c>
      <x:c r="E1825" t="str">
        <x:v>TOP_02</x:v>
      </x:c>
      <x:c r="F1825" t="str">
        <x:v>GoblinMelee</x:v>
      </x:c>
      <x:c r="G1825" s="410" t="n">
        <x:v>39</x:v>
      </x:c>
    </x:row>
    <x:row r="1826">
      <x:c r="A1826" t="str">
        <x:v>Stage01</x:v>
      </x:c>
      <x:c r="B1826" t="str">
        <x:v>WAVE_47</x:v>
      </x:c>
      <x:c r="C1826" s="409" t="n">
        <x:v>462.5</x:v>
      </x:c>
      <x:c r="D1826" s="410" t="n">
        <x:v>16</x:v>
      </x:c>
      <x:c r="E1826" t="str">
        <x:v>RIGHT_03</x:v>
      </x:c>
      <x:c r="F1826" t="str">
        <x:v>GoblinMelee</x:v>
      </x:c>
      <x:c r="G1826" s="410" t="n">
        <x:v>40</x:v>
      </x:c>
    </x:row>
    <x:row r="1827">
      <x:c r="A1827" t="str">
        <x:v>Stage01</x:v>
      </x:c>
      <x:c r="B1827" t="str">
        <x:v>WAVE_47</x:v>
      </x:c>
      <x:c r="C1827" s="409" t="n">
        <x:v>462.6</x:v>
      </x:c>
      <x:c r="D1827" s="410" t="n">
        <x:v>17</x:v>
      </x:c>
      <x:c r="E1827" t="str">
        <x:v>BOTTOM_04</x:v>
      </x:c>
      <x:c r="F1827" t="str">
        <x:v>GoblinRanged</x:v>
      </x:c>
      <x:c r="G1827" s="410" t="n">
        <x:v>40</x:v>
      </x:c>
    </x:row>
    <x:row r="1828">
      <x:c r="A1828" t="str">
        <x:v>Stage01</x:v>
      </x:c>
      <x:c r="B1828" t="str">
        <x:v>WAVE_47</x:v>
      </x:c>
      <x:c r="C1828" s="409" t="n">
        <x:v>462.7</x:v>
      </x:c>
      <x:c r="D1828" s="410" t="n">
        <x:v>18</x:v>
      </x:c>
      <x:c r="E1828" t="str">
        <x:v>LEFT_05</x:v>
      </x:c>
      <x:c r="F1828" t="str">
        <x:v>GoblinMelee</x:v>
      </x:c>
      <x:c r="G1828" s="410" t="n">
        <x:v>39</x:v>
      </x:c>
    </x:row>
    <x:row r="1829">
      <x:c r="A1829" t="str">
        <x:v>Stage01</x:v>
      </x:c>
      <x:c r="B1829" t="str">
        <x:v>WAVE_47</x:v>
      </x:c>
      <x:c r="C1829" s="409" t="n">
        <x:v>462.8</x:v>
      </x:c>
      <x:c r="D1829" s="410" t="n">
        <x:v>19</x:v>
      </x:c>
      <x:c r="E1829" t="str">
        <x:v>TOP_07</x:v>
      </x:c>
      <x:c r="F1829" t="str">
        <x:v>ShieldSkeleton</x:v>
      </x:c>
      <x:c r="G1829" s="410" t="n">
        <x:v>40</x:v>
      </x:c>
    </x:row>
    <x:row r="1830">
      <x:c r="A1830" t="str">
        <x:v>Stage01</x:v>
      </x:c>
      <x:c r="B1830" t="str">
        <x:v>WAVE_47</x:v>
      </x:c>
      <x:c r="C1830" s="409" t="n">
        <x:v>462.9</x:v>
      </x:c>
      <x:c r="D1830" s="410" t="n">
        <x:v>20</x:v>
      </x:c>
      <x:c r="E1830" t="str">
        <x:v>RIGHT_08</x:v>
      </x:c>
      <x:c r="F1830" t="str">
        <x:v>GoblinMelee</x:v>
      </x:c>
      <x:c r="G1830" s="410" t="n">
        <x:v>39</x:v>
      </x:c>
    </x:row>
    <x:row r="1831">
      <x:c r="A1831" t="str">
        <x:v>Stage01</x:v>
      </x:c>
      <x:c r="B1831" t="str">
        <x:v>WAVE_47</x:v>
      </x:c>
      <x:c r="C1831" s="409" t="n">
        <x:v>463</x:v>
      </x:c>
      <x:c r="D1831" s="410" t="n">
        <x:v>21</x:v>
      </x:c>
      <x:c r="E1831" t="str">
        <x:v>BOTTOM_01</x:v>
      </x:c>
      <x:c r="F1831" t="str">
        <x:v>GoblinRanged</x:v>
      </x:c>
      <x:c r="G1831" s="410" t="n">
        <x:v>40</x:v>
      </x:c>
    </x:row>
    <x:row r="1832">
      <x:c r="A1832" t="str">
        <x:v>Stage01</x:v>
      </x:c>
      <x:c r="B1832" t="str">
        <x:v>WAVE_47</x:v>
      </x:c>
      <x:c r="C1832" s="409" t="n">
        <x:v>463.1</x:v>
      </x:c>
      <x:c r="D1832" s="410" t="n">
        <x:v>22</x:v>
      </x:c>
      <x:c r="E1832" t="str">
        <x:v>LEFT_02</x:v>
      </x:c>
      <x:c r="F1832" t="str">
        <x:v>GoblinMelee</x:v>
      </x:c>
      <x:c r="G1832" s="410" t="n">
        <x:v>39</x:v>
      </x:c>
    </x:row>
    <x:row r="1833">
      <x:c r="A1833" t="str">
        <x:v>Stage01</x:v>
      </x:c>
      <x:c r="B1833" t="str">
        <x:v>WAVE_47</x:v>
      </x:c>
      <x:c r="C1833" s="409" t="n">
        <x:v>463.2</x:v>
      </x:c>
      <x:c r="D1833" s="410" t="n">
        <x:v>23</x:v>
      </x:c>
      <x:c r="E1833" t="str">
        <x:v>TOP_04</x:v>
      </x:c>
      <x:c r="F1833" t="str">
        <x:v>GoblinMelee</x:v>
      </x:c>
      <x:c r="G1833" s="410" t="n">
        <x:v>40</x:v>
      </x:c>
    </x:row>
    <x:row r="1834">
      <x:c r="A1834" t="str">
        <x:v>Stage01</x:v>
      </x:c>
      <x:c r="B1834" t="str">
        <x:v>WAVE_47</x:v>
      </x:c>
      <x:c r="C1834" s="409" t="n">
        <x:v>463.3</x:v>
      </x:c>
      <x:c r="D1834" s="410" t="n">
        <x:v>24</x:v>
      </x:c>
      <x:c r="E1834" t="str">
        <x:v>RIGHT_05</x:v>
      </x:c>
      <x:c r="F1834" t="str">
        <x:v>GoblinRanged</x:v>
      </x:c>
      <x:c r="G1834" s="410" t="n">
        <x:v>40</x:v>
      </x:c>
    </x:row>
    <x:row r="1835">
      <x:c r="A1835" t="str">
        <x:v>Stage01</x:v>
      </x:c>
      <x:c r="B1835" t="str">
        <x:v>WAVE_47</x:v>
      </x:c>
      <x:c r="C1835" s="409" t="n">
        <x:v>463.4</x:v>
      </x:c>
      <x:c r="D1835" s="410" t="n">
        <x:v>25</x:v>
      </x:c>
      <x:c r="E1835" t="str">
        <x:v>BOTTOM_06</x:v>
      </x:c>
      <x:c r="F1835" t="str">
        <x:v>GoblinMelee</x:v>
      </x:c>
      <x:c r="G1835" s="410" t="n">
        <x:v>39</x:v>
      </x:c>
    </x:row>
    <x:row r="1836">
      <x:c r="A1836" t="str">
        <x:v>Stage01</x:v>
      </x:c>
      <x:c r="B1836" t="str">
        <x:v>WAVE_47</x:v>
      </x:c>
      <x:c r="C1836" s="409" t="n">
        <x:v>463.5</x:v>
      </x:c>
      <x:c r="D1836" s="410" t="n">
        <x:v>26</x:v>
      </x:c>
      <x:c r="E1836" t="str">
        <x:v>LEFT_07</x:v>
      </x:c>
      <x:c r="F1836" t="str">
        <x:v>FlyingEye</x:v>
      </x:c>
      <x:c r="G1836" s="410" t="n">
        <x:v>40</x:v>
      </x:c>
    </x:row>
    <x:row r="1837">
      <x:c r="A1837" t="str">
        <x:v>Stage01</x:v>
      </x:c>
      <x:c r="B1837" t="str">
        <x:v>WAVE_47</x:v>
      </x:c>
      <x:c r="C1837" s="409" t="n">
        <x:v>463.6</x:v>
      </x:c>
      <x:c r="D1837" s="410" t="n">
        <x:v>27</x:v>
      </x:c>
      <x:c r="E1837" t="str">
        <x:v>TOP_01</x:v>
      </x:c>
      <x:c r="F1837" t="str">
        <x:v>GoblinRanged</x:v>
      </x:c>
      <x:c r="G1837" s="410" t="n">
        <x:v>39</x:v>
      </x:c>
    </x:row>
    <x:row r="1838">
      <x:c r="A1838" t="str">
        <x:v>Stage01</x:v>
      </x:c>
      <x:c r="B1838" t="str">
        <x:v>WAVE_47</x:v>
      </x:c>
      <x:c r="C1838" s="409" t="n">
        <x:v>463.7</x:v>
      </x:c>
      <x:c r="D1838" s="410" t="n">
        <x:v>28</x:v>
      </x:c>
      <x:c r="E1838" t="str">
        <x:v>RIGHT_02</x:v>
      </x:c>
      <x:c r="F1838" t="str">
        <x:v>GoblinMelee</x:v>
      </x:c>
      <x:c r="G1838" s="410" t="n">
        <x:v>40</x:v>
      </x:c>
    </x:row>
    <x:row r="1839">
      <x:c r="A1839" t="str">
        <x:v>Stage01</x:v>
      </x:c>
      <x:c r="B1839" t="str">
        <x:v>WAVE_47</x:v>
      </x:c>
      <x:c r="C1839" s="409" t="n">
        <x:v>463.8</x:v>
      </x:c>
      <x:c r="D1839" s="410" t="n">
        <x:v>29</x:v>
      </x:c>
      <x:c r="E1839" t="str">
        <x:v>BOTTOM_03</x:v>
      </x:c>
      <x:c r="F1839" t="str">
        <x:v>ShieldSkeleton</x:v>
      </x:c>
      <x:c r="G1839" s="410" t="n">
        <x:v>39</x:v>
      </x:c>
    </x:row>
    <x:row r="1840">
      <x:c r="A1840" t="str">
        <x:v>Stage01</x:v>
      </x:c>
      <x:c r="B1840" t="str">
        <x:v>WAVE_47</x:v>
      </x:c>
      <x:c r="C1840" s="409" t="n">
        <x:v>463.9</x:v>
      </x:c>
      <x:c r="D1840" s="410" t="n">
        <x:v>30</x:v>
      </x:c>
      <x:c r="E1840" t="str">
        <x:v>LEFT_04</x:v>
      </x:c>
      <x:c r="F1840" t="str">
        <x:v>GoblinMelee</x:v>
      </x:c>
      <x:c r="G1840" s="410" t="n">
        <x:v>40</x:v>
      </x:c>
    </x:row>
    <x:row r="1841">
      <x:c r="A1841" t="str">
        <x:v>Stage01</x:v>
      </x:c>
      <x:c r="B1841" t="str">
        <x:v>WAVE_47</x:v>
      </x:c>
      <x:c r="C1841" s="409" t="n">
        <x:v>464</x:v>
      </x:c>
      <x:c r="D1841" s="410" t="n">
        <x:v>31</x:v>
      </x:c>
      <x:c r="E1841" t="str">
        <x:v>TOP_06</x:v>
      </x:c>
      <x:c r="F1841" t="str">
        <x:v>GoblinRanged</x:v>
      </x:c>
      <x:c r="G1841" s="410" t="n">
        <x:v>39</x:v>
      </x:c>
    </x:row>
    <x:row r="1842">
      <x:c r="A1842" t="str">
        <x:v>Stage01</x:v>
      </x:c>
      <x:c r="B1842" t="str">
        <x:v>WAVE_47</x:v>
      </x:c>
      <x:c r="C1842" s="409" t="n">
        <x:v>464.1</x:v>
      </x:c>
      <x:c r="D1842" s="410" t="n">
        <x:v>32</x:v>
      </x:c>
      <x:c r="E1842" t="str">
        <x:v>RIGHT_07</x:v>
      </x:c>
      <x:c r="F1842" t="str">
        <x:v>GoblinMelee</x:v>
      </x:c>
      <x:c r="G1842" s="410" t="n">
        <x:v>40</x:v>
      </x:c>
    </x:row>
    <x:row r="1843">
      <x:c r="A1843" t="str">
        <x:v>Stage01</x:v>
      </x:c>
      <x:c r="B1843" t="str">
        <x:v>WAVE_47</x:v>
      </x:c>
      <x:c r="C1843" s="409" t="n">
        <x:v>464.2</x:v>
      </x:c>
      <x:c r="D1843" s="410" t="n">
        <x:v>33</x:v>
      </x:c>
      <x:c r="E1843" t="str">
        <x:v>BOTTOM_08</x:v>
      </x:c>
      <x:c r="F1843" t="str">
        <x:v>GoblinMelee</x:v>
      </x:c>
      <x:c r="G1843" s="410" t="n">
        <x:v>40</x:v>
      </x:c>
    </x:row>
    <x:row r="1844">
      <x:c r="A1844" t="str">
        <x:v>Stage01</x:v>
      </x:c>
      <x:c r="B1844" t="str">
        <x:v>WAVE_47</x:v>
      </x:c>
      <x:c r="C1844" s="409" t="n">
        <x:v>464.3</x:v>
      </x:c>
      <x:c r="D1844" s="410" t="n">
        <x:v>34</x:v>
      </x:c>
      <x:c r="E1844" t="str">
        <x:v>LEFT_01</x:v>
      </x:c>
      <x:c r="F1844" t="str">
        <x:v>GoblinRanged</x:v>
      </x:c>
      <x:c r="G1844" s="410" t="n">
        <x:v>39</x:v>
      </x:c>
    </x:row>
    <x:row r="1845">
      <x:c r="A1845" t="str">
        <x:v>Stage01</x:v>
      </x:c>
      <x:c r="B1845" t="str">
        <x:v>WAVE_47</x:v>
      </x:c>
      <x:c r="C1845" s="409" t="n">
        <x:v>464.4</x:v>
      </x:c>
      <x:c r="D1845" s="410" t="n">
        <x:v>35</x:v>
      </x:c>
      <x:c r="E1845" t="str">
        <x:v>TOP_03</x:v>
      </x:c>
      <x:c r="F1845" t="str">
        <x:v>GoblinMelee</x:v>
      </x:c>
      <x:c r="G1845" s="410" t="n">
        <x:v>40</x:v>
      </x:c>
    </x:row>
    <x:row r="1846">
      <x:c r="A1846" t="str">
        <x:v>Stage01</x:v>
      </x:c>
      <x:c r="B1846" t="str">
        <x:v>WAVE_47</x:v>
      </x:c>
      <x:c r="C1846" s="409" t="n">
        <x:v>464.5</x:v>
      </x:c>
      <x:c r="D1846" s="410" t="n">
        <x:v>36</x:v>
      </x:c>
      <x:c r="E1846" t="str">
        <x:v>RIGHT_04</x:v>
      </x:c>
      <x:c r="F1846" t="str">
        <x:v>ShieldSkeleton</x:v>
      </x:c>
      <x:c r="G1846" s="410" t="n">
        <x:v>39</x:v>
      </x:c>
    </x:row>
    <x:row r="1847">
      <x:c r="A1847" t="str">
        <x:v>Stage01</x:v>
      </x:c>
      <x:c r="B1847" t="str">
        <x:v>WAVE_47</x:v>
      </x:c>
      <x:c r="C1847" s="409" t="n">
        <x:v>464.6</x:v>
      </x:c>
      <x:c r="D1847" s="410" t="n">
        <x:v>37</x:v>
      </x:c>
      <x:c r="E1847" t="str">
        <x:v>BOTTOM_05</x:v>
      </x:c>
      <x:c r="F1847" t="str">
        <x:v>GoblinMelee</x:v>
      </x:c>
      <x:c r="G1847" s="410" t="n">
        <x:v>40</x:v>
      </x:c>
    </x:row>
    <x:row r="1848">
      <x:c r="A1848" t="str">
        <x:v>Stage01</x:v>
      </x:c>
      <x:c r="B1848" t="str">
        <x:v>WAVE_47</x:v>
      </x:c>
      <x:c r="C1848" s="409" t="n">
        <x:v>464.7</x:v>
      </x:c>
      <x:c r="D1848" s="410" t="n">
        <x:v>38</x:v>
      </x:c>
      <x:c r="E1848" t="str">
        <x:v>LEFT_06</x:v>
      </x:c>
      <x:c r="F1848" t="str">
        <x:v>GoblinMelee</x:v>
      </x:c>
      <x:c r="G1848" s="410" t="n">
        <x:v>39</x:v>
      </x:c>
    </x:row>
    <x:row r="1849">
      <x:c r="A1849" t="str">
        <x:v>Stage01</x:v>
      </x:c>
      <x:c r="B1849" t="str">
        <x:v>WAVE_47</x:v>
      </x:c>
      <x:c r="C1849" s="409" t="n">
        <x:v>464.8</x:v>
      </x:c>
      <x:c r="D1849" s="410" t="n">
        <x:v>39</x:v>
      </x:c>
      <x:c r="E1849" t="str">
        <x:v>TOP_08</x:v>
      </x:c>
      <x:c r="F1849" t="str">
        <x:v>GoblinRanged</x:v>
      </x:c>
      <x:c r="G1849" s="410" t="n">
        <x:v>40</x:v>
      </x:c>
    </x:row>
    <x:row r="1850">
      <x:c r="A1850" t="str">
        <x:v>Stage01</x:v>
      </x:c>
      <x:c r="B1850" t="str">
        <x:v>WAVE_47</x:v>
      </x:c>
      <x:c r="C1850" s="409" t="n">
        <x:v>464.9</x:v>
      </x:c>
      <x:c r="D1850" s="410" t="n">
        <x:v>40</x:v>
      </x:c>
      <x:c r="E1850" t="str">
        <x:v>RIGHT_01</x:v>
      </x:c>
      <x:c r="F1850" t="str">
        <x:v>FlyingEye</x:v>
      </x:c>
      <x:c r="G1850" s="410" t="n">
        <x:v>40</x:v>
      </x:c>
    </x:row>
    <x:row r="1851">
      <x:c r="A1851" t="str">
        <x:v>Stage01</x:v>
      </x:c>
      <x:c r="B1851" t="str">
        <x:v>WAVE_47</x:v>
      </x:c>
      <x:c r="C1851" s="409" t="n">
        <x:v>465</x:v>
      </x:c>
      <x:c r="D1851" s="410" t="n">
        <x:v>41</x:v>
      </x:c>
      <x:c r="E1851" t="str">
        <x:v>BOTTOM_02</x:v>
      </x:c>
      <x:c r="F1851" t="str">
        <x:v>GoblinMelee</x:v>
      </x:c>
      <x:c r="G1851" s="410" t="n">
        <x:v>39</x:v>
      </x:c>
    </x:row>
    <x:row r="1852">
      <x:c r="A1852" t="str">
        <x:v>Stage01</x:v>
      </x:c>
      <x:c r="B1852" t="str">
        <x:v>WAVE_47</x:v>
      </x:c>
      <x:c r="C1852" s="409" t="n">
        <x:v>465.1</x:v>
      </x:c>
      <x:c r="D1852" s="410" t="n">
        <x:v>42</x:v>
      </x:c>
      <x:c r="E1852" t="str">
        <x:v>LEFT_03</x:v>
      </x:c>
      <x:c r="F1852" t="str">
        <x:v>GoblinRanged</x:v>
      </x:c>
      <x:c r="G1852" s="410" t="n">
        <x:v>40</x:v>
      </x:c>
    </x:row>
    <x:row r="1853">
      <x:c r="A1853" t="str">
        <x:v>Stage01</x:v>
      </x:c>
      <x:c r="B1853" t="str">
        <x:v>WAVE_47</x:v>
      </x:c>
      <x:c r="C1853" s="409" t="n">
        <x:v>465.2</x:v>
      </x:c>
      <x:c r="D1853" s="410" t="n">
        <x:v>43</x:v>
      </x:c>
      <x:c r="E1853" t="str">
        <x:v>TOP_05</x:v>
      </x:c>
      <x:c r="F1853" t="str">
        <x:v>GoblinMelee</x:v>
      </x:c>
      <x:c r="G1853" s="410" t="n">
        <x:v>39</x:v>
      </x:c>
    </x:row>
    <x:row r="1854">
      <x:c r="A1854" t="str">
        <x:v>Stage01</x:v>
      </x:c>
      <x:c r="B1854" t="str">
        <x:v>WAVE_47</x:v>
      </x:c>
      <x:c r="C1854" s="409" t="n">
        <x:v>465.3</x:v>
      </x:c>
      <x:c r="D1854" s="410" t="n">
        <x:v>44</x:v>
      </x:c>
      <x:c r="E1854" t="str">
        <x:v>RIGHT_06</x:v>
      </x:c>
      <x:c r="F1854" t="str">
        <x:v>ShieldSkeleton</x:v>
      </x:c>
      <x:c r="G1854" s="410" t="n">
        <x:v>40</x:v>
      </x:c>
    </x:row>
    <x:row r="1855">
      <x:c r="A1855" t="str">
        <x:v>Stage01</x:v>
      </x:c>
      <x:c r="B1855" t="str">
        <x:v>WAVE_47</x:v>
      </x:c>
      <x:c r="C1855" s="409" t="n">
        <x:v>465.4</x:v>
      </x:c>
      <x:c r="D1855" s="410" t="n">
        <x:v>45</x:v>
      </x:c>
      <x:c r="E1855" t="str">
        <x:v>BOTTOM_07</x:v>
      </x:c>
      <x:c r="F1855" t="str">
        <x:v>GoblinMelee</x:v>
      </x:c>
      <x:c r="G1855" s="410" t="n">
        <x:v>39</x:v>
      </x:c>
    </x:row>
    <x:row r="1856">
      <x:c r="A1856" t="str">
        <x:v>Stage01</x:v>
      </x:c>
      <x:c r="B1856" t="str">
        <x:v>WAVE_47</x:v>
      </x:c>
      <x:c r="C1856" s="409" t="n">
        <x:v>465.5</x:v>
      </x:c>
      <x:c r="D1856" s="410" t="n">
        <x:v>46</x:v>
      </x:c>
      <x:c r="E1856" t="str">
        <x:v>LEFT_08</x:v>
      </x:c>
      <x:c r="F1856" t="str">
        <x:v>GoblinRanged</x:v>
      </x:c>
      <x:c r="G1856" s="410" t="n">
        <x:v>40</x:v>
      </x:c>
    </x:row>
    <x:row r="1857">
      <x:c r="A1857" t="str">
        <x:v>Stage01</x:v>
      </x:c>
      <x:c r="B1857" t="str">
        <x:v>WAVE_47</x:v>
      </x:c>
      <x:c r="C1857" s="409" t="n">
        <x:v>465.6</x:v>
      </x:c>
      <x:c r="D1857" s="410" t="n">
        <x:v>47</x:v>
      </x:c>
      <x:c r="E1857" t="str">
        <x:v>TOP_02</x:v>
      </x:c>
      <x:c r="F1857" t="str">
        <x:v>GoblinMelee</x:v>
      </x:c>
      <x:c r="G1857" s="410" t="n">
        <x:v>39</x:v>
      </x:c>
    </x:row>
    <x:row r="1858">
      <x:c r="A1858" t="str">
        <x:v>Stage01</x:v>
      </x:c>
      <x:c r="B1858" t="str">
        <x:v>WAVE_47</x:v>
      </x:c>
      <x:c r="C1858" s="409" t="n">
        <x:v>465.7</x:v>
      </x:c>
      <x:c r="D1858" s="410" t="n">
        <x:v>48</x:v>
      </x:c>
      <x:c r="E1858" t="str">
        <x:v>RIGHT_03</x:v>
      </x:c>
      <x:c r="F1858" t="str">
        <x:v>GoblinMelee</x:v>
      </x:c>
      <x:c r="G1858" s="410" t="n">
        <x:v>40</x:v>
      </x:c>
    </x:row>
    <x:row r="1859">
      <x:c r="A1859" t="str">
        <x:v>Stage01</x:v>
      </x:c>
      <x:c r="B1859" t="str">
        <x:v>WAVE_47</x:v>
      </x:c>
      <x:c r="C1859" s="409" t="n">
        <x:v>465.8</x:v>
      </x:c>
      <x:c r="D1859" s="410" t="n">
        <x:v>49</x:v>
      </x:c>
      <x:c r="E1859" t="str">
        <x:v>BOTTOM_04</x:v>
      </x:c>
      <x:c r="F1859" t="str">
        <x:v>GoblinRanged</x:v>
      </x:c>
      <x:c r="G1859" s="410" t="n">
        <x:v>40</x:v>
      </x:c>
    </x:row>
    <x:row r="1860">
      <x:c r="A1860" t="str">
        <x:v>Stage01</x:v>
      </x:c>
      <x:c r="B1860" t="str">
        <x:v>WAVE_47</x:v>
      </x:c>
      <x:c r="C1860" s="409" t="n">
        <x:v>465.9</x:v>
      </x:c>
      <x:c r="D1860" s="410" t="n">
        <x:v>50</x:v>
      </x:c>
      <x:c r="E1860" t="str">
        <x:v>LEFT_05</x:v>
      </x:c>
      <x:c r="F1860" t="str">
        <x:v>GoblinMelee</x:v>
      </x:c>
      <x:c r="G1860" s="410" t="n">
        <x:v>39</x:v>
      </x:c>
    </x:row>
    <x:row r="1861">
      <x:c r="A1861" t="str">
        <x:v>Stage01</x:v>
      </x:c>
      <x:c r="B1861" t="str">
        <x:v>WAVE_47</x:v>
      </x:c>
      <x:c r="C1861" s="409" t="n">
        <x:v>466</x:v>
      </x:c>
      <x:c r="D1861" s="410" t="n">
        <x:v>51</x:v>
      </x:c>
      <x:c r="E1861" t="str">
        <x:v>TOP_07</x:v>
      </x:c>
      <x:c r="F1861" t="str">
        <x:v>GoblinMelee</x:v>
      </x:c>
      <x:c r="G1861" s="410" t="n">
        <x:v>40</x:v>
      </x:c>
    </x:row>
    <x:row r="1862">
      <x:c r="A1862" t="str">
        <x:v>Stage01</x:v>
      </x:c>
      <x:c r="B1862" t="str">
        <x:v>WAVE_47</x:v>
      </x:c>
      <x:c r="C1862" s="409" t="n">
        <x:v>466.1</x:v>
      </x:c>
      <x:c r="D1862" s="410" t="n">
        <x:v>52</x:v>
      </x:c>
      <x:c r="E1862" t="str">
        <x:v>RIGHT_08</x:v>
      </x:c>
      <x:c r="F1862" t="str">
        <x:v>ShieldSkeleton</x:v>
      </x:c>
      <x:c r="G1862" s="410" t="n">
        <x:v>39</x:v>
      </x:c>
    </x:row>
    <x:row r="1863">
      <x:c r="A1863" t="str">
        <x:v>Stage01</x:v>
      </x:c>
      <x:c r="B1863" t="str">
        <x:v>WAVE_47</x:v>
      </x:c>
      <x:c r="C1863" s="409" t="n">
        <x:v>466.2</x:v>
      </x:c>
      <x:c r="D1863" s="410" t="n">
        <x:v>53</x:v>
      </x:c>
      <x:c r="E1863" t="str">
        <x:v>BOTTOM_01</x:v>
      </x:c>
      <x:c r="F1863" t="str">
        <x:v>FlyingEye</x:v>
      </x:c>
      <x:c r="G1863" s="410" t="n">
        <x:v>40</x:v>
      </x:c>
    </x:row>
    <x:row r="1864">
      <x:c r="A1864" t="str">
        <x:v>Stage01</x:v>
      </x:c>
      <x:c r="B1864" t="str">
        <x:v>WAVE_47</x:v>
      </x:c>
      <x:c r="C1864" s="409" t="n">
        <x:v>466.3</x:v>
      </x:c>
      <x:c r="D1864" s="410" t="n">
        <x:v>54</x:v>
      </x:c>
      <x:c r="E1864" t="str">
        <x:v>LEFT_02</x:v>
      </x:c>
      <x:c r="F1864" t="str">
        <x:v>GoblinRanged</x:v>
      </x:c>
      <x:c r="G1864" s="410" t="n">
        <x:v>39</x:v>
      </x:c>
    </x:row>
    <x:row r="1865">
      <x:c r="A1865" t="str">
        <x:v>Stage01</x:v>
      </x:c>
      <x:c r="B1865" t="str">
        <x:v>WAVE_47</x:v>
      </x:c>
      <x:c r="C1865" s="409" t="n">
        <x:v>466.4</x:v>
      </x:c>
      <x:c r="D1865" s="410" t="n">
        <x:v>55</x:v>
      </x:c>
      <x:c r="E1865" t="str">
        <x:v>TOP_04</x:v>
      </x:c>
      <x:c r="F1865" t="str">
        <x:v>GoblinMelee</x:v>
      </x:c>
      <x:c r="G1865" s="410" t="n">
        <x:v>40</x:v>
      </x:c>
    </x:row>
    <x:row r="1866">
      <x:c r="A1866" t="str">
        <x:v>Stage01</x:v>
      </x:c>
      <x:c r="B1866" t="str">
        <x:v>WAVE_47</x:v>
      </x:c>
      <x:c r="C1866" s="409" t="n">
        <x:v>466.5</x:v>
      </x:c>
      <x:c r="D1866" s="410" t="n">
        <x:v>56</x:v>
      </x:c>
      <x:c r="E1866" t="str">
        <x:v>RIGHT_05</x:v>
      </x:c>
      <x:c r="F1866" t="str">
        <x:v>GoblinMelee</x:v>
      </x:c>
      <x:c r="G1866" s="410" t="n">
        <x:v>40</x:v>
      </x:c>
    </x:row>
    <x:row r="1867">
      <x:c r="A1867" t="str">
        <x:v>Stage01</x:v>
      </x:c>
      <x:c r="B1867" t="str">
        <x:v>WAVE_47</x:v>
      </x:c>
      <x:c r="C1867" s="409" t="n">
        <x:v>466.6</x:v>
      </x:c>
      <x:c r="D1867" s="410" t="n">
        <x:v>57</x:v>
      </x:c>
      <x:c r="E1867" t="str">
        <x:v>BOTTOM_06</x:v>
      </x:c>
      <x:c r="F1867" t="str">
        <x:v>GoblinRanged</x:v>
      </x:c>
      <x:c r="G1867" s="410" t="n">
        <x:v>39</x:v>
      </x:c>
    </x:row>
    <x:row r="1868">
      <x:c r="A1868" t="str">
        <x:v>Stage01</x:v>
      </x:c>
      <x:c r="B1868" t="str">
        <x:v>WAVE_47</x:v>
      </x:c>
      <x:c r="C1868" s="409" t="n">
        <x:v>466.7</x:v>
      </x:c>
      <x:c r="D1868" s="410" t="n">
        <x:v>58</x:v>
      </x:c>
      <x:c r="E1868" t="str">
        <x:v>LEFT_07</x:v>
      </x:c>
      <x:c r="F1868" t="str">
        <x:v>GoblinMelee</x:v>
      </x:c>
      <x:c r="G1868" s="410" t="n">
        <x:v>40</x:v>
      </x:c>
    </x:row>
    <x:row r="1869">
      <x:c r="A1869" t="str">
        <x:v>Stage01</x:v>
      </x:c>
      <x:c r="B1869" t="str">
        <x:v>WAVE_47</x:v>
      </x:c>
      <x:c r="C1869" s="409" t="n">
        <x:v>466.8</x:v>
      </x:c>
      <x:c r="D1869" s="410" t="n">
        <x:v>59</x:v>
      </x:c>
      <x:c r="E1869" t="str">
        <x:v>TOP_01</x:v>
      </x:c>
      <x:c r="F1869" t="str">
        <x:v>ShieldSkeleton</x:v>
      </x:c>
      <x:c r="G1869" s="410" t="n">
        <x:v>39</x:v>
      </x:c>
    </x:row>
    <x:row r="1870">
      <x:c r="A1870" t="str">
        <x:v>Stage01</x:v>
      </x:c>
      <x:c r="B1870" t="str">
        <x:v>WAVE_47</x:v>
      </x:c>
      <x:c r="C1870" s="409" t="n">
        <x:v>466.9</x:v>
      </x:c>
      <x:c r="D1870" s="410" t="n">
        <x:v>60</x:v>
      </x:c>
      <x:c r="E1870" t="str">
        <x:v>RIGHT_02</x:v>
      </x:c>
      <x:c r="F1870" t="str">
        <x:v>GoblinMelee</x:v>
      </x:c>
      <x:c r="G1870" s="410" t="n">
        <x:v>40</x:v>
      </x:c>
    </x:row>
    <x:row r="1871">
      <x:c r="A1871" t="str">
        <x:v>Stage01</x:v>
      </x:c>
      <x:c r="B1871" t="str">
        <x:v>WAVE_47</x:v>
      </x:c>
      <x:c r="C1871" s="409" t="n">
        <x:v>467</x:v>
      </x:c>
      <x:c r="D1871" s="410" t="n">
        <x:v>61</x:v>
      </x:c>
      <x:c r="E1871" t="str">
        <x:v>BOTTOM_03</x:v>
      </x:c>
      <x:c r="F1871" t="str">
        <x:v>GoblinRanged</x:v>
      </x:c>
      <x:c r="G1871" s="410" t="n">
        <x:v>39</x:v>
      </x:c>
    </x:row>
    <x:row r="1872">
      <x:c r="A1872" t="str">
        <x:v>Stage01</x:v>
      </x:c>
      <x:c r="B1872" t="str">
        <x:v>WAVE_47</x:v>
      </x:c>
      <x:c r="C1872" s="409" t="n">
        <x:v>467.1</x:v>
      </x:c>
      <x:c r="D1872" s="410" t="n">
        <x:v>62</x:v>
      </x:c>
      <x:c r="E1872" t="str">
        <x:v>LEFT_04</x:v>
      </x:c>
      <x:c r="F1872" t="str">
        <x:v>GoblinMelee</x:v>
      </x:c>
      <x:c r="G1872" s="410" t="n">
        <x:v>40</x:v>
      </x:c>
    </x:row>
    <x:row r="1873">
      <x:c r="A1873" t="str">
        <x:v>Stage01</x:v>
      </x:c>
      <x:c r="B1873" t="str">
        <x:v>WAVE_47</x:v>
      </x:c>
      <x:c r="C1873" s="409" t="n">
        <x:v>467.2</x:v>
      </x:c>
      <x:c r="D1873" s="410" t="n">
        <x:v>63</x:v>
      </x:c>
      <x:c r="E1873" t="str">
        <x:v>TOP_06</x:v>
      </x:c>
      <x:c r="F1873" t="str">
        <x:v>GoblinMelee</x:v>
      </x:c>
      <x:c r="G1873" s="410" t="n">
        <x:v>39</x:v>
      </x:c>
    </x:row>
    <x:row r="1874">
      <x:c r="A1874" t="str">
        <x:v>Stage01</x:v>
      </x:c>
      <x:c r="B1874" t="str">
        <x:v>WAVE_47</x:v>
      </x:c>
      <x:c r="C1874" s="409" t="n">
        <x:v>467.3</x:v>
      </x:c>
      <x:c r="D1874" s="410" t="n">
        <x:v>64</x:v>
      </x:c>
      <x:c r="E1874" t="str">
        <x:v>RIGHT_07</x:v>
      </x:c>
      <x:c r="F1874" t="str">
        <x:v>GoblinRanged</x:v>
      </x:c>
      <x:c r="G1874" s="410" t="n">
        <x:v>40</x:v>
      </x:c>
    </x:row>
    <x:row r="1875">
      <x:c r="A1875" t="str">
        <x:v>Stage01</x:v>
      </x:c>
      <x:c r="B1875" t="str">
        <x:v>WAVE_47</x:v>
      </x:c>
      <x:c r="C1875" s="409" t="n">
        <x:v>467.4</x:v>
      </x:c>
      <x:c r="D1875" s="410" t="n">
        <x:v>65</x:v>
      </x:c>
      <x:c r="E1875" t="str">
        <x:v>BOTTOM_08</x:v>
      </x:c>
      <x:c r="F1875" t="str">
        <x:v>GoblinMelee</x:v>
      </x:c>
      <x:c r="G1875" s="410" t="n">
        <x:v>40</x:v>
      </x:c>
    </x:row>
    <x:row r="1876">
      <x:c r="A1876" t="str">
        <x:v>Stage01</x:v>
      </x:c>
      <x:c r="B1876" t="str">
        <x:v>WAVE_47</x:v>
      </x:c>
      <x:c r="C1876" s="409" t="n">
        <x:v>467.5</x:v>
      </x:c>
      <x:c r="D1876" s="410" t="n">
        <x:v>66</x:v>
      </x:c>
      <x:c r="E1876" t="str">
        <x:v>LEFT_01</x:v>
      </x:c>
      <x:c r="F1876" t="str">
        <x:v>FlyingEye</x:v>
      </x:c>
      <x:c r="G1876" s="410" t="n">
        <x:v>39</x:v>
      </x:c>
    </x:row>
    <x:row r="1877">
      <x:c r="A1877" t="str">
        <x:v>Stage01</x:v>
      </x:c>
      <x:c r="B1877" t="str">
        <x:v>WAVE_47</x:v>
      </x:c>
      <x:c r="C1877" s="409" t="n">
        <x:v>467.6</x:v>
      </x:c>
      <x:c r="D1877" s="410" t="n">
        <x:v>67</x:v>
      </x:c>
      <x:c r="E1877" t="str">
        <x:v>TOP_03</x:v>
      </x:c>
      <x:c r="F1877" t="str">
        <x:v>GoblinRanged</x:v>
      </x:c>
      <x:c r="G1877" s="410" t="n">
        <x:v>40</x:v>
      </x:c>
    </x:row>
    <x:row r="1878">
      <x:c r="A1878" t="str">
        <x:v>Stage01</x:v>
      </x:c>
      <x:c r="B1878" t="str">
        <x:v>WAVE_47</x:v>
      </x:c>
      <x:c r="C1878" s="409" t="n">
        <x:v>467.7</x:v>
      </x:c>
      <x:c r="D1878" s="410" t="n">
        <x:v>68</x:v>
      </x:c>
      <x:c r="E1878" t="str">
        <x:v>RIGHT_04</x:v>
      </x:c>
      <x:c r="F1878" t="str">
        <x:v>GoblinMelee</x:v>
      </x:c>
      <x:c r="G1878" s="410" t="n">
        <x:v>39</x:v>
      </x:c>
    </x:row>
    <x:row r="1879">
      <x:c r="A1879" t="str">
        <x:v>Stage01</x:v>
      </x:c>
      <x:c r="B1879" t="str">
        <x:v>WAVE_47</x:v>
      </x:c>
      <x:c r="C1879" s="409" t="n">
        <x:v>467.8</x:v>
      </x:c>
      <x:c r="D1879" s="410" t="n">
        <x:v>69</x:v>
      </x:c>
      <x:c r="E1879" t="str">
        <x:v>BOTTOM_05</x:v>
      </x:c>
      <x:c r="F1879" t="str">
        <x:v>ShieldSkeleton</x:v>
      </x:c>
      <x:c r="G1879" s="410" t="n">
        <x:v>40</x:v>
      </x:c>
    </x:row>
    <x:row r="1880">
      <x:c r="A1880" t="str">
        <x:v>Stage01</x:v>
      </x:c>
      <x:c r="B1880" t="str">
        <x:v>WAVE_47</x:v>
      </x:c>
      <x:c r="C1880" s="409" t="n">
        <x:v>467.9</x:v>
      </x:c>
      <x:c r="D1880" s="410" t="n">
        <x:v>70</x:v>
      </x:c>
      <x:c r="E1880" t="str">
        <x:v>LEFT_06</x:v>
      </x:c>
      <x:c r="F1880" t="str">
        <x:v>GoblinMelee</x:v>
      </x:c>
      <x:c r="G1880" s="410" t="n">
        <x:v>39</x:v>
      </x:c>
    </x:row>
    <x:row r="1881">
      <x:c r="A1881" t="str">
        <x:v>Stage01</x:v>
      </x:c>
      <x:c r="B1881" t="str">
        <x:v>WAVE_47</x:v>
      </x:c>
      <x:c r="C1881" s="409" t="n">
        <x:v>468</x:v>
      </x:c>
      <x:c r="D1881" s="410" t="n">
        <x:v>71</x:v>
      </x:c>
      <x:c r="E1881" t="str">
        <x:v>TOP_08</x:v>
      </x:c>
      <x:c r="F1881" t="str">
        <x:v>GoblinRanged</x:v>
      </x:c>
      <x:c r="G1881" s="410" t="n">
        <x:v>40</x:v>
      </x:c>
    </x:row>
    <x:row r="1882">
      <x:c r="A1882" t="str">
        <x:v>Stage01</x:v>
      </x:c>
      <x:c r="B1882" t="str">
        <x:v>WAVE_47</x:v>
      </x:c>
      <x:c r="C1882" s="409" t="n">
        <x:v>468.1</x:v>
      </x:c>
      <x:c r="D1882" s="410" t="n">
        <x:v>72</x:v>
      </x:c>
      <x:c r="E1882" t="str">
        <x:v>RIGHT_01</x:v>
      </x:c>
      <x:c r="F1882" t="str">
        <x:v>GoblinMelee</x:v>
      </x:c>
      <x:c r="G1882" s="410" t="n">
        <x:v>40</x:v>
      </x:c>
    </x:row>
    <x:row r="1883">
      <x:c r="A1883" t="str">
        <x:v>Stage01</x:v>
      </x:c>
      <x:c r="B1883" t="str">
        <x:v>WAVE_47</x:v>
      </x:c>
      <x:c r="C1883" s="409" t="n">
        <x:v>468.2</x:v>
      </x:c>
      <x:c r="D1883" s="410" t="n">
        <x:v>73</x:v>
      </x:c>
      <x:c r="E1883" t="str">
        <x:v>BOTTOM_02</x:v>
      </x:c>
      <x:c r="F1883" t="str">
        <x:v>GoblinMelee</x:v>
      </x:c>
      <x:c r="G1883" s="410" t="n">
        <x:v>39</x:v>
      </x:c>
    </x:row>
    <x:row r="1884">
      <x:c r="A1884" t="str">
        <x:v>Stage01</x:v>
      </x:c>
      <x:c r="B1884" t="str">
        <x:v>WAVE_47</x:v>
      </x:c>
      <x:c r="C1884" s="409" t="n">
        <x:v>468.3</x:v>
      </x:c>
      <x:c r="D1884" s="410" t="n">
        <x:v>74</x:v>
      </x:c>
      <x:c r="E1884" t="str">
        <x:v>LEFT_03</x:v>
      </x:c>
      <x:c r="F1884" t="str">
        <x:v>GoblinRanged</x:v>
      </x:c>
      <x:c r="G1884" s="410" t="n">
        <x:v>40</x:v>
      </x:c>
    </x:row>
    <x:row r="1885">
      <x:c r="A1885" t="str">
        <x:v>Stage01</x:v>
      </x:c>
      <x:c r="B1885" t="str">
        <x:v>WAVE_47</x:v>
      </x:c>
      <x:c r="C1885" s="409" t="n">
        <x:v>468.4</x:v>
      </x:c>
      <x:c r="D1885" s="410" t="n">
        <x:v>75</x:v>
      </x:c>
      <x:c r="E1885" t="str">
        <x:v>TOP_05</x:v>
      </x:c>
      <x:c r="F1885" t="str">
        <x:v>GoblinMelee</x:v>
      </x:c>
      <x:c r="G1885" s="410" t="n">
        <x:v>39</x:v>
      </x:c>
    </x:row>
    <x:row r="1886">
      <x:c r="A1886" t="str">
        <x:v>Stage01</x:v>
      </x:c>
      <x:c r="B1886" t="str">
        <x:v>WAVE_47</x:v>
      </x:c>
      <x:c r="C1886" s="409" t="n">
        <x:v>468.5</x:v>
      </x:c>
      <x:c r="D1886" s="410" t="n">
        <x:v>76</x:v>
      </x:c>
      <x:c r="E1886" t="str">
        <x:v>RIGHT_06</x:v>
      </x:c>
      <x:c r="F1886" t="str">
        <x:v>ShieldSkeleton</x:v>
      </x:c>
      <x:c r="G1886" s="410" t="n">
        <x:v>40</x:v>
      </x:c>
    </x:row>
    <x:row r="1887">
      <x:c r="A1887" t="str">
        <x:v>Stage01</x:v>
      </x:c>
      <x:c r="B1887" t="str">
        <x:v>WAVE_47</x:v>
      </x:c>
      <x:c r="C1887" s="409" t="n">
        <x:v>468.6</x:v>
      </x:c>
      <x:c r="D1887" s="410" t="n">
        <x:v>77</x:v>
      </x:c>
      <x:c r="E1887" t="str">
        <x:v>BOTTOM_07</x:v>
      </x:c>
      <x:c r="F1887" t="str">
        <x:v>GoblinMelee</x:v>
      </x:c>
      <x:c r="G1887" s="410" t="n">
        <x:v>39</x:v>
      </x:c>
    </x:row>
    <x:row r="1888">
      <x:c r="A1888" t="str">
        <x:v>Stage01</x:v>
      </x:c>
      <x:c r="B1888" t="str">
        <x:v>WAVE_47</x:v>
      </x:c>
      <x:c r="C1888" s="409" t="n">
        <x:v>468.7</x:v>
      </x:c>
      <x:c r="D1888" s="410" t="n">
        <x:v>78</x:v>
      </x:c>
      <x:c r="E1888" t="str">
        <x:v>LEFT_08</x:v>
      </x:c>
      <x:c r="F1888" t="str">
        <x:v>GoblinMelee</x:v>
      </x:c>
      <x:c r="G1888" s="410" t="n">
        <x:v>40</x:v>
      </x:c>
    </x:row>
    <x:row r="1889">
      <x:c r="A1889" t="str">
        <x:v>Stage01</x:v>
      </x:c>
      <x:c r="B1889" t="str">
        <x:v>WAVE_47</x:v>
      </x:c>
      <x:c r="C1889" s="409" t="n">
        <x:v>468.8</x:v>
      </x:c>
      <x:c r="D1889" s="410" t="n">
        <x:v>79</x:v>
      </x:c>
      <x:c r="E1889" t="str">
        <x:v>TOP_02</x:v>
      </x:c>
      <x:c r="F1889" t="str">
        <x:v>GoblinRanged</x:v>
      </x:c>
      <x:c r="G1889" s="410" t="n">
        <x:v>39</x:v>
      </x:c>
    </x:row>
    <x:row r="1890">
      <x:c r="A1890" t="str">
        <x:v>Stage01</x:v>
      </x:c>
      <x:c r="B1890" t="str">
        <x:v>WAVE_47</x:v>
      </x:c>
      <x:c r="C1890" s="409" t="n">
        <x:v>468.9</x:v>
      </x:c>
      <x:c r="D1890" s="410" t="n">
        <x:v>80</x:v>
      </x:c>
      <x:c r="E1890" t="str">
        <x:v>RIGHT_03</x:v>
      </x:c>
      <x:c r="F1890" t="str">
        <x:v>FlyingEye</x:v>
      </x:c>
      <x:c r="G1890" s="410" t="n">
        <x:v>40</x:v>
      </x:c>
    </x:row>
    <x:row r="1891">
      <x:c r="A1891" t="str">
        <x:v>Stage01</x:v>
      </x:c>
      <x:c r="B1891" t="str">
        <x:v>WAVE_47</x:v>
      </x:c>
      <x:c r="C1891" s="409" t="n">
        <x:v>469</x:v>
      </x:c>
      <x:c r="D1891" s="410" t="n">
        <x:v>81</x:v>
      </x:c>
      <x:c r="E1891" t="str">
        <x:v>BOTTOM_04</x:v>
      </x:c>
      <x:c r="F1891" t="str">
        <x:v>GoblinMelee</x:v>
      </x:c>
      <x:c r="G1891" s="410" t="n">
        <x:v>40</x:v>
      </x:c>
    </x:row>
    <x:row r="1892">
      <x:c r="A1892" t="str">
        <x:v>Stage01</x:v>
      </x:c>
      <x:c r="B1892" t="str">
        <x:v>WAVE_47</x:v>
      </x:c>
      <x:c r="C1892" s="409" t="n">
        <x:v>469.1</x:v>
      </x:c>
      <x:c r="D1892" s="410" t="n">
        <x:v>82</x:v>
      </x:c>
      <x:c r="E1892" t="str">
        <x:v>LEFT_05</x:v>
      </x:c>
      <x:c r="F1892" t="str">
        <x:v>GoblinRanged</x:v>
      </x:c>
      <x:c r="G1892" s="410" t="n">
        <x:v>39</x:v>
      </x:c>
    </x:row>
    <x:row r="1893">
      <x:c r="A1893" t="str">
        <x:v>Stage01</x:v>
      </x:c>
      <x:c r="B1893" t="str">
        <x:v>WAVE_47</x:v>
      </x:c>
      <x:c r="C1893" s="409" t="n">
        <x:v>469.2</x:v>
      </x:c>
      <x:c r="D1893" s="410" t="n">
        <x:v>83</x:v>
      </x:c>
      <x:c r="E1893" t="str">
        <x:v>TOP_07</x:v>
      </x:c>
      <x:c r="F1893" t="str">
        <x:v>GoblinMelee</x:v>
      </x:c>
      <x:c r="G1893" s="410" t="n">
        <x:v>40</x:v>
      </x:c>
    </x:row>
    <x:row r="1894">
      <x:c r="A1894" t="str">
        <x:v>Stage01</x:v>
      </x:c>
      <x:c r="B1894" t="str">
        <x:v>WAVE_47</x:v>
      </x:c>
      <x:c r="C1894" s="409" t="n">
        <x:v>469.3</x:v>
      </x:c>
      <x:c r="D1894" s="410" t="n">
        <x:v>84</x:v>
      </x:c>
      <x:c r="E1894" t="str">
        <x:v>RIGHT_08</x:v>
      </x:c>
      <x:c r="F1894" t="str">
        <x:v>ShieldSkeleton</x:v>
      </x:c>
      <x:c r="G1894" s="410" t="n">
        <x:v>39</x:v>
      </x:c>
    </x:row>
    <x:row r="1895">
      <x:c r="A1895" t="str">
        <x:v>Stage01</x:v>
      </x:c>
      <x:c r="B1895" t="str">
        <x:v>WAVE_47</x:v>
      </x:c>
      <x:c r="C1895" s="409" t="n">
        <x:v>469.4</x:v>
      </x:c>
      <x:c r="D1895" s="410" t="n">
        <x:v>85</x:v>
      </x:c>
      <x:c r="E1895" t="str">
        <x:v>BOTTOM_01</x:v>
      </x:c>
      <x:c r="F1895" t="str">
        <x:v>GoblinMelee</x:v>
      </x:c>
      <x:c r="G1895" s="410" t="n">
        <x:v>40</x:v>
      </x:c>
    </x:row>
    <x:row r="1896">
      <x:c r="A1896" t="str">
        <x:v>Stage01</x:v>
      </x:c>
      <x:c r="B1896" t="str">
        <x:v>WAVE_47</x:v>
      </x:c>
      <x:c r="C1896" s="409" t="n">
        <x:v>469.5</x:v>
      </x:c>
      <x:c r="D1896" s="410" t="n">
        <x:v>86</x:v>
      </x:c>
      <x:c r="E1896" t="str">
        <x:v>LEFT_02</x:v>
      </x:c>
      <x:c r="F1896" t="str">
        <x:v>GoblinRanged</x:v>
      </x:c>
      <x:c r="G1896" s="410" t="n">
        <x:v>39</x:v>
      </x:c>
    </x:row>
    <x:row r="1897">
      <x:c r="A1897" t="str">
        <x:v>Stage01</x:v>
      </x:c>
      <x:c r="B1897" t="str">
        <x:v>WAVE_47</x:v>
      </x:c>
      <x:c r="C1897" s="409" t="n">
        <x:v>469.6</x:v>
      </x:c>
      <x:c r="D1897" s="410" t="n">
        <x:v>87</x:v>
      </x:c>
      <x:c r="E1897" t="str">
        <x:v>TOP_04</x:v>
      </x:c>
      <x:c r="F1897" t="str">
        <x:v>GoblinMelee</x:v>
      </x:c>
      <x:c r="G1897" s="410" t="n">
        <x:v>40</x:v>
      </x:c>
    </x:row>
    <x:row r="1898">
      <x:c r="A1898" t="str">
        <x:v>Stage01</x:v>
      </x:c>
      <x:c r="B1898" t="str">
        <x:v>WAVE_48</x:v>
      </x:c>
      <x:c r="C1898" s="409" t="n">
        <x:v>471</x:v>
      </x:c>
      <x:c r="D1898" s="410" t="n">
        <x:v>1</x:v>
      </x:c>
      <x:c r="E1898" t="str">
        <x:v>TOP_07</x:v>
      </x:c>
      <x:c r="F1898" t="str">
        <x:v>GoblinMelee</x:v>
      </x:c>
      <x:c r="G1898" s="410" t="n">
        <x:v>41</x:v>
      </x:c>
    </x:row>
    <x:row r="1899">
      <x:c r="A1899" t="str">
        <x:v>Stage01</x:v>
      </x:c>
      <x:c r="B1899" t="str">
        <x:v>WAVE_48</x:v>
      </x:c>
      <x:c r="C1899" s="409" t="n">
        <x:v>471.1</x:v>
      </x:c>
      <x:c r="D1899" s="410" t="n">
        <x:v>2</x:v>
      </x:c>
      <x:c r="E1899" t="str">
        <x:v>RIGHT_08</x:v>
      </x:c>
      <x:c r="F1899" t="str">
        <x:v>GoblinRanged</x:v>
      </x:c>
      <x:c r="G1899" s="410" t="n">
        <x:v>40</x:v>
      </x:c>
    </x:row>
    <x:row r="1900">
      <x:c r="A1900" t="str">
        <x:v>Stage01</x:v>
      </x:c>
      <x:c r="B1900" t="str">
        <x:v>WAVE_48</x:v>
      </x:c>
      <x:c r="C1900" s="409" t="n">
        <x:v>471.19</x:v>
      </x:c>
      <x:c r="D1900" s="410" t="n">
        <x:v>3</x:v>
      </x:c>
      <x:c r="E1900" t="str">
        <x:v>BOTTOM_01</x:v>
      </x:c>
      <x:c r="F1900" t="str">
        <x:v>GoblinMelee</x:v>
      </x:c>
      <x:c r="G1900" s="410" t="n">
        <x:v>41</x:v>
      </x:c>
    </x:row>
    <x:row r="1901">
      <x:c r="A1901" t="str">
        <x:v>Stage01</x:v>
      </x:c>
      <x:c r="B1901" t="str">
        <x:v>WAVE_48</x:v>
      </x:c>
      <x:c r="C1901" s="409" t="n">
        <x:v>471.29</x:v>
      </x:c>
      <x:c r="D1901" s="410" t="n">
        <x:v>4</x:v>
      </x:c>
      <x:c r="E1901" t="str">
        <x:v>LEFT_02</x:v>
      </x:c>
      <x:c r="F1901" t="str">
        <x:v>ShieldSkeleton</x:v>
      </x:c>
      <x:c r="G1901" s="410" t="n">
        <x:v>40</x:v>
      </x:c>
    </x:row>
    <x:row r="1902">
      <x:c r="A1902" t="str">
        <x:v>Stage01</x:v>
      </x:c>
      <x:c r="B1902" t="str">
        <x:v>WAVE_48</x:v>
      </x:c>
      <x:c r="C1902" s="409" t="n">
        <x:v>471.39</x:v>
      </x:c>
      <x:c r="D1902" s="410" t="n">
        <x:v>5</x:v>
      </x:c>
      <x:c r="E1902" t="str">
        <x:v>TOP_04</x:v>
      </x:c>
      <x:c r="F1902" t="str">
        <x:v>GoblinMelee</x:v>
      </x:c>
      <x:c r="G1902" s="410" t="n">
        <x:v>41</x:v>
      </x:c>
    </x:row>
    <x:row r="1903">
      <x:c r="A1903" t="str">
        <x:v>Stage01</x:v>
      </x:c>
      <x:c r="B1903" t="str">
        <x:v>WAVE_48</x:v>
      </x:c>
      <x:c r="C1903" s="409" t="n">
        <x:v>471.48</x:v>
      </x:c>
      <x:c r="D1903" s="410" t="n">
        <x:v>6</x:v>
      </x:c>
      <x:c r="E1903" t="str">
        <x:v>RIGHT_05</x:v>
      </x:c>
      <x:c r="F1903" t="str">
        <x:v>GoblinRanged</x:v>
      </x:c>
      <x:c r="G1903" s="410" t="n">
        <x:v>41</x:v>
      </x:c>
    </x:row>
    <x:row r="1904">
      <x:c r="A1904" t="str">
        <x:v>Stage01</x:v>
      </x:c>
      <x:c r="B1904" t="str">
        <x:v>WAVE_48</x:v>
      </x:c>
      <x:c r="C1904" s="409" t="n">
        <x:v>471.58</x:v>
      </x:c>
      <x:c r="D1904" s="410" t="n">
        <x:v>7</x:v>
      </x:c>
      <x:c r="E1904" t="str">
        <x:v>BOTTOM_06</x:v>
      </x:c>
      <x:c r="F1904" t="str">
        <x:v>GoblinMelee</x:v>
      </x:c>
      <x:c r="G1904" s="410" t="n">
        <x:v>40</x:v>
      </x:c>
    </x:row>
    <x:row r="1905">
      <x:c r="A1905" t="str">
        <x:v>Stage01</x:v>
      </x:c>
      <x:c r="B1905" t="str">
        <x:v>WAVE_48</x:v>
      </x:c>
      <x:c r="C1905" s="409" t="n">
        <x:v>471.68</x:v>
      </x:c>
      <x:c r="D1905" s="410" t="n">
        <x:v>8</x:v>
      </x:c>
      <x:c r="E1905" t="str">
        <x:v>LEFT_07</x:v>
      </x:c>
      <x:c r="F1905" t="str">
        <x:v>GoblinMelee</x:v>
      </x:c>
      <x:c r="G1905" s="410" t="n">
        <x:v>41</x:v>
      </x:c>
    </x:row>
    <x:row r="1906">
      <x:c r="A1906" t="str">
        <x:v>Stage01</x:v>
      </x:c>
      <x:c r="B1906" t="str">
        <x:v>WAVE_48</x:v>
      </x:c>
      <x:c r="C1906" s="409" t="n">
        <x:v>471.77</x:v>
      </x:c>
      <x:c r="D1906" s="410" t="n">
        <x:v>9</x:v>
      </x:c>
      <x:c r="E1906" t="str">
        <x:v>TOP_01</x:v>
      </x:c>
      <x:c r="F1906" t="str">
        <x:v>GoblinRanged</x:v>
      </x:c>
      <x:c r="G1906" s="410" t="n">
        <x:v>40</x:v>
      </x:c>
    </x:row>
    <x:row r="1907">
      <x:c r="A1907" t="str">
        <x:v>Stage01</x:v>
      </x:c>
      <x:c r="B1907" t="str">
        <x:v>WAVE_48</x:v>
      </x:c>
      <x:c r="C1907" s="409" t="n">
        <x:v>471.87</x:v>
      </x:c>
      <x:c r="D1907" s="410" t="n">
        <x:v>10</x:v>
      </x:c>
      <x:c r="E1907" t="str">
        <x:v>RIGHT_02</x:v>
      </x:c>
      <x:c r="F1907" t="str">
        <x:v>GoblinMelee</x:v>
      </x:c>
      <x:c r="G1907" s="410" t="n">
        <x:v>41</x:v>
      </x:c>
    </x:row>
    <x:row r="1908">
      <x:c r="A1908" t="str">
        <x:v>Stage01</x:v>
      </x:c>
      <x:c r="B1908" t="str">
        <x:v>WAVE_48</x:v>
      </x:c>
      <x:c r="C1908" s="409" t="n">
        <x:v>471.97</x:v>
      </x:c>
      <x:c r="D1908" s="410" t="n">
        <x:v>11</x:v>
      </x:c>
      <x:c r="E1908" t="str">
        <x:v>BOTTOM_03</x:v>
      </x:c>
      <x:c r="F1908" t="str">
        <x:v>ShieldSkeleton</x:v>
      </x:c>
      <x:c r="G1908" s="410" t="n">
        <x:v>40</x:v>
      </x:c>
    </x:row>
    <x:row r="1909">
      <x:c r="A1909" t="str">
        <x:v>Stage01</x:v>
      </x:c>
      <x:c r="B1909" t="str">
        <x:v>WAVE_48</x:v>
      </x:c>
      <x:c r="C1909" s="409" t="n">
        <x:v>472.06</x:v>
      </x:c>
      <x:c r="D1909" s="410" t="n">
        <x:v>12</x:v>
      </x:c>
      <x:c r="E1909" t="str">
        <x:v>LEFT_04</x:v>
      </x:c>
      <x:c r="F1909" t="str">
        <x:v>GoblinMelee</x:v>
      </x:c>
      <x:c r="G1909" s="410" t="n">
        <x:v>41</x:v>
      </x:c>
    </x:row>
    <x:row r="1910">
      <x:c r="A1910" t="str">
        <x:v>Stage01</x:v>
      </x:c>
      <x:c r="B1910" t="str">
        <x:v>WAVE_48</x:v>
      </x:c>
      <x:c r="C1910" s="409" t="n">
        <x:v>472.16</x:v>
      </x:c>
      <x:c r="D1910" s="410" t="n">
        <x:v>13</x:v>
      </x:c>
      <x:c r="E1910" t="str">
        <x:v>TOP_06</x:v>
      </x:c>
      <x:c r="F1910" t="str">
        <x:v>GoblinRanged</x:v>
      </x:c>
      <x:c r="G1910" s="410" t="n">
        <x:v>41</x:v>
      </x:c>
    </x:row>
    <x:row r="1911">
      <x:c r="A1911" t="str">
        <x:v>Stage01</x:v>
      </x:c>
      <x:c r="B1911" t="str">
        <x:v>WAVE_48</x:v>
      </x:c>
      <x:c r="C1911" s="409" t="n">
        <x:v>472.26</x:v>
      </x:c>
      <x:c r="D1911" s="410" t="n">
        <x:v>14</x:v>
      </x:c>
      <x:c r="E1911" t="str">
        <x:v>RIGHT_07</x:v>
      </x:c>
      <x:c r="F1911" t="str">
        <x:v>FlyingEye</x:v>
      </x:c>
      <x:c r="G1911" s="410" t="n">
        <x:v>40</x:v>
      </x:c>
    </x:row>
    <x:row r="1912">
      <x:c r="A1912" t="str">
        <x:v>Stage01</x:v>
      </x:c>
      <x:c r="B1912" t="str">
        <x:v>WAVE_48</x:v>
      </x:c>
      <x:c r="C1912" s="409" t="n">
        <x:v>472.35</x:v>
      </x:c>
      <x:c r="D1912" s="410" t="n">
        <x:v>15</x:v>
      </x:c>
      <x:c r="E1912" t="str">
        <x:v>BOTTOM_08</x:v>
      </x:c>
      <x:c r="F1912" t="str">
        <x:v>GoblinMelee</x:v>
      </x:c>
      <x:c r="G1912" s="410" t="n">
        <x:v>41</x:v>
      </x:c>
    </x:row>
    <x:row r="1913">
      <x:c r="A1913" t="str">
        <x:v>Stage01</x:v>
      </x:c>
      <x:c r="B1913" t="str">
        <x:v>WAVE_48</x:v>
      </x:c>
      <x:c r="C1913" s="409" t="n">
        <x:v>472.45</x:v>
      </x:c>
      <x:c r="D1913" s="410" t="n">
        <x:v>16</x:v>
      </x:c>
      <x:c r="E1913" t="str">
        <x:v>LEFT_01</x:v>
      </x:c>
      <x:c r="F1913" t="str">
        <x:v>GoblinRanged</x:v>
      </x:c>
      <x:c r="G1913" s="410" t="n">
        <x:v>40</x:v>
      </x:c>
    </x:row>
    <x:row r="1914">
      <x:c r="A1914" t="str">
        <x:v>Stage01</x:v>
      </x:c>
      <x:c r="B1914" t="str">
        <x:v>WAVE_48</x:v>
      </x:c>
      <x:c r="C1914" s="409" t="n">
        <x:v>472.55</x:v>
      </x:c>
      <x:c r="D1914" s="410" t="n">
        <x:v>17</x:v>
      </x:c>
      <x:c r="E1914" t="str">
        <x:v>TOP_03</x:v>
      </x:c>
      <x:c r="F1914" t="str">
        <x:v>GoblinMelee</x:v>
      </x:c>
      <x:c r="G1914" s="410" t="n">
        <x:v>41</x:v>
      </x:c>
    </x:row>
    <x:row r="1915">
      <x:c r="A1915" t="str">
        <x:v>Stage01</x:v>
      </x:c>
      <x:c r="B1915" t="str">
        <x:v>WAVE_48</x:v>
      </x:c>
      <x:c r="C1915" s="409" t="n">
        <x:v>472.64</x:v>
      </x:c>
      <x:c r="D1915" s="410" t="n">
        <x:v>18</x:v>
      </x:c>
      <x:c r="E1915" t="str">
        <x:v>RIGHT_04</x:v>
      </x:c>
      <x:c r="F1915" t="str">
        <x:v>GoblinMelee</x:v>
      </x:c>
      <x:c r="G1915" s="410" t="n">
        <x:v>41</x:v>
      </x:c>
    </x:row>
    <x:row r="1916">
      <x:c r="A1916" t="str">
        <x:v>Stage01</x:v>
      </x:c>
      <x:c r="B1916" t="str">
        <x:v>WAVE_48</x:v>
      </x:c>
      <x:c r="C1916" s="409" t="n">
        <x:v>472.74</x:v>
      </x:c>
      <x:c r="D1916" s="410" t="n">
        <x:v>19</x:v>
      </x:c>
      <x:c r="E1916" t="str">
        <x:v>BOTTOM_05</x:v>
      </x:c>
      <x:c r="F1916" t="str">
        <x:v>ShieldSkeleton</x:v>
      </x:c>
      <x:c r="G1916" s="410" t="n">
        <x:v>40</x:v>
      </x:c>
    </x:row>
    <x:row r="1917">
      <x:c r="A1917" t="str">
        <x:v>Stage01</x:v>
      </x:c>
      <x:c r="B1917" t="str">
        <x:v>WAVE_48</x:v>
      </x:c>
      <x:c r="C1917" s="409" t="n">
        <x:v>472.84</x:v>
      </x:c>
      <x:c r="D1917" s="410" t="n">
        <x:v>20</x:v>
      </x:c>
      <x:c r="E1917" t="str">
        <x:v>LEFT_06</x:v>
      </x:c>
      <x:c r="F1917" t="str">
        <x:v>GoblinMelee</x:v>
      </x:c>
      <x:c r="G1917" s="410" t="n">
        <x:v>41</x:v>
      </x:c>
    </x:row>
    <x:row r="1918">
      <x:c r="A1918" t="str">
        <x:v>Stage01</x:v>
      </x:c>
      <x:c r="B1918" t="str">
        <x:v>WAVE_48</x:v>
      </x:c>
      <x:c r="C1918" s="409" t="n">
        <x:v>472.93</x:v>
      </x:c>
      <x:c r="D1918" s="410" t="n">
        <x:v>21</x:v>
      </x:c>
      <x:c r="E1918" t="str">
        <x:v>TOP_08</x:v>
      </x:c>
      <x:c r="F1918" t="str">
        <x:v>GoblinRanged</x:v>
      </x:c>
      <x:c r="G1918" s="410" t="n">
        <x:v>40</x:v>
      </x:c>
    </x:row>
    <x:row r="1919">
      <x:c r="A1919" t="str">
        <x:v>Stage01</x:v>
      </x:c>
      <x:c r="B1919" t="str">
        <x:v>WAVE_48</x:v>
      </x:c>
      <x:c r="C1919" s="409" t="n">
        <x:v>473.03</x:v>
      </x:c>
      <x:c r="D1919" s="410" t="n">
        <x:v>22</x:v>
      </x:c>
      <x:c r="E1919" t="str">
        <x:v>RIGHT_01</x:v>
      </x:c>
      <x:c r="F1919" t="str">
        <x:v>GoblinMelee</x:v>
      </x:c>
      <x:c r="G1919" s="410" t="n">
        <x:v>41</x:v>
      </x:c>
    </x:row>
    <x:row r="1920">
      <x:c r="A1920" t="str">
        <x:v>Stage01</x:v>
      </x:c>
      <x:c r="B1920" t="str">
        <x:v>WAVE_48</x:v>
      </x:c>
      <x:c r="C1920" s="409" t="n">
        <x:v>473.13</x:v>
      </x:c>
      <x:c r="D1920" s="410" t="n">
        <x:v>23</x:v>
      </x:c>
      <x:c r="E1920" t="str">
        <x:v>BOTTOM_02</x:v>
      </x:c>
      <x:c r="F1920" t="str">
        <x:v>GoblinRanged</x:v>
      </x:c>
      <x:c r="G1920" s="410" t="n">
        <x:v>41</x:v>
      </x:c>
    </x:row>
    <x:row r="1921">
      <x:c r="A1921" t="str">
        <x:v>Stage01</x:v>
      </x:c>
      <x:c r="B1921" t="str">
        <x:v>WAVE_48</x:v>
      </x:c>
      <x:c r="C1921" s="409" t="n">
        <x:v>473.22</x:v>
      </x:c>
      <x:c r="D1921" s="410" t="n">
        <x:v>24</x:v>
      </x:c>
      <x:c r="E1921" t="str">
        <x:v>LEFT_03</x:v>
      </x:c>
      <x:c r="F1921" t="str">
        <x:v>GoblinMelee</x:v>
      </x:c>
      <x:c r="G1921" s="410" t="n">
        <x:v>40</x:v>
      </x:c>
    </x:row>
    <x:row r="1922">
      <x:c r="A1922" t="str">
        <x:v>Stage01</x:v>
      </x:c>
      <x:c r="B1922" t="str">
        <x:v>WAVE_48</x:v>
      </x:c>
      <x:c r="C1922" s="409" t="n">
        <x:v>473.32</x:v>
      </x:c>
      <x:c r="D1922" s="410" t="n">
        <x:v>25</x:v>
      </x:c>
      <x:c r="E1922" t="str">
        <x:v>TOP_05</x:v>
      </x:c>
      <x:c r="F1922" t="str">
        <x:v>GoblinMelee</x:v>
      </x:c>
      <x:c r="G1922" s="410" t="n">
        <x:v>41</x:v>
      </x:c>
    </x:row>
    <x:row r="1923">
      <x:c r="A1923" t="str">
        <x:v>Stage01</x:v>
      </x:c>
      <x:c r="B1923" t="str">
        <x:v>WAVE_48</x:v>
      </x:c>
      <x:c r="C1923" s="409" t="n">
        <x:v>473.42</x:v>
      </x:c>
      <x:c r="D1923" s="410" t="n">
        <x:v>26</x:v>
      </x:c>
      <x:c r="E1923" t="str">
        <x:v>RIGHT_06</x:v>
      </x:c>
      <x:c r="F1923" t="str">
        <x:v>ShieldSkeleton</x:v>
      </x:c>
      <x:c r="G1923" s="410" t="n">
        <x:v>40</x:v>
      </x:c>
    </x:row>
    <x:row r="1924">
      <x:c r="A1924" t="str">
        <x:v>Stage01</x:v>
      </x:c>
      <x:c r="B1924" t="str">
        <x:v>WAVE_48</x:v>
      </x:c>
      <x:c r="C1924" s="409" t="n">
        <x:v>473.51</x:v>
      </x:c>
      <x:c r="D1924" s="410" t="n">
        <x:v>27</x:v>
      </x:c>
      <x:c r="E1924" t="str">
        <x:v>BOTTOM_07</x:v>
      </x:c>
      <x:c r="F1924" t="str">
        <x:v>FlyingEye</x:v>
      </x:c>
      <x:c r="G1924" s="410" t="n">
        <x:v>41</x:v>
      </x:c>
    </x:row>
    <x:row r="1925">
      <x:c r="A1925" t="str">
        <x:v>Stage01</x:v>
      </x:c>
      <x:c r="B1925" t="str">
        <x:v>WAVE_48</x:v>
      </x:c>
      <x:c r="C1925" s="409" t="n">
        <x:v>473.61</x:v>
      </x:c>
      <x:c r="D1925" s="410" t="n">
        <x:v>28</x:v>
      </x:c>
      <x:c r="E1925" t="str">
        <x:v>LEFT_08</x:v>
      </x:c>
      <x:c r="F1925" t="str">
        <x:v>GoblinRanged</x:v>
      </x:c>
      <x:c r="G1925" s="410" t="n">
        <x:v>40</x:v>
      </x:c>
    </x:row>
    <x:row r="1926">
      <x:c r="A1926" t="str">
        <x:v>Stage01</x:v>
      </x:c>
      <x:c r="B1926" t="str">
        <x:v>WAVE_48</x:v>
      </x:c>
      <x:c r="C1926" s="409" t="n">
        <x:v>473.71</x:v>
      </x:c>
      <x:c r="D1926" s="410" t="n">
        <x:v>29</x:v>
      </x:c>
      <x:c r="E1926" t="str">
        <x:v>TOP_02</x:v>
      </x:c>
      <x:c r="F1926" t="str">
        <x:v>GoblinMelee</x:v>
      </x:c>
      <x:c r="G1926" s="410" t="n">
        <x:v>41</x:v>
      </x:c>
    </x:row>
    <x:row r="1927">
      <x:c r="A1927" t="str">
        <x:v>Stage01</x:v>
      </x:c>
      <x:c r="B1927" t="str">
        <x:v>WAVE_48</x:v>
      </x:c>
      <x:c r="C1927" s="409" t="n">
        <x:v>473.8</x:v>
      </x:c>
      <x:c r="D1927" s="410" t="n">
        <x:v>30</x:v>
      </x:c>
      <x:c r="E1927" t="str">
        <x:v>RIGHT_03</x:v>
      </x:c>
      <x:c r="F1927" t="str">
        <x:v>GoblinRanged</x:v>
      </x:c>
      <x:c r="G1927" s="410" t="n">
        <x:v>41</x:v>
      </x:c>
    </x:row>
    <x:row r="1928">
      <x:c r="A1928" t="str">
        <x:v>Stage01</x:v>
      </x:c>
      <x:c r="B1928" t="str">
        <x:v>WAVE_48</x:v>
      </x:c>
      <x:c r="C1928" s="409" t="n">
        <x:v>473.9</x:v>
      </x:c>
      <x:c r="D1928" s="410" t="n">
        <x:v>31</x:v>
      </x:c>
      <x:c r="E1928" t="str">
        <x:v>BOTTOM_04</x:v>
      </x:c>
      <x:c r="F1928" t="str">
        <x:v>GoblinMelee</x:v>
      </x:c>
      <x:c r="G1928" s="410" t="n">
        <x:v>40</x:v>
      </x:c>
    </x:row>
    <x:row r="1929">
      <x:c r="A1929" t="str">
        <x:v>Stage01</x:v>
      </x:c>
      <x:c r="B1929" t="str">
        <x:v>WAVE_48</x:v>
      </x:c>
      <x:c r="C1929" s="409" t="n">
        <x:v>474</x:v>
      </x:c>
      <x:c r="D1929" s="410" t="n">
        <x:v>32</x:v>
      </x:c>
      <x:c r="E1929" t="str">
        <x:v>LEFT_05</x:v>
      </x:c>
      <x:c r="F1929" t="str">
        <x:v>GoblinMelee</x:v>
      </x:c>
      <x:c r="G1929" s="410" t="n">
        <x:v>41</x:v>
      </x:c>
    </x:row>
    <x:row r="1930">
      <x:c r="A1930" t="str">
        <x:v>Stage01</x:v>
      </x:c>
      <x:c r="B1930" t="str">
        <x:v>WAVE_48</x:v>
      </x:c>
      <x:c r="C1930" s="409" t="n">
        <x:v>474.09</x:v>
      </x:c>
      <x:c r="D1930" s="410" t="n">
        <x:v>33</x:v>
      </x:c>
      <x:c r="E1930" t="str">
        <x:v>TOP_07</x:v>
      </x:c>
      <x:c r="F1930" t="str">
        <x:v>ShieldSkeleton</x:v>
      </x:c>
      <x:c r="G1930" s="410" t="n">
        <x:v>40</x:v>
      </x:c>
    </x:row>
    <x:row r="1931">
      <x:c r="A1931" t="str">
        <x:v>Stage01</x:v>
      </x:c>
      <x:c r="B1931" t="str">
        <x:v>WAVE_48</x:v>
      </x:c>
      <x:c r="C1931" s="409" t="n">
        <x:v>474.19</x:v>
      </x:c>
      <x:c r="D1931" s="410" t="n">
        <x:v>34</x:v>
      </x:c>
      <x:c r="E1931" t="str">
        <x:v>RIGHT_08</x:v>
      </x:c>
      <x:c r="F1931" t="str">
        <x:v>GoblinMelee</x:v>
      </x:c>
      <x:c r="G1931" s="410" t="n">
        <x:v>41</x:v>
      </x:c>
    </x:row>
    <x:row r="1932">
      <x:c r="A1932" t="str">
        <x:v>Stage01</x:v>
      </x:c>
      <x:c r="B1932" t="str">
        <x:v>WAVE_48</x:v>
      </x:c>
      <x:c r="C1932" s="409" t="n">
        <x:v>474.29</x:v>
      </x:c>
      <x:c r="D1932" s="410" t="n">
        <x:v>35</x:v>
      </x:c>
      <x:c r="E1932" t="str">
        <x:v>BOTTOM_01</x:v>
      </x:c>
      <x:c r="F1932" t="str">
        <x:v>GoblinRanged</x:v>
      </x:c>
      <x:c r="G1932" s="410" t="n">
        <x:v>41</x:v>
      </x:c>
    </x:row>
    <x:row r="1933">
      <x:c r="A1933" t="str">
        <x:v>Stage01</x:v>
      </x:c>
      <x:c r="B1933" t="str">
        <x:v>WAVE_48</x:v>
      </x:c>
      <x:c r="C1933" s="409" t="n">
        <x:v>474.38</x:v>
      </x:c>
      <x:c r="D1933" s="410" t="n">
        <x:v>36</x:v>
      </x:c>
      <x:c r="E1933" t="str">
        <x:v>LEFT_02</x:v>
      </x:c>
      <x:c r="F1933" t="str">
        <x:v>GoblinMelee</x:v>
      </x:c>
      <x:c r="G1933" s="410" t="n">
        <x:v>40</x:v>
      </x:c>
    </x:row>
    <x:row r="1934">
      <x:c r="A1934" t="str">
        <x:v>Stage01</x:v>
      </x:c>
      <x:c r="B1934" t="str">
        <x:v>WAVE_48</x:v>
      </x:c>
      <x:c r="C1934" s="409" t="n">
        <x:v>474.48</x:v>
      </x:c>
      <x:c r="D1934" s="410" t="n">
        <x:v>37</x:v>
      </x:c>
      <x:c r="E1934" t="str">
        <x:v>TOP_04</x:v>
      </x:c>
      <x:c r="F1934" t="str">
        <x:v>FlyingEye</x:v>
      </x:c>
      <x:c r="G1934" s="410" t="n">
        <x:v>41</x:v>
      </x:c>
    </x:row>
    <x:row r="1935">
      <x:c r="A1935" t="str">
        <x:v>Stage01</x:v>
      </x:c>
      <x:c r="B1935" t="str">
        <x:v>WAVE_48</x:v>
      </x:c>
      <x:c r="C1935" s="409" t="n">
        <x:v>474.58</x:v>
      </x:c>
      <x:c r="D1935" s="410" t="n">
        <x:v>38</x:v>
      </x:c>
      <x:c r="E1935" t="str">
        <x:v>RIGHT_05</x:v>
      </x:c>
      <x:c r="F1935" t="str">
        <x:v>GoblinMelee</x:v>
      </x:c>
      <x:c r="G1935" s="410" t="n">
        <x:v>40</x:v>
      </x:c>
    </x:row>
    <x:row r="1936">
      <x:c r="A1936" t="str">
        <x:v>Stage01</x:v>
      </x:c>
      <x:c r="B1936" t="str">
        <x:v>WAVE_48</x:v>
      </x:c>
      <x:c r="C1936" s="409" t="n">
        <x:v>474.67</x:v>
      </x:c>
      <x:c r="D1936" s="410" t="n">
        <x:v>39</x:v>
      </x:c>
      <x:c r="E1936" t="str">
        <x:v>BOTTOM_06</x:v>
      </x:c>
      <x:c r="F1936" t="str">
        <x:v>GoblinRanged</x:v>
      </x:c>
      <x:c r="G1936" s="410" t="n">
        <x:v>41</x:v>
      </x:c>
    </x:row>
    <x:row r="1937">
      <x:c r="A1937" t="str">
        <x:v>Stage01</x:v>
      </x:c>
      <x:c r="B1937" t="str">
        <x:v>WAVE_48</x:v>
      </x:c>
      <x:c r="C1937" s="409" t="n">
        <x:v>474.77</x:v>
      </x:c>
      <x:c r="D1937" s="410" t="n">
        <x:v>40</x:v>
      </x:c>
      <x:c r="E1937" t="str">
        <x:v>LEFT_07</x:v>
      </x:c>
      <x:c r="F1937" t="str">
        <x:v>GoblinMelee</x:v>
      </x:c>
      <x:c r="G1937" s="410" t="n">
        <x:v>41</x:v>
      </x:c>
    </x:row>
    <x:row r="1938">
      <x:c r="A1938" t="str">
        <x:v>Stage01</x:v>
      </x:c>
      <x:c r="B1938" t="str">
        <x:v>WAVE_48</x:v>
      </x:c>
      <x:c r="C1938" s="409" t="n">
        <x:v>474.87</x:v>
      </x:c>
      <x:c r="D1938" s="410" t="n">
        <x:v>41</x:v>
      </x:c>
      <x:c r="E1938" t="str">
        <x:v>TOP_01</x:v>
      </x:c>
      <x:c r="F1938" t="str">
        <x:v>FlyingEye</x:v>
      </x:c>
      <x:c r="G1938" s="410" t="n">
        <x:v>40</x:v>
      </x:c>
    </x:row>
    <x:row r="1939">
      <x:c r="A1939" t="str">
        <x:v>Stage01</x:v>
      </x:c>
      <x:c r="B1939" t="str">
        <x:v>WAVE_48</x:v>
      </x:c>
      <x:c r="C1939" s="409" t="n">
        <x:v>474.96</x:v>
      </x:c>
      <x:c r="D1939" s="410" t="n">
        <x:v>42</x:v>
      </x:c>
      <x:c r="E1939" t="str">
        <x:v>RIGHT_02</x:v>
      </x:c>
      <x:c r="F1939" t="str">
        <x:v>GoblinRanged</x:v>
      </x:c>
      <x:c r="G1939" s="410" t="n">
        <x:v>41</x:v>
      </x:c>
    </x:row>
    <x:row r="1940">
      <x:c r="A1940" t="str">
        <x:v>Stage01</x:v>
      </x:c>
      <x:c r="B1940" t="str">
        <x:v>WAVE_48</x:v>
      </x:c>
      <x:c r="C1940" s="409" t="n">
        <x:v>475.06</x:v>
      </x:c>
      <x:c r="D1940" s="410" t="n">
        <x:v>43</x:v>
      </x:c>
      <x:c r="E1940" t="str">
        <x:v>BOTTOM_03</x:v>
      </x:c>
      <x:c r="F1940" t="str">
        <x:v>GoblinMelee</x:v>
      </x:c>
      <x:c r="G1940" s="410" t="n">
        <x:v>40</x:v>
      </x:c>
    </x:row>
    <x:row r="1941">
      <x:c r="A1941" t="str">
        <x:v>Stage01</x:v>
      </x:c>
      <x:c r="B1941" t="str">
        <x:v>WAVE_48</x:v>
      </x:c>
      <x:c r="C1941" s="409" t="n">
        <x:v>475.16</x:v>
      </x:c>
      <x:c r="D1941" s="410" t="n">
        <x:v>44</x:v>
      </x:c>
      <x:c r="E1941" t="str">
        <x:v>LEFT_04</x:v>
      </x:c>
      <x:c r="F1941" t="str">
        <x:v>ShieldSkeleton</x:v>
      </x:c>
      <x:c r="G1941" s="410" t="n">
        <x:v>41</x:v>
      </x:c>
    </x:row>
    <x:row r="1942">
      <x:c r="A1942" t="str">
        <x:v>Stage01</x:v>
      </x:c>
      <x:c r="B1942" t="str">
        <x:v>WAVE_48</x:v>
      </x:c>
      <x:c r="C1942" s="409" t="n">
        <x:v>475.25</x:v>
      </x:c>
      <x:c r="D1942" s="410" t="n">
        <x:v>45</x:v>
      </x:c>
      <x:c r="E1942" t="str">
        <x:v>TOP_06</x:v>
      </x:c>
      <x:c r="F1942" t="str">
        <x:v>GoblinMelee</x:v>
      </x:c>
      <x:c r="G1942" s="410" t="n">
        <x:v>40</x:v>
      </x:c>
    </x:row>
    <x:row r="1943">
      <x:c r="A1943" t="str">
        <x:v>Stage01</x:v>
      </x:c>
      <x:c r="B1943" t="str">
        <x:v>WAVE_48</x:v>
      </x:c>
      <x:c r="C1943" s="409" t="n">
        <x:v>475.35</x:v>
      </x:c>
      <x:c r="D1943" s="410" t="n">
        <x:v>46</x:v>
      </x:c>
      <x:c r="E1943" t="str">
        <x:v>RIGHT_07</x:v>
      </x:c>
      <x:c r="F1943" t="str">
        <x:v>GoblinRanged</x:v>
      </x:c>
      <x:c r="G1943" s="410" t="n">
        <x:v>41</x:v>
      </x:c>
    </x:row>
    <x:row r="1944">
      <x:c r="A1944" t="str">
        <x:v>Stage01</x:v>
      </x:c>
      <x:c r="B1944" t="str">
        <x:v>WAVE_48</x:v>
      </x:c>
      <x:c r="C1944" s="409" t="n">
        <x:v>475.44</x:v>
      </x:c>
      <x:c r="D1944" s="410" t="n">
        <x:v>47</x:v>
      </x:c>
      <x:c r="E1944" t="str">
        <x:v>BOTTOM_08</x:v>
      </x:c>
      <x:c r="F1944" t="str">
        <x:v>GoblinMelee</x:v>
      </x:c>
      <x:c r="G1944" s="410" t="n">
        <x:v>41</x:v>
      </x:c>
    </x:row>
    <x:row r="1945">
      <x:c r="A1945" t="str">
        <x:v>Stage01</x:v>
      </x:c>
      <x:c r="B1945" t="str">
        <x:v>WAVE_48</x:v>
      </x:c>
      <x:c r="C1945" s="409" t="n">
        <x:v>475.54</x:v>
      </x:c>
      <x:c r="D1945" s="410" t="n">
        <x:v>48</x:v>
      </x:c>
      <x:c r="E1945" t="str">
        <x:v>LEFT_01</x:v>
      </x:c>
      <x:c r="F1945" t="str">
        <x:v>GoblinMelee</x:v>
      </x:c>
      <x:c r="G1945" s="410" t="n">
        <x:v>40</x:v>
      </x:c>
    </x:row>
    <x:row r="1946">
      <x:c r="A1946" t="str">
        <x:v>Stage01</x:v>
      </x:c>
      <x:c r="B1946" t="str">
        <x:v>WAVE_48</x:v>
      </x:c>
      <x:c r="C1946" s="409" t="n">
        <x:v>475.64</x:v>
      </x:c>
      <x:c r="D1946" s="410" t="n">
        <x:v>49</x:v>
      </x:c>
      <x:c r="E1946" t="str">
        <x:v>TOP_03</x:v>
      </x:c>
      <x:c r="F1946" t="str">
        <x:v>GoblinRanged</x:v>
      </x:c>
      <x:c r="G1946" s="410" t="n">
        <x:v>41</x:v>
      </x:c>
    </x:row>
    <x:row r="1947">
      <x:c r="A1947" t="str">
        <x:v>Stage01</x:v>
      </x:c>
      <x:c r="B1947" t="str">
        <x:v>WAVE_48</x:v>
      </x:c>
      <x:c r="C1947" s="409" t="n">
        <x:v>475.73</x:v>
      </x:c>
      <x:c r="D1947" s="410" t="n">
        <x:v>50</x:v>
      </x:c>
      <x:c r="E1947" t="str">
        <x:v>RIGHT_04</x:v>
      </x:c>
      <x:c r="F1947" t="str">
        <x:v>GoblinMelee</x:v>
      </x:c>
      <x:c r="G1947" s="410" t="n">
        <x:v>40</x:v>
      </x:c>
    </x:row>
    <x:row r="1948">
      <x:c r="A1948" t="str">
        <x:v>Stage01</x:v>
      </x:c>
      <x:c r="B1948" t="str">
        <x:v>WAVE_48</x:v>
      </x:c>
      <x:c r="C1948" s="409" t="n">
        <x:v>475.83</x:v>
      </x:c>
      <x:c r="D1948" s="410" t="n">
        <x:v>51</x:v>
      </x:c>
      <x:c r="E1948" t="str">
        <x:v>BOTTOM_05</x:v>
      </x:c>
      <x:c r="F1948" t="str">
        <x:v>ShieldSkeleton</x:v>
      </x:c>
      <x:c r="G1948" s="410" t="n">
        <x:v>41</x:v>
      </x:c>
    </x:row>
    <x:row r="1949">
      <x:c r="A1949" t="str">
        <x:v>Stage01</x:v>
      </x:c>
      <x:c r="B1949" t="str">
        <x:v>WAVE_48</x:v>
      </x:c>
      <x:c r="C1949" s="409" t="n">
        <x:v>475.93</x:v>
      </x:c>
      <x:c r="D1949" s="410" t="n">
        <x:v>52</x:v>
      </x:c>
      <x:c r="E1949" t="str">
        <x:v>LEFT_06</x:v>
      </x:c>
      <x:c r="F1949" t="str">
        <x:v>GoblinMelee</x:v>
      </x:c>
      <x:c r="G1949" s="410" t="n">
        <x:v>41</x:v>
      </x:c>
    </x:row>
    <x:row r="1950">
      <x:c r="A1950" t="str">
        <x:v>Stage01</x:v>
      </x:c>
      <x:c r="B1950" t="str">
        <x:v>WAVE_48</x:v>
      </x:c>
      <x:c r="C1950" s="409" t="n">
        <x:v>476.02</x:v>
      </x:c>
      <x:c r="D1950" s="410" t="n">
        <x:v>53</x:v>
      </x:c>
      <x:c r="E1950" t="str">
        <x:v>TOP_08</x:v>
      </x:c>
      <x:c r="F1950" t="str">
        <x:v>GoblinRanged</x:v>
      </x:c>
      <x:c r="G1950" s="410" t="n">
        <x:v>40</x:v>
      </x:c>
    </x:row>
    <x:row r="1951">
      <x:c r="A1951" t="str">
        <x:v>Stage01</x:v>
      </x:c>
      <x:c r="B1951" t="str">
        <x:v>WAVE_48</x:v>
      </x:c>
      <x:c r="C1951" s="409" t="n">
        <x:v>476.12</x:v>
      </x:c>
      <x:c r="D1951" s="410" t="n">
        <x:v>54</x:v>
      </x:c>
      <x:c r="E1951" t="str">
        <x:v>RIGHT_01</x:v>
      </x:c>
      <x:c r="F1951" t="str">
        <x:v>GoblinMelee</x:v>
      </x:c>
      <x:c r="G1951" s="410" t="n">
        <x:v>41</x:v>
      </x:c>
    </x:row>
    <x:row r="1952">
      <x:c r="A1952" t="str">
        <x:v>Stage01</x:v>
      </x:c>
      <x:c r="B1952" t="str">
        <x:v>WAVE_48</x:v>
      </x:c>
      <x:c r="C1952" s="409" t="n">
        <x:v>476.22</x:v>
      </x:c>
      <x:c r="D1952" s="410" t="n">
        <x:v>55</x:v>
      </x:c>
      <x:c r="E1952" t="str">
        <x:v>BOTTOM_02</x:v>
      </x:c>
      <x:c r="F1952" t="str">
        <x:v>FlyingEye</x:v>
      </x:c>
      <x:c r="G1952" s="410" t="n">
        <x:v>40</x:v>
      </x:c>
    </x:row>
    <x:row r="1953">
      <x:c r="A1953" t="str">
        <x:v>Stage01</x:v>
      </x:c>
      <x:c r="B1953" t="str">
        <x:v>WAVE_48</x:v>
      </x:c>
      <x:c r="C1953" s="409" t="n">
        <x:v>476.31</x:v>
      </x:c>
      <x:c r="D1953" s="410" t="n">
        <x:v>56</x:v>
      </x:c>
      <x:c r="E1953" t="str">
        <x:v>LEFT_03</x:v>
      </x:c>
      <x:c r="F1953" t="str">
        <x:v>GoblinRanged</x:v>
      </x:c>
      <x:c r="G1953" s="410" t="n">
        <x:v>41</x:v>
      </x:c>
    </x:row>
    <x:row r="1954">
      <x:c r="A1954" t="str">
        <x:v>Stage01</x:v>
      </x:c>
      <x:c r="B1954" t="str">
        <x:v>WAVE_48</x:v>
      </x:c>
      <x:c r="C1954" s="409" t="n">
        <x:v>476.41</x:v>
      </x:c>
      <x:c r="D1954" s="410" t="n">
        <x:v>57</x:v>
      </x:c>
      <x:c r="E1954" t="str">
        <x:v>TOP_05</x:v>
      </x:c>
      <x:c r="F1954" t="str">
        <x:v>GoblinMelee</x:v>
      </x:c>
      <x:c r="G1954" s="410" t="n">
        <x:v>41</x:v>
      </x:c>
    </x:row>
    <x:row r="1955">
      <x:c r="A1955" t="str">
        <x:v>Stage01</x:v>
      </x:c>
      <x:c r="B1955" t="str">
        <x:v>WAVE_48</x:v>
      </x:c>
      <x:c r="C1955" s="409" t="n">
        <x:v>476.51</x:v>
      </x:c>
      <x:c r="D1955" s="410" t="n">
        <x:v>58</x:v>
      </x:c>
      <x:c r="E1955" t="str">
        <x:v>RIGHT_06</x:v>
      </x:c>
      <x:c r="F1955" t="str">
        <x:v>ShieldSkeleton</x:v>
      </x:c>
      <x:c r="G1955" s="410" t="n">
        <x:v>40</x:v>
      </x:c>
    </x:row>
    <x:row r="1956">
      <x:c r="A1956" t="str">
        <x:v>Stage01</x:v>
      </x:c>
      <x:c r="B1956" t="str">
        <x:v>WAVE_48</x:v>
      </x:c>
      <x:c r="C1956" s="409" t="n">
        <x:v>476.6</x:v>
      </x:c>
      <x:c r="D1956" s="410" t="n">
        <x:v>59</x:v>
      </x:c>
      <x:c r="E1956" t="str">
        <x:v>BOTTOM_07</x:v>
      </x:c>
      <x:c r="F1956" t="str">
        <x:v>GoblinMelee</x:v>
      </x:c>
      <x:c r="G1956" s="410" t="n">
        <x:v>41</x:v>
      </x:c>
    </x:row>
    <x:row r="1957">
      <x:c r="A1957" t="str">
        <x:v>Stage01</x:v>
      </x:c>
      <x:c r="B1957" t="str">
        <x:v>WAVE_48</x:v>
      </x:c>
      <x:c r="C1957" s="409" t="n">
        <x:v>476.7</x:v>
      </x:c>
      <x:c r="D1957" s="410" t="n">
        <x:v>60</x:v>
      </x:c>
      <x:c r="E1957" t="str">
        <x:v>LEFT_08</x:v>
      </x:c>
      <x:c r="F1957" t="str">
        <x:v>GoblinRanged</x:v>
      </x:c>
      <x:c r="G1957" s="410" t="n">
        <x:v>40</x:v>
      </x:c>
    </x:row>
    <x:row r="1958">
      <x:c r="A1958" t="str">
        <x:v>Stage01</x:v>
      </x:c>
      <x:c r="B1958" t="str">
        <x:v>WAVE_48</x:v>
      </x:c>
      <x:c r="C1958" s="409" t="n">
        <x:v>476.8</x:v>
      </x:c>
      <x:c r="D1958" s="410" t="n">
        <x:v>61</x:v>
      </x:c>
      <x:c r="E1958" t="str">
        <x:v>TOP_02</x:v>
      </x:c>
      <x:c r="F1958" t="str">
        <x:v>GoblinMelee</x:v>
      </x:c>
      <x:c r="G1958" s="410" t="n">
        <x:v>41</x:v>
      </x:c>
    </x:row>
    <x:row r="1959">
      <x:c r="A1959" t="str">
        <x:v>Stage01</x:v>
      </x:c>
      <x:c r="B1959" t="str">
        <x:v>WAVE_48</x:v>
      </x:c>
      <x:c r="C1959" s="409" t="n">
        <x:v>476.89</x:v>
      </x:c>
      <x:c r="D1959" s="410" t="n">
        <x:v>62</x:v>
      </x:c>
      <x:c r="E1959" t="str">
        <x:v>RIGHT_03</x:v>
      </x:c>
      <x:c r="F1959" t="str">
        <x:v>GoblinMelee</x:v>
      </x:c>
      <x:c r="G1959" s="410" t="n">
        <x:v>41</x:v>
      </x:c>
    </x:row>
    <x:row r="1960">
      <x:c r="A1960" t="str">
        <x:v>Stage01</x:v>
      </x:c>
      <x:c r="B1960" t="str">
        <x:v>WAVE_48</x:v>
      </x:c>
      <x:c r="C1960" s="409" t="n">
        <x:v>476.99</x:v>
      </x:c>
      <x:c r="D1960" s="410" t="n">
        <x:v>63</x:v>
      </x:c>
      <x:c r="E1960" t="str">
        <x:v>BOTTOM_04</x:v>
      </x:c>
      <x:c r="F1960" t="str">
        <x:v>GoblinRanged</x:v>
      </x:c>
      <x:c r="G1960" s="410" t="n">
        <x:v>40</x:v>
      </x:c>
    </x:row>
    <x:row r="1961">
      <x:c r="A1961" t="str">
        <x:v>Stage01</x:v>
      </x:c>
      <x:c r="B1961" t="str">
        <x:v>WAVE_48</x:v>
      </x:c>
      <x:c r="C1961" s="409" t="n">
        <x:v>477.09</x:v>
      </x:c>
      <x:c r="D1961" s="410" t="n">
        <x:v>64</x:v>
      </x:c>
      <x:c r="E1961" t="str">
        <x:v>LEFT_05</x:v>
      </x:c>
      <x:c r="F1961" t="str">
        <x:v>GoblinMelee</x:v>
      </x:c>
      <x:c r="G1961" s="410" t="n">
        <x:v>41</x:v>
      </x:c>
    </x:row>
    <x:row r="1962">
      <x:c r="A1962" t="str">
        <x:v>Stage01</x:v>
      </x:c>
      <x:c r="B1962" t="str">
        <x:v>WAVE_48</x:v>
      </x:c>
      <x:c r="C1962" s="409" t="n">
        <x:v>477.18</x:v>
      </x:c>
      <x:c r="D1962" s="410" t="n">
        <x:v>65</x:v>
      </x:c>
      <x:c r="E1962" t="str">
        <x:v>TOP_07</x:v>
      </x:c>
      <x:c r="F1962" t="str">
        <x:v>ShieldSkeleton</x:v>
      </x:c>
      <x:c r="G1962" s="410" t="n">
        <x:v>40</x:v>
      </x:c>
    </x:row>
    <x:row r="1963">
      <x:c r="A1963" t="str">
        <x:v>Stage01</x:v>
      </x:c>
      <x:c r="B1963" t="str">
        <x:v>WAVE_48</x:v>
      </x:c>
      <x:c r="C1963" s="409" t="n">
        <x:v>477.28</x:v>
      </x:c>
      <x:c r="D1963" s="410" t="n">
        <x:v>66</x:v>
      </x:c>
      <x:c r="E1963" t="str">
        <x:v>RIGHT_08</x:v>
      </x:c>
      <x:c r="F1963" t="str">
        <x:v>GoblinMelee</x:v>
      </x:c>
      <x:c r="G1963" s="410" t="n">
        <x:v>41</x:v>
      </x:c>
    </x:row>
    <x:row r="1964">
      <x:c r="A1964" t="str">
        <x:v>Stage01</x:v>
      </x:c>
      <x:c r="B1964" t="str">
        <x:v>WAVE_48</x:v>
      </x:c>
      <x:c r="C1964" s="409" t="n">
        <x:v>477.38</x:v>
      </x:c>
      <x:c r="D1964" s="410" t="n">
        <x:v>67</x:v>
      </x:c>
      <x:c r="E1964" t="str">
        <x:v>BOTTOM_01</x:v>
      </x:c>
      <x:c r="F1964" t="str">
        <x:v>GoblinMelee</x:v>
      </x:c>
      <x:c r="G1964" s="410" t="n">
        <x:v>40</x:v>
      </x:c>
    </x:row>
    <x:row r="1965">
      <x:c r="A1965" t="str">
        <x:v>Stage01</x:v>
      </x:c>
      <x:c r="B1965" t="str">
        <x:v>WAVE_48</x:v>
      </x:c>
      <x:c r="C1965" s="409" t="n">
        <x:v>477.47</x:v>
      </x:c>
      <x:c r="D1965" s="410" t="n">
        <x:v>68</x:v>
      </x:c>
      <x:c r="E1965" t="str">
        <x:v>LEFT_02</x:v>
      </x:c>
      <x:c r="F1965" t="str">
        <x:v>GoblinRanged</x:v>
      </x:c>
      <x:c r="G1965" s="410" t="n">
        <x:v>41</x:v>
      </x:c>
    </x:row>
    <x:row r="1966">
      <x:c r="A1966" t="str">
        <x:v>Stage01</x:v>
      </x:c>
      <x:c r="B1966" t="str">
        <x:v>WAVE_48</x:v>
      </x:c>
      <x:c r="C1966" s="409" t="n">
        <x:v>477.57</x:v>
      </x:c>
      <x:c r="D1966" s="410" t="n">
        <x:v>69</x:v>
      </x:c>
      <x:c r="E1966" t="str">
        <x:v>TOP_04</x:v>
      </x:c>
      <x:c r="F1966" t="str">
        <x:v>FlyingEye</x:v>
      </x:c>
      <x:c r="G1966" s="410" t="n">
        <x:v>41</x:v>
      </x:c>
    </x:row>
    <x:row r="1967">
      <x:c r="A1967" t="str">
        <x:v>Stage01</x:v>
      </x:c>
      <x:c r="B1967" t="str">
        <x:v>WAVE_48</x:v>
      </x:c>
      <x:c r="C1967" s="409" t="n">
        <x:v>477.67</x:v>
      </x:c>
      <x:c r="D1967" s="410" t="n">
        <x:v>70</x:v>
      </x:c>
      <x:c r="E1967" t="str">
        <x:v>RIGHT_05</x:v>
      </x:c>
      <x:c r="F1967" t="str">
        <x:v>GoblinMelee</x:v>
      </x:c>
      <x:c r="G1967" s="410" t="n">
        <x:v>40</x:v>
      </x:c>
    </x:row>
    <x:row r="1968">
      <x:c r="A1968" t="str">
        <x:v>Stage01</x:v>
      </x:c>
      <x:c r="B1968" t="str">
        <x:v>WAVE_48</x:v>
      </x:c>
      <x:c r="C1968" s="409" t="n">
        <x:v>477.76</x:v>
      </x:c>
      <x:c r="D1968" s="410" t="n">
        <x:v>71</x:v>
      </x:c>
      <x:c r="E1968" t="str">
        <x:v>BOTTOM_06</x:v>
      </x:c>
      <x:c r="F1968" t="str">
        <x:v>GoblinRanged</x:v>
      </x:c>
      <x:c r="G1968" s="410" t="n">
        <x:v>41</x:v>
      </x:c>
    </x:row>
    <x:row r="1969">
      <x:c r="A1969" t="str">
        <x:v>Stage01</x:v>
      </x:c>
      <x:c r="B1969" t="str">
        <x:v>WAVE_48</x:v>
      </x:c>
      <x:c r="C1969" s="409" t="n">
        <x:v>477.86</x:v>
      </x:c>
      <x:c r="D1969" s="410" t="n">
        <x:v>72</x:v>
      </x:c>
      <x:c r="E1969" t="str">
        <x:v>LEFT_07</x:v>
      </x:c>
      <x:c r="F1969" t="str">
        <x:v>GoblinMelee</x:v>
      </x:c>
      <x:c r="G1969" s="410" t="n">
        <x:v>40</x:v>
      </x:c>
    </x:row>
    <x:row r="1970">
      <x:c r="A1970" t="str">
        <x:v>Stage01</x:v>
      </x:c>
      <x:c r="B1970" t="str">
        <x:v>WAVE_48</x:v>
      </x:c>
      <x:c r="C1970" s="409" t="n">
        <x:v>477.96</x:v>
      </x:c>
      <x:c r="D1970" s="410" t="n">
        <x:v>73</x:v>
      </x:c>
      <x:c r="E1970" t="str">
        <x:v>TOP_01</x:v>
      </x:c>
      <x:c r="F1970" t="str">
        <x:v>ShieldSkeleton</x:v>
      </x:c>
      <x:c r="G1970" s="410" t="n">
        <x:v>41</x:v>
      </x:c>
    </x:row>
    <x:row r="1971">
      <x:c r="A1971" t="str">
        <x:v>Stage01</x:v>
      </x:c>
      <x:c r="B1971" t="str">
        <x:v>WAVE_48</x:v>
      </x:c>
      <x:c r="C1971" s="409" t="n">
        <x:v>478.05</x:v>
      </x:c>
      <x:c r="D1971" s="410" t="n">
        <x:v>74</x:v>
      </x:c>
      <x:c r="E1971" t="str">
        <x:v>RIGHT_02</x:v>
      </x:c>
      <x:c r="F1971" t="str">
        <x:v>GoblinMelee</x:v>
      </x:c>
      <x:c r="G1971" s="410" t="n">
        <x:v>41</x:v>
      </x:c>
    </x:row>
    <x:row r="1972">
      <x:c r="A1972" t="str">
        <x:v>Stage01</x:v>
      </x:c>
      <x:c r="B1972" t="str">
        <x:v>WAVE_48</x:v>
      </x:c>
      <x:c r="C1972" s="409" t="n">
        <x:v>478.15</x:v>
      </x:c>
      <x:c r="D1972" s="410" t="n">
        <x:v>75</x:v>
      </x:c>
      <x:c r="E1972" t="str">
        <x:v>BOTTOM_03</x:v>
      </x:c>
      <x:c r="F1972" t="str">
        <x:v>GoblinRanged</x:v>
      </x:c>
      <x:c r="G1972" s="410" t="n">
        <x:v>40</x:v>
      </x:c>
    </x:row>
    <x:row r="1973">
      <x:c r="A1973" t="str">
        <x:v>Stage01</x:v>
      </x:c>
      <x:c r="B1973" t="str">
        <x:v>WAVE_48</x:v>
      </x:c>
      <x:c r="C1973" s="409" t="n">
        <x:v>478.25</x:v>
      </x:c>
      <x:c r="D1973" s="410" t="n">
        <x:v>76</x:v>
      </x:c>
      <x:c r="E1973" t="str">
        <x:v>LEFT_04</x:v>
      </x:c>
      <x:c r="F1973" t="str">
        <x:v>GoblinMelee</x:v>
      </x:c>
      <x:c r="G1973" s="410" t="n">
        <x:v>41</x:v>
      </x:c>
    </x:row>
    <x:row r="1974">
      <x:c r="A1974" t="str">
        <x:v>Stage01</x:v>
      </x:c>
      <x:c r="B1974" t="str">
        <x:v>WAVE_48</x:v>
      </x:c>
      <x:c r="C1974" s="409" t="n">
        <x:v>478.34</x:v>
      </x:c>
      <x:c r="D1974" s="410" t="n">
        <x:v>77</x:v>
      </x:c>
      <x:c r="E1974" t="str">
        <x:v>TOP_06</x:v>
      </x:c>
      <x:c r="F1974" t="str">
        <x:v>GoblinMelee</x:v>
      </x:c>
      <x:c r="G1974" s="410" t="n">
        <x:v>40</x:v>
      </x:c>
    </x:row>
    <x:row r="1975">
      <x:c r="A1975" t="str">
        <x:v>Stage01</x:v>
      </x:c>
      <x:c r="B1975" t="str">
        <x:v>WAVE_48</x:v>
      </x:c>
      <x:c r="C1975" s="409" t="n">
        <x:v>478.44</x:v>
      </x:c>
      <x:c r="D1975" s="410" t="n">
        <x:v>78</x:v>
      </x:c>
      <x:c r="E1975" t="str">
        <x:v>RIGHT_07</x:v>
      </x:c>
      <x:c r="F1975" t="str">
        <x:v>GoblinRanged</x:v>
      </x:c>
      <x:c r="G1975" s="410" t="n">
        <x:v>41</x:v>
      </x:c>
    </x:row>
    <x:row r="1976">
      <x:c r="A1976" t="str">
        <x:v>Stage01</x:v>
      </x:c>
      <x:c r="B1976" t="str">
        <x:v>WAVE_48</x:v>
      </x:c>
      <x:c r="C1976" s="409" t="n">
        <x:v>478.54</x:v>
      </x:c>
      <x:c r="D1976" s="410" t="n">
        <x:v>79</x:v>
      </x:c>
      <x:c r="E1976" t="str">
        <x:v>BOTTOM_08</x:v>
      </x:c>
      <x:c r="F1976" t="str">
        <x:v>GoblinMelee</x:v>
      </x:c>
      <x:c r="G1976" s="410" t="n">
        <x:v>41</x:v>
      </x:c>
    </x:row>
    <x:row r="1977">
      <x:c r="A1977" t="str">
        <x:v>Stage01</x:v>
      </x:c>
      <x:c r="B1977" t="str">
        <x:v>WAVE_48</x:v>
      </x:c>
      <x:c r="C1977" s="409" t="n">
        <x:v>478.63</x:v>
      </x:c>
      <x:c r="D1977" s="410" t="n">
        <x:v>80</x:v>
      </x:c>
      <x:c r="E1977" t="str">
        <x:v>LEFT_01</x:v>
      </x:c>
      <x:c r="F1977" t="str">
        <x:v>ShieldSkeleton</x:v>
      </x:c>
      <x:c r="G1977" s="410" t="n">
        <x:v>40</x:v>
      </x:c>
    </x:row>
    <x:row r="1978">
      <x:c r="A1978" t="str">
        <x:v>Stage01</x:v>
      </x:c>
      <x:c r="B1978" t="str">
        <x:v>WAVE_48</x:v>
      </x:c>
      <x:c r="C1978" s="409" t="n">
        <x:v>478.73</x:v>
      </x:c>
      <x:c r="D1978" s="410" t="n">
        <x:v>81</x:v>
      </x:c>
      <x:c r="E1978" t="str">
        <x:v>TOP_03</x:v>
      </x:c>
      <x:c r="F1978" t="str">
        <x:v>GoblinMelee</x:v>
      </x:c>
      <x:c r="G1978" s="410" t="n">
        <x:v>41</x:v>
      </x:c>
    </x:row>
    <x:row r="1979">
      <x:c r="A1979" t="str">
        <x:v>Stage01</x:v>
      </x:c>
      <x:c r="B1979" t="str">
        <x:v>WAVE_48</x:v>
      </x:c>
      <x:c r="C1979" s="409" t="n">
        <x:v>478.83</x:v>
      </x:c>
      <x:c r="D1979" s="410" t="n">
        <x:v>82</x:v>
      </x:c>
      <x:c r="E1979" t="str">
        <x:v>RIGHT_04</x:v>
      </x:c>
      <x:c r="F1979" t="str">
        <x:v>GoblinRanged</x:v>
      </x:c>
      <x:c r="G1979" s="410" t="n">
        <x:v>40</x:v>
      </x:c>
    </x:row>
    <x:row r="1980">
      <x:c r="A1980" t="str">
        <x:v>Stage01</x:v>
      </x:c>
      <x:c r="B1980" t="str">
        <x:v>WAVE_48</x:v>
      </x:c>
      <x:c r="C1980" s="409" t="n">
        <x:v>478.92</x:v>
      </x:c>
      <x:c r="D1980" s="410" t="n">
        <x:v>83</x:v>
      </x:c>
      <x:c r="E1980" t="str">
        <x:v>BOTTOM_05</x:v>
      </x:c>
      <x:c r="F1980" t="str">
        <x:v>FlyingEye</x:v>
      </x:c>
      <x:c r="G1980" s="410" t="n">
        <x:v>41</x:v>
      </x:c>
    </x:row>
    <x:row r="1981">
      <x:c r="A1981" t="str">
        <x:v>Stage01</x:v>
      </x:c>
      <x:c r="B1981" t="str">
        <x:v>WAVE_48</x:v>
      </x:c>
      <x:c r="C1981" s="409" t="n">
        <x:v>479.02</x:v>
      </x:c>
      <x:c r="D1981" s="410" t="n">
        <x:v>84</x:v>
      </x:c>
      <x:c r="E1981" t="str">
        <x:v>LEFT_06</x:v>
      </x:c>
      <x:c r="F1981" t="str">
        <x:v>GoblinMelee</x:v>
      </x:c>
      <x:c r="G1981" s="410" t="n">
        <x:v>40</x:v>
      </x:c>
    </x:row>
    <x:row r="1982">
      <x:c r="A1982" t="str">
        <x:v>Stage01</x:v>
      </x:c>
      <x:c r="B1982" t="str">
        <x:v>WAVE_48</x:v>
      </x:c>
      <x:c r="C1982" s="409" t="n">
        <x:v>479.12</x:v>
      </x:c>
      <x:c r="D1982" s="410" t="n">
        <x:v>85</x:v>
      </x:c>
      <x:c r="E1982" t="str">
        <x:v>TOP_08</x:v>
      </x:c>
      <x:c r="F1982" t="str">
        <x:v>GoblinRanged</x:v>
      </x:c>
      <x:c r="G1982" s="410" t="n">
        <x:v>41</x:v>
      </x:c>
    </x:row>
    <x:row r="1983">
      <x:c r="A1983" t="str">
        <x:v>Stage01</x:v>
      </x:c>
      <x:c r="B1983" t="str">
        <x:v>WAVE_48</x:v>
      </x:c>
      <x:c r="C1983" s="409" t="n">
        <x:v>479.21</x:v>
      </x:c>
      <x:c r="D1983" s="410" t="n">
        <x:v>86</x:v>
      </x:c>
      <x:c r="E1983" t="str">
        <x:v>RIGHT_01</x:v>
      </x:c>
      <x:c r="F1983" t="str">
        <x:v>GoblinMelee</x:v>
      </x:c>
      <x:c r="G1983" s="410" t="n">
        <x:v>41</x:v>
      </x:c>
    </x:row>
    <x:row r="1984">
      <x:c r="A1984" t="str">
        <x:v>Stage01</x:v>
      </x:c>
      <x:c r="B1984" t="str">
        <x:v>WAVE_48</x:v>
      </x:c>
      <x:c r="C1984" s="409" t="n">
        <x:v>479.31</x:v>
      </x:c>
      <x:c r="D1984" s="410" t="n">
        <x:v>87</x:v>
      </x:c>
      <x:c r="E1984" t="str">
        <x:v>BOTTOM_02</x:v>
      </x:c>
      <x:c r="F1984" t="str">
        <x:v>ShieldSkeleton</x:v>
      </x:c>
      <x:c r="G1984" s="410" t="n">
        <x:v>40</x:v>
      </x:c>
    </x:row>
    <x:row r="1985">
      <x:c r="A1985" t="str">
        <x:v>Stage01</x:v>
      </x:c>
      <x:c r="B1985" t="str">
        <x:v>WAVE_48</x:v>
      </x:c>
      <x:c r="C1985" s="409" t="n">
        <x:v>479.41</x:v>
      </x:c>
      <x:c r="D1985" s="410" t="n">
        <x:v>88</x:v>
      </x:c>
      <x:c r="E1985" t="str">
        <x:v>LEFT_03</x:v>
      </x:c>
      <x:c r="F1985" t="str">
        <x:v>GoblinMelee</x:v>
      </x:c>
      <x:c r="G1985" s="410" t="n">
        <x:v>41</x:v>
      </x:c>
    </x:row>
    <x:row r="1986">
      <x:c r="A1986" t="str">
        <x:v>Stage01</x:v>
      </x:c>
      <x:c r="B1986" t="str">
        <x:v>WAVE_48</x:v>
      </x:c>
      <x:c r="C1986" s="409" t="n">
        <x:v>479.5</x:v>
      </x:c>
      <x:c r="D1986" s="410" t="n">
        <x:v>89</x:v>
      </x:c>
      <x:c r="E1986" t="str">
        <x:v>TOP_05</x:v>
      </x:c>
      <x:c r="F1986" t="str">
        <x:v>GoblinRanged</x:v>
      </x:c>
      <x:c r="G1986" s="410" t="n">
        <x:v>40</x:v>
      </x:c>
    </x:row>
    <x:row r="1987">
      <x:c r="A1987" t="str">
        <x:v>Stage01</x:v>
      </x:c>
      <x:c r="B1987" t="str">
        <x:v>WAVE_48</x:v>
      </x:c>
      <x:c r="C1987" s="409" t="n">
        <x:v>479.6</x:v>
      </x:c>
      <x:c r="D1987" s="410" t="n">
        <x:v>90</x:v>
      </x:c>
      <x:c r="E1987" t="str">
        <x:v>RIGHT_06</x:v>
      </x:c>
      <x:c r="F1987" t="str">
        <x:v>GoblinMelee</x:v>
      </x:c>
      <x:c r="G1987" s="410" t="n">
        <x:v>41</x:v>
      </x:c>
    </x:row>
    <x:row r="1988">
      <x:c r="A1988" t="str">
        <x:v>Stage01</x:v>
      </x:c>
      <x:c r="B1988" t="str">
        <x:v>WAVE_49</x:v>
      </x:c>
      <x:c r="C1988" s="409" t="n">
        <x:v>481</x:v>
      </x:c>
      <x:c r="D1988" s="410" t="n">
        <x:v>1</x:v>
      </x:c>
      <x:c r="E1988" t="str">
        <x:v>RIGHT_01</x:v>
      </x:c>
      <x:c r="F1988" t="str">
        <x:v>GoblinMelee</x:v>
      </x:c>
      <x:c r="G1988" s="410" t="n">
        <x:v>42</x:v>
      </x:c>
    </x:row>
    <x:row r="1989">
      <x:c r="A1989" t="str">
        <x:v>Stage01</x:v>
      </x:c>
      <x:c r="B1989" t="str">
        <x:v>WAVE_49</x:v>
      </x:c>
      <x:c r="C1989" s="409" t="n">
        <x:v>481.09</x:v>
      </x:c>
      <x:c r="D1989" s="410" t="n">
        <x:v>2</x:v>
      </x:c>
      <x:c r="E1989" t="str">
        <x:v>BOTTOM_02</x:v>
      </x:c>
      <x:c r="F1989" t="str">
        <x:v>GoblinRanged</x:v>
      </x:c>
      <x:c r="G1989" s="410" t="n">
        <x:v>41</x:v>
      </x:c>
    </x:row>
    <x:row r="1990">
      <x:c r="A1990" t="str">
        <x:v>Stage01</x:v>
      </x:c>
      <x:c r="B1990" t="str">
        <x:v>WAVE_49</x:v>
      </x:c>
      <x:c r="C1990" s="409" t="n">
        <x:v>481.19</x:v>
      </x:c>
      <x:c r="D1990" s="410" t="n">
        <x:v>3</x:v>
      </x:c>
      <x:c r="E1990" t="str">
        <x:v>LEFT_03</x:v>
      </x:c>
      <x:c r="F1990" t="str">
        <x:v>GoblinMelee</x:v>
      </x:c>
      <x:c r="G1990" s="410" t="n">
        <x:v>42</x:v>
      </x:c>
    </x:row>
    <x:row r="1991">
      <x:c r="A1991" t="str">
        <x:v>Stage01</x:v>
      </x:c>
      <x:c r="B1991" t="str">
        <x:v>WAVE_49</x:v>
      </x:c>
      <x:c r="C1991" s="409" t="n">
        <x:v>481.28</x:v>
      </x:c>
      <x:c r="D1991" s="410" t="n">
        <x:v>4</x:v>
      </x:c>
      <x:c r="E1991" t="str">
        <x:v>TOP_05</x:v>
      </x:c>
      <x:c r="F1991" t="str">
        <x:v>ShieldSkeleton</x:v>
      </x:c>
      <x:c r="G1991" s="410" t="n">
        <x:v>41</x:v>
      </x:c>
    </x:row>
    <x:row r="1992">
      <x:c r="A1992" t="str">
        <x:v>Stage01</x:v>
      </x:c>
      <x:c r="B1992" t="str">
        <x:v>WAVE_49</x:v>
      </x:c>
      <x:c r="C1992" s="409" t="n">
        <x:v>481.37</x:v>
      </x:c>
      <x:c r="D1992" s="410" t="n">
        <x:v>5</x:v>
      </x:c>
      <x:c r="E1992" t="str">
        <x:v>RIGHT_06</x:v>
      </x:c>
      <x:c r="F1992" t="str">
        <x:v>GoblinMelee</x:v>
      </x:c>
      <x:c r="G1992" s="410" t="n">
        <x:v>42</x:v>
      </x:c>
    </x:row>
    <x:row r="1993">
      <x:c r="A1993" t="str">
        <x:v>Stage01</x:v>
      </x:c>
      <x:c r="B1993" t="str">
        <x:v>WAVE_49</x:v>
      </x:c>
      <x:c r="C1993" s="409" t="n">
        <x:v>481.47</x:v>
      </x:c>
      <x:c r="D1993" s="410" t="n">
        <x:v>6</x:v>
      </x:c>
      <x:c r="E1993" t="str">
        <x:v>BOTTOM_07</x:v>
      </x:c>
      <x:c r="F1993" t="str">
        <x:v>GoblinRanged</x:v>
      </x:c>
      <x:c r="G1993" s="410" t="n">
        <x:v>42</x:v>
      </x:c>
    </x:row>
    <x:row r="1994">
      <x:c r="A1994" t="str">
        <x:v>Stage01</x:v>
      </x:c>
      <x:c r="B1994" t="str">
        <x:v>WAVE_49</x:v>
      </x:c>
      <x:c r="C1994" s="409" t="n">
        <x:v>481.56</x:v>
      </x:c>
      <x:c r="D1994" s="410" t="n">
        <x:v>7</x:v>
      </x:c>
      <x:c r="E1994" t="str">
        <x:v>LEFT_08</x:v>
      </x:c>
      <x:c r="F1994" t="str">
        <x:v>GoblinMelee</x:v>
      </x:c>
      <x:c r="G1994" s="410" t="n">
        <x:v>41</x:v>
      </x:c>
    </x:row>
    <x:row r="1995">
      <x:c r="A1995" t="str">
        <x:v>Stage01</x:v>
      </x:c>
      <x:c r="B1995" t="str">
        <x:v>WAVE_49</x:v>
      </x:c>
      <x:c r="C1995" s="409" t="n">
        <x:v>481.65</x:v>
      </x:c>
      <x:c r="D1995" s="410" t="n">
        <x:v>8</x:v>
      </x:c>
      <x:c r="E1995" t="str">
        <x:v>TOP_02</x:v>
      </x:c>
      <x:c r="F1995" t="str">
        <x:v>GoblinMelee</x:v>
      </x:c>
      <x:c r="G1995" s="410" t="n">
        <x:v>42</x:v>
      </x:c>
    </x:row>
    <x:row r="1996">
      <x:c r="A1996" t="str">
        <x:v>Stage01</x:v>
      </x:c>
      <x:c r="B1996" t="str">
        <x:v>WAVE_49</x:v>
      </x:c>
      <x:c r="C1996" s="409" t="n">
        <x:v>481.75</x:v>
      </x:c>
      <x:c r="D1996" s="410" t="n">
        <x:v>9</x:v>
      </x:c>
      <x:c r="E1996" t="str">
        <x:v>RIGHT_03</x:v>
      </x:c>
      <x:c r="F1996" t="str">
        <x:v>GoblinRanged</x:v>
      </x:c>
      <x:c r="G1996" s="410" t="n">
        <x:v>42</x:v>
      </x:c>
    </x:row>
    <x:row r="1997">
      <x:c r="A1997" t="str">
        <x:v>Stage01</x:v>
      </x:c>
      <x:c r="B1997" t="str">
        <x:v>WAVE_49</x:v>
      </x:c>
      <x:c r="C1997" s="409" t="n">
        <x:v>481.84</x:v>
      </x:c>
      <x:c r="D1997" s="410" t="n">
        <x:v>10</x:v>
      </x:c>
      <x:c r="E1997" t="str">
        <x:v>BOTTOM_04</x:v>
      </x:c>
      <x:c r="F1997" t="str">
        <x:v>GoblinMelee</x:v>
      </x:c>
      <x:c r="G1997" s="410" t="n">
        <x:v>41</x:v>
      </x:c>
    </x:row>
    <x:row r="1998">
      <x:c r="A1998" t="str">
        <x:v>Stage01</x:v>
      </x:c>
      <x:c r="B1998" t="str">
        <x:v>WAVE_49</x:v>
      </x:c>
      <x:c r="C1998" s="409" t="n">
        <x:v>481.93</x:v>
      </x:c>
      <x:c r="D1998" s="410" t="n">
        <x:v>11</x:v>
      </x:c>
      <x:c r="E1998" t="str">
        <x:v>LEFT_05</x:v>
      </x:c>
      <x:c r="F1998" t="str">
        <x:v>GoblinMelee</x:v>
      </x:c>
      <x:c r="G1998" s="410" t="n">
        <x:v>42</x:v>
      </x:c>
    </x:row>
    <x:row r="1999">
      <x:c r="A1999" t="str">
        <x:v>Stage01</x:v>
      </x:c>
      <x:c r="B1999" t="str">
        <x:v>WAVE_49</x:v>
      </x:c>
      <x:c r="C1999" s="409" t="n">
        <x:v>482.03</x:v>
      </x:c>
      <x:c r="D1999" s="410" t="n">
        <x:v>12</x:v>
      </x:c>
      <x:c r="E1999" t="str">
        <x:v>TOP_07</x:v>
      </x:c>
      <x:c r="F1999" t="str">
        <x:v>ShieldSkeleton</x:v>
      </x:c>
      <x:c r="G1999" s="410" t="n">
        <x:v>41</x:v>
      </x:c>
    </x:row>
    <x:row r="2000">
      <x:c r="A2000" t="str">
        <x:v>Stage01</x:v>
      </x:c>
      <x:c r="B2000" t="str">
        <x:v>WAVE_49</x:v>
      </x:c>
      <x:c r="C2000" s="409" t="n">
        <x:v>482.12</x:v>
      </x:c>
      <x:c r="D2000" s="410" t="n">
        <x:v>13</x:v>
      </x:c>
      <x:c r="E2000" t="str">
        <x:v>RIGHT_08</x:v>
      </x:c>
      <x:c r="F2000" t="str">
        <x:v>FlyingEye</x:v>
      </x:c>
      <x:c r="G2000" s="410" t="n">
        <x:v>42</x:v>
      </x:c>
    </x:row>
    <x:row r="2001">
      <x:c r="A2001" t="str">
        <x:v>Stage01</x:v>
      </x:c>
      <x:c r="B2001" t="str">
        <x:v>WAVE_49</x:v>
      </x:c>
      <x:c r="C2001" s="409" t="n">
        <x:v>482.22</x:v>
      </x:c>
      <x:c r="D2001" s="410" t="n">
        <x:v>14</x:v>
      </x:c>
      <x:c r="E2001" t="str">
        <x:v>BOTTOM_01</x:v>
      </x:c>
      <x:c r="F2001" t="str">
        <x:v>GoblinRanged</x:v>
      </x:c>
      <x:c r="G2001" s="410" t="n">
        <x:v>42</x:v>
      </x:c>
    </x:row>
    <x:row r="2002">
      <x:c r="A2002" t="str">
        <x:v>Stage01</x:v>
      </x:c>
      <x:c r="B2002" t="str">
        <x:v>WAVE_49</x:v>
      </x:c>
      <x:c r="C2002" s="409" t="n">
        <x:v>482.31</x:v>
      </x:c>
      <x:c r="D2002" s="410" t="n">
        <x:v>15</x:v>
      </x:c>
      <x:c r="E2002" t="str">
        <x:v>LEFT_02</x:v>
      </x:c>
      <x:c r="F2002" t="str">
        <x:v>GoblinMelee</x:v>
      </x:c>
      <x:c r="G2002" s="410" t="n">
        <x:v>41</x:v>
      </x:c>
    </x:row>
    <x:row r="2003">
      <x:c r="A2003" t="str">
        <x:v>Stage01</x:v>
      </x:c>
      <x:c r="B2003" t="str">
        <x:v>WAVE_49</x:v>
      </x:c>
      <x:c r="C2003" s="409" t="n">
        <x:v>482.4</x:v>
      </x:c>
      <x:c r="D2003" s="410" t="n">
        <x:v>16</x:v>
      </x:c>
      <x:c r="E2003" t="str">
        <x:v>TOP_04</x:v>
      </x:c>
      <x:c r="F2003" t="str">
        <x:v>GoblinRanged</x:v>
      </x:c>
      <x:c r="G2003" s="410" t="n">
        <x:v>42</x:v>
      </x:c>
    </x:row>
    <x:row r="2004">
      <x:c r="A2004" t="str">
        <x:v>Stage01</x:v>
      </x:c>
      <x:c r="B2004" t="str">
        <x:v>WAVE_49</x:v>
      </x:c>
      <x:c r="C2004" s="409" t="n">
        <x:v>482.5</x:v>
      </x:c>
      <x:c r="D2004" s="410" t="n">
        <x:v>17</x:v>
      </x:c>
      <x:c r="E2004" t="str">
        <x:v>RIGHT_05</x:v>
      </x:c>
      <x:c r="F2004" t="str">
        <x:v>GoblinMelee</x:v>
      </x:c>
      <x:c r="G2004" s="410" t="n">
        <x:v>42</x:v>
      </x:c>
    </x:row>
    <x:row r="2005">
      <x:c r="A2005" t="str">
        <x:v>Stage01</x:v>
      </x:c>
      <x:c r="B2005" t="str">
        <x:v>WAVE_49</x:v>
      </x:c>
      <x:c r="C2005" s="409" t="n">
        <x:v>482.59</x:v>
      </x:c>
      <x:c r="D2005" s="410" t="n">
        <x:v>18</x:v>
      </x:c>
      <x:c r="E2005" t="str">
        <x:v>BOTTOM_06</x:v>
      </x:c>
      <x:c r="F2005" t="str">
        <x:v>GoblinMelee</x:v>
      </x:c>
      <x:c r="G2005" s="410" t="n">
        <x:v>41</x:v>
      </x:c>
    </x:row>
    <x:row r="2006">
      <x:c r="A2006" t="str">
        <x:v>Stage01</x:v>
      </x:c>
      <x:c r="B2006" t="str">
        <x:v>WAVE_49</x:v>
      </x:c>
      <x:c r="C2006" s="409" t="n">
        <x:v>482.68</x:v>
      </x:c>
      <x:c r="D2006" s="410" t="n">
        <x:v>19</x:v>
      </x:c>
      <x:c r="E2006" t="str">
        <x:v>LEFT_07</x:v>
      </x:c>
      <x:c r="F2006" t="str">
        <x:v>ShieldSkeleton</x:v>
      </x:c>
      <x:c r="G2006" s="410" t="n">
        <x:v>42</x:v>
      </x:c>
    </x:row>
    <x:row r="2007">
      <x:c r="A2007" t="str">
        <x:v>Stage01</x:v>
      </x:c>
      <x:c r="B2007" t="str">
        <x:v>WAVE_49</x:v>
      </x:c>
      <x:c r="C2007" s="409" t="n">
        <x:v>482.78</x:v>
      </x:c>
      <x:c r="D2007" s="410" t="n">
        <x:v>20</x:v>
      </x:c>
      <x:c r="E2007" t="str">
        <x:v>TOP_01</x:v>
      </x:c>
      <x:c r="F2007" t="str">
        <x:v>GoblinMelee</x:v>
      </x:c>
      <x:c r="G2007" s="410" t="n">
        <x:v>41</x:v>
      </x:c>
    </x:row>
    <x:row r="2008">
      <x:c r="A2008" t="str">
        <x:v>Stage01</x:v>
      </x:c>
      <x:c r="B2008" t="str">
        <x:v>WAVE_49</x:v>
      </x:c>
      <x:c r="C2008" s="409" t="n">
        <x:v>482.87</x:v>
      </x:c>
      <x:c r="D2008" s="410" t="n">
        <x:v>21</x:v>
      </x:c>
      <x:c r="E2008" t="str">
        <x:v>RIGHT_02</x:v>
      </x:c>
      <x:c r="F2008" t="str">
        <x:v>GoblinRanged</x:v>
      </x:c>
      <x:c r="G2008" s="410" t="n">
        <x:v>42</x:v>
      </x:c>
    </x:row>
    <x:row r="2009">
      <x:c r="A2009" t="str">
        <x:v>Stage01</x:v>
      </x:c>
      <x:c r="B2009" t="str">
        <x:v>WAVE_49</x:v>
      </x:c>
      <x:c r="C2009" s="409" t="n">
        <x:v>482.96</x:v>
      </x:c>
      <x:c r="D2009" s="410" t="n">
        <x:v>22</x:v>
      </x:c>
      <x:c r="E2009" t="str">
        <x:v>BOTTOM_03</x:v>
      </x:c>
      <x:c r="F2009" t="str">
        <x:v>GoblinMelee</x:v>
      </x:c>
      <x:c r="G2009" s="410" t="n">
        <x:v>42</x:v>
      </x:c>
    </x:row>
    <x:row r="2010">
      <x:c r="A2010" t="str">
        <x:v>Stage01</x:v>
      </x:c>
      <x:c r="B2010" t="str">
        <x:v>WAVE_49</x:v>
      </x:c>
      <x:c r="C2010" s="409" t="n">
        <x:v>483.06</x:v>
      </x:c>
      <x:c r="D2010" s="410" t="n">
        <x:v>23</x:v>
      </x:c>
      <x:c r="E2010" t="str">
        <x:v>LEFT_04</x:v>
      </x:c>
      <x:c r="F2010" t="str">
        <x:v>GoblinMelee</x:v>
      </x:c>
      <x:c r="G2010" s="410" t="n">
        <x:v>41</x:v>
      </x:c>
    </x:row>
    <x:row r="2011">
      <x:c r="A2011" t="str">
        <x:v>Stage01</x:v>
      </x:c>
      <x:c r="B2011" t="str">
        <x:v>WAVE_49</x:v>
      </x:c>
      <x:c r="C2011" s="409" t="n">
        <x:v>483.15</x:v>
      </x:c>
      <x:c r="D2011" s="410" t="n">
        <x:v>24</x:v>
      </x:c>
      <x:c r="E2011" t="str">
        <x:v>TOP_06</x:v>
      </x:c>
      <x:c r="F2011" t="str">
        <x:v>GoblinRanged</x:v>
      </x:c>
      <x:c r="G2011" s="410" t="n">
        <x:v>42</x:v>
      </x:c>
    </x:row>
    <x:row r="2012">
      <x:c r="A2012" t="str">
        <x:v>Stage01</x:v>
      </x:c>
      <x:c r="B2012" t="str">
        <x:v>WAVE_49</x:v>
      </x:c>
      <x:c r="C2012" s="409" t="n">
        <x:v>483.24</x:v>
      </x:c>
      <x:c r="D2012" s="410" t="n">
        <x:v>25</x:v>
      </x:c>
      <x:c r="E2012" t="str">
        <x:v>RIGHT_07</x:v>
      </x:c>
      <x:c r="F2012" t="str">
        <x:v>GoblinMelee</x:v>
      </x:c>
      <x:c r="G2012" s="410" t="n">
        <x:v>42</x:v>
      </x:c>
    </x:row>
    <x:row r="2013">
      <x:c r="A2013" t="str">
        <x:v>Stage01</x:v>
      </x:c>
      <x:c r="B2013" t="str">
        <x:v>WAVE_49</x:v>
      </x:c>
      <x:c r="C2013" s="409" t="n">
        <x:v>483.34</x:v>
      </x:c>
      <x:c r="D2013" s="410" t="n">
        <x:v>26</x:v>
      </x:c>
      <x:c r="E2013" t="str">
        <x:v>BOTTOM_08</x:v>
      </x:c>
      <x:c r="F2013" t="str">
        <x:v>FlyingEye</x:v>
      </x:c>
      <x:c r="G2013" s="410" t="n">
        <x:v>41</x:v>
      </x:c>
    </x:row>
    <x:row r="2014">
      <x:c r="A2014" t="str">
        <x:v>Stage01</x:v>
      </x:c>
      <x:c r="B2014" t="str">
        <x:v>WAVE_49</x:v>
      </x:c>
      <x:c r="C2014" s="409" t="n">
        <x:v>483.43</x:v>
      </x:c>
      <x:c r="D2014" s="410" t="n">
        <x:v>27</x:v>
      </x:c>
      <x:c r="E2014" t="str">
        <x:v>LEFT_01</x:v>
      </x:c>
      <x:c r="F2014" t="str">
        <x:v>GoblinRanged</x:v>
      </x:c>
      <x:c r="G2014" s="410" t="n">
        <x:v>42</x:v>
      </x:c>
    </x:row>
    <x:row r="2015">
      <x:c r="A2015" t="str">
        <x:v>Stage01</x:v>
      </x:c>
      <x:c r="B2015" t="str">
        <x:v>WAVE_49</x:v>
      </x:c>
      <x:c r="C2015" s="409" t="n">
        <x:v>483.52</x:v>
      </x:c>
      <x:c r="D2015" s="410" t="n">
        <x:v>28</x:v>
      </x:c>
      <x:c r="E2015" t="str">
        <x:v>TOP_03</x:v>
      </x:c>
      <x:c r="F2015" t="str">
        <x:v>ShieldSkeleton</x:v>
      </x:c>
      <x:c r="G2015" s="410" t="n">
        <x:v>41</x:v>
      </x:c>
    </x:row>
    <x:row r="2016">
      <x:c r="A2016" t="str">
        <x:v>Stage01</x:v>
      </x:c>
      <x:c r="B2016" t="str">
        <x:v>WAVE_49</x:v>
      </x:c>
      <x:c r="C2016" s="409" t="n">
        <x:v>483.62</x:v>
      </x:c>
      <x:c r="D2016" s="410" t="n">
        <x:v>29</x:v>
      </x:c>
      <x:c r="E2016" t="str">
        <x:v>RIGHT_04</x:v>
      </x:c>
      <x:c r="F2016" t="str">
        <x:v>GoblinMelee</x:v>
      </x:c>
      <x:c r="G2016" s="410" t="n">
        <x:v>42</x:v>
      </x:c>
    </x:row>
    <x:row r="2017">
      <x:c r="A2017" t="str">
        <x:v>Stage01</x:v>
      </x:c>
      <x:c r="B2017" t="str">
        <x:v>WAVE_49</x:v>
      </x:c>
      <x:c r="C2017" s="409" t="n">
        <x:v>483.71</x:v>
      </x:c>
      <x:c r="D2017" s="410" t="n">
        <x:v>30</x:v>
      </x:c>
      <x:c r="E2017" t="str">
        <x:v>BOTTOM_05</x:v>
      </x:c>
      <x:c r="F2017" t="str">
        <x:v>GoblinMelee</x:v>
      </x:c>
      <x:c r="G2017" s="410" t="n">
        <x:v>42</x:v>
      </x:c>
    </x:row>
    <x:row r="2018">
      <x:c r="A2018" t="str">
        <x:v>Stage01</x:v>
      </x:c>
      <x:c r="B2018" t="str">
        <x:v>WAVE_49</x:v>
      </x:c>
      <x:c r="C2018" s="409" t="n">
        <x:v>483.8</x:v>
      </x:c>
      <x:c r="D2018" s="410" t="n">
        <x:v>31</x:v>
      </x:c>
      <x:c r="E2018" t="str">
        <x:v>LEFT_06</x:v>
      </x:c>
      <x:c r="F2018" t="str">
        <x:v>GoblinRanged</x:v>
      </x:c>
      <x:c r="G2018" s="410" t="n">
        <x:v>41</x:v>
      </x:c>
    </x:row>
    <x:row r="2019">
      <x:c r="A2019" t="str">
        <x:v>Stage01</x:v>
      </x:c>
      <x:c r="B2019" t="str">
        <x:v>WAVE_49</x:v>
      </x:c>
      <x:c r="C2019" s="409" t="n">
        <x:v>483.9</x:v>
      </x:c>
      <x:c r="D2019" s="410" t="n">
        <x:v>32</x:v>
      </x:c>
      <x:c r="E2019" t="str">
        <x:v>TOP_08</x:v>
      </x:c>
      <x:c r="F2019" t="str">
        <x:v>GoblinMelee</x:v>
      </x:c>
      <x:c r="G2019" s="410" t="n">
        <x:v>42</x:v>
      </x:c>
    </x:row>
    <x:row r="2020">
      <x:c r="A2020" t="str">
        <x:v>Stage01</x:v>
      </x:c>
      <x:c r="B2020" t="str">
        <x:v>WAVE_49</x:v>
      </x:c>
      <x:c r="C2020" s="409" t="n">
        <x:v>483.99</x:v>
      </x:c>
      <x:c r="D2020" s="410" t="n">
        <x:v>33</x:v>
      </x:c>
      <x:c r="E2020" t="str">
        <x:v>RIGHT_01</x:v>
      </x:c>
      <x:c r="F2020" t="str">
        <x:v>GoblinMelee</x:v>
      </x:c>
      <x:c r="G2020" s="410" t="n">
        <x:v>42</x:v>
      </x:c>
    </x:row>
    <x:row r="2021">
      <x:c r="A2021" t="str">
        <x:v>Stage01</x:v>
      </x:c>
      <x:c r="B2021" t="str">
        <x:v>WAVE_49</x:v>
      </x:c>
      <x:c r="C2021" s="409" t="n">
        <x:v>484.08</x:v>
      </x:c>
      <x:c r="D2021" s="410" t="n">
        <x:v>34</x:v>
      </x:c>
      <x:c r="E2021" t="str">
        <x:v>BOTTOM_02</x:v>
      </x:c>
      <x:c r="F2021" t="str">
        <x:v>GoblinRanged</x:v>
      </x:c>
      <x:c r="G2021" s="410" t="n">
        <x:v>41</x:v>
      </x:c>
    </x:row>
    <x:row r="2022">
      <x:c r="A2022" t="str">
        <x:v>Stage01</x:v>
      </x:c>
      <x:c r="B2022" t="str">
        <x:v>WAVE_49</x:v>
      </x:c>
      <x:c r="C2022" s="409" t="n">
        <x:v>484.18</x:v>
      </x:c>
      <x:c r="D2022" s="410" t="n">
        <x:v>35</x:v>
      </x:c>
      <x:c r="E2022" t="str">
        <x:v>LEFT_03</x:v>
      </x:c>
      <x:c r="F2022" t="str">
        <x:v>GoblinMelee</x:v>
      </x:c>
      <x:c r="G2022" s="410" t="n">
        <x:v>42</x:v>
      </x:c>
    </x:row>
    <x:row r="2023">
      <x:c r="A2023" t="str">
        <x:v>Stage01</x:v>
      </x:c>
      <x:c r="B2023" t="str">
        <x:v>WAVE_49</x:v>
      </x:c>
      <x:c r="C2023" s="409" t="n">
        <x:v>484.27</x:v>
      </x:c>
      <x:c r="D2023" s="410" t="n">
        <x:v>36</x:v>
      </x:c>
      <x:c r="E2023" t="str">
        <x:v>TOP_05</x:v>
      </x:c>
      <x:c r="F2023" t="str">
        <x:v>ShieldSkeleton</x:v>
      </x:c>
      <x:c r="G2023" s="410" t="n">
        <x:v>41</x:v>
      </x:c>
    </x:row>
    <x:row r="2024">
      <x:c r="A2024" t="str">
        <x:v>Stage01</x:v>
      </x:c>
      <x:c r="B2024" t="str">
        <x:v>WAVE_49</x:v>
      </x:c>
      <x:c r="C2024" s="409" t="n">
        <x:v>484.37</x:v>
      </x:c>
      <x:c r="D2024" s="410" t="n">
        <x:v>37</x:v>
      </x:c>
      <x:c r="E2024" t="str">
        <x:v>RIGHT_06</x:v>
      </x:c>
      <x:c r="F2024" t="str">
        <x:v>GoblinMelee</x:v>
      </x:c>
      <x:c r="G2024" s="410" t="n">
        <x:v>42</x:v>
      </x:c>
    </x:row>
    <x:row r="2025">
      <x:c r="A2025" t="str">
        <x:v>Stage01</x:v>
      </x:c>
      <x:c r="B2025" t="str">
        <x:v>WAVE_49</x:v>
      </x:c>
      <x:c r="C2025" s="409" t="n">
        <x:v>484.46</x:v>
      </x:c>
      <x:c r="D2025" s="410" t="n">
        <x:v>38</x:v>
      </x:c>
      <x:c r="E2025" t="str">
        <x:v>BOTTOM_07</x:v>
      </x:c>
      <x:c r="F2025" t="str">
        <x:v>GoblinRanged</x:v>
      </x:c>
      <x:c r="G2025" s="410" t="n">
        <x:v>42</x:v>
      </x:c>
    </x:row>
    <x:row r="2026">
      <x:c r="A2026" t="str">
        <x:v>Stage01</x:v>
      </x:c>
      <x:c r="B2026" t="str">
        <x:v>WAVE_49</x:v>
      </x:c>
      <x:c r="C2026" s="409" t="n">
        <x:v>484.55</x:v>
      </x:c>
      <x:c r="D2026" s="410" t="n">
        <x:v>39</x:v>
      </x:c>
      <x:c r="E2026" t="str">
        <x:v>LEFT_08</x:v>
      </x:c>
      <x:c r="F2026" t="str">
        <x:v>GoblinMelee</x:v>
      </x:c>
      <x:c r="G2026" s="410" t="n">
        <x:v>41</x:v>
      </x:c>
    </x:row>
    <x:row r="2027">
      <x:c r="A2027" t="str">
        <x:v>Stage01</x:v>
      </x:c>
      <x:c r="B2027" t="str">
        <x:v>WAVE_49</x:v>
      </x:c>
      <x:c r="C2027" s="409" t="n">
        <x:v>484.65</x:v>
      </x:c>
      <x:c r="D2027" s="410" t="n">
        <x:v>40</x:v>
      </x:c>
      <x:c r="E2027" t="str">
        <x:v>TOP_02</x:v>
      </x:c>
      <x:c r="F2027" t="str">
        <x:v>FlyingEye</x:v>
      </x:c>
      <x:c r="G2027" s="410" t="n">
        <x:v>42</x:v>
      </x:c>
    </x:row>
    <x:row r="2028">
      <x:c r="A2028" t="str">
        <x:v>Stage01</x:v>
      </x:c>
      <x:c r="B2028" t="str">
        <x:v>WAVE_49</x:v>
      </x:c>
      <x:c r="C2028" s="409" t="n">
        <x:v>484.74</x:v>
      </x:c>
      <x:c r="D2028" s="410" t="n">
        <x:v>41</x:v>
      </x:c>
      <x:c r="E2028" t="str">
        <x:v>RIGHT_03</x:v>
      </x:c>
      <x:c r="F2028" t="str">
        <x:v>GoblinRanged</x:v>
      </x:c>
      <x:c r="G2028" s="410" t="n">
        <x:v>42</x:v>
      </x:c>
    </x:row>
    <x:row r="2029">
      <x:c r="A2029" t="str">
        <x:v>Stage01</x:v>
      </x:c>
      <x:c r="B2029" t="str">
        <x:v>WAVE_49</x:v>
      </x:c>
      <x:c r="C2029" s="409" t="n">
        <x:v>484.83</x:v>
      </x:c>
      <x:c r="D2029" s="410" t="n">
        <x:v>42</x:v>
      </x:c>
      <x:c r="E2029" t="str">
        <x:v>BOTTOM_04</x:v>
      </x:c>
      <x:c r="F2029" t="str">
        <x:v>GoblinMelee</x:v>
      </x:c>
      <x:c r="G2029" s="410" t="n">
        <x:v>41</x:v>
      </x:c>
    </x:row>
    <x:row r="2030">
      <x:c r="A2030" t="str">
        <x:v>Stage01</x:v>
      </x:c>
      <x:c r="B2030" t="str">
        <x:v>WAVE_49</x:v>
      </x:c>
      <x:c r="C2030" s="409" t="n">
        <x:v>484.93</x:v>
      </x:c>
      <x:c r="D2030" s="410" t="n">
        <x:v>43</x:v>
      </x:c>
      <x:c r="E2030" t="str">
        <x:v>LEFT_05</x:v>
      </x:c>
      <x:c r="F2030" t="str">
        <x:v>ShieldSkeleton</x:v>
      </x:c>
      <x:c r="G2030" s="410" t="n">
        <x:v>42</x:v>
      </x:c>
    </x:row>
    <x:row r="2031">
      <x:c r="A2031" t="str">
        <x:v>Stage01</x:v>
      </x:c>
      <x:c r="B2031" t="str">
        <x:v>WAVE_49</x:v>
      </x:c>
      <x:c r="C2031" s="409" t="n">
        <x:v>485.02</x:v>
      </x:c>
      <x:c r="D2031" s="410" t="n">
        <x:v>44</x:v>
      </x:c>
      <x:c r="E2031" t="str">
        <x:v>TOP_07</x:v>
      </x:c>
      <x:c r="F2031" t="str">
        <x:v>GoblinMelee</x:v>
      </x:c>
      <x:c r="G2031" s="410" t="n">
        <x:v>41</x:v>
      </x:c>
    </x:row>
    <x:row r="2032">
      <x:c r="A2032" t="str">
        <x:v>Stage01</x:v>
      </x:c>
      <x:c r="B2032" t="str">
        <x:v>WAVE_49</x:v>
      </x:c>
      <x:c r="C2032" s="409" t="n">
        <x:v>485.11</x:v>
      </x:c>
      <x:c r="D2032" s="410" t="n">
        <x:v>45</x:v>
      </x:c>
      <x:c r="E2032" t="str">
        <x:v>RIGHT_08</x:v>
      </x:c>
      <x:c r="F2032" t="str">
        <x:v>GoblinMelee</x:v>
      </x:c>
      <x:c r="G2032" s="410" t="n">
        <x:v>42</x:v>
      </x:c>
    </x:row>
    <x:row r="2033">
      <x:c r="A2033" t="str">
        <x:v>Stage01</x:v>
      </x:c>
      <x:c r="B2033" t="str">
        <x:v>WAVE_49</x:v>
      </x:c>
      <x:c r="C2033" s="409" t="n">
        <x:v>485.21</x:v>
      </x:c>
      <x:c r="D2033" s="410" t="n">
        <x:v>46</x:v>
      </x:c>
      <x:c r="E2033" t="str">
        <x:v>BOTTOM_01</x:v>
      </x:c>
      <x:c r="F2033" t="str">
        <x:v>GoblinRanged</x:v>
      </x:c>
      <x:c r="G2033" s="410" t="n">
        <x:v>42</x:v>
      </x:c>
    </x:row>
    <x:row r="2034">
      <x:c r="A2034" t="str">
        <x:v>Stage01</x:v>
      </x:c>
      <x:c r="B2034" t="str">
        <x:v>WAVE_49</x:v>
      </x:c>
      <x:c r="C2034" s="409" t="n">
        <x:v>485.3</x:v>
      </x:c>
      <x:c r="D2034" s="410" t="n">
        <x:v>47</x:v>
      </x:c>
      <x:c r="E2034" t="str">
        <x:v>LEFT_02</x:v>
      </x:c>
      <x:c r="F2034" t="str">
        <x:v>GoblinMelee</x:v>
      </x:c>
      <x:c r="G2034" s="410" t="n">
        <x:v>41</x:v>
      </x:c>
    </x:row>
    <x:row r="2035">
      <x:c r="A2035" t="str">
        <x:v>Stage01</x:v>
      </x:c>
      <x:c r="B2035" t="str">
        <x:v>WAVE_49</x:v>
      </x:c>
      <x:c r="C2035" s="409" t="n">
        <x:v>485.39</x:v>
      </x:c>
      <x:c r="D2035" s="410" t="n">
        <x:v>48</x:v>
      </x:c>
      <x:c r="E2035" t="str">
        <x:v>TOP_04</x:v>
      </x:c>
      <x:c r="F2035" t="str">
        <x:v>GoblinRanged</x:v>
      </x:c>
      <x:c r="G2035" s="410" t="n">
        <x:v>42</x:v>
      </x:c>
    </x:row>
    <x:row r="2036">
      <x:c r="A2036" t="str">
        <x:v>Stage01</x:v>
      </x:c>
      <x:c r="B2036" t="str">
        <x:v>WAVE_49</x:v>
      </x:c>
      <x:c r="C2036" s="409" t="n">
        <x:v>485.49</x:v>
      </x:c>
      <x:c r="D2036" s="410" t="n">
        <x:v>49</x:v>
      </x:c>
      <x:c r="E2036" t="str">
        <x:v>RIGHT_05</x:v>
      </x:c>
      <x:c r="F2036" t="str">
        <x:v>GoblinMelee</x:v>
      </x:c>
      <x:c r="G2036" s="410" t="n">
        <x:v>42</x:v>
      </x:c>
    </x:row>
    <x:row r="2037">
      <x:c r="A2037" t="str">
        <x:v>Stage01</x:v>
      </x:c>
      <x:c r="B2037" t="str">
        <x:v>WAVE_49</x:v>
      </x:c>
      <x:c r="C2037" s="409" t="n">
        <x:v>485.58</x:v>
      </x:c>
      <x:c r="D2037" s="410" t="n">
        <x:v>50</x:v>
      </x:c>
      <x:c r="E2037" t="str">
        <x:v>BOTTOM_06</x:v>
      </x:c>
      <x:c r="F2037" t="str">
        <x:v>GoblinMelee</x:v>
      </x:c>
      <x:c r="G2037" s="410" t="n">
        <x:v>41</x:v>
      </x:c>
    </x:row>
    <x:row r="2038">
      <x:c r="A2038" t="str">
        <x:v>Stage01</x:v>
      </x:c>
      <x:c r="B2038" t="str">
        <x:v>WAVE_49</x:v>
      </x:c>
      <x:c r="C2038" s="409" t="n">
        <x:v>485.67</x:v>
      </x:c>
      <x:c r="D2038" s="410" t="n">
        <x:v>51</x:v>
      </x:c>
      <x:c r="E2038" t="str">
        <x:v>LEFT_07</x:v>
      </x:c>
      <x:c r="F2038" t="str">
        <x:v>ShieldSkeleton</x:v>
      </x:c>
      <x:c r="G2038" s="410" t="n">
        <x:v>42</x:v>
      </x:c>
    </x:row>
    <x:row r="2039">
      <x:c r="A2039" t="str">
        <x:v>Stage01</x:v>
      </x:c>
      <x:c r="B2039" t="str">
        <x:v>WAVE_49</x:v>
      </x:c>
      <x:c r="C2039" s="409" t="n">
        <x:v>485.77</x:v>
      </x:c>
      <x:c r="D2039" s="410" t="n">
        <x:v>52</x:v>
      </x:c>
      <x:c r="E2039" t="str">
        <x:v>TOP_01</x:v>
      </x:c>
      <x:c r="F2039" t="str">
        <x:v>GoblinMelee</x:v>
      </x:c>
      <x:c r="G2039" s="410" t="n">
        <x:v>41</x:v>
      </x:c>
    </x:row>
    <x:row r="2040">
      <x:c r="A2040" t="str">
        <x:v>Stage01</x:v>
      </x:c>
      <x:c r="B2040" t="str">
        <x:v>WAVE_49</x:v>
      </x:c>
      <x:c r="C2040" s="409" t="n">
        <x:v>485.86</x:v>
      </x:c>
      <x:c r="D2040" s="410" t="n">
        <x:v>53</x:v>
      </x:c>
      <x:c r="E2040" t="str">
        <x:v>RIGHT_02</x:v>
      </x:c>
      <x:c r="F2040" t="str">
        <x:v>GoblinRanged</x:v>
      </x:c>
      <x:c r="G2040" s="410" t="n">
        <x:v>42</x:v>
      </x:c>
    </x:row>
    <x:row r="2041">
      <x:c r="A2041" t="str">
        <x:v>Stage01</x:v>
      </x:c>
      <x:c r="B2041" t="str">
        <x:v>WAVE_49</x:v>
      </x:c>
      <x:c r="C2041" s="409" t="n">
        <x:v>485.95</x:v>
      </x:c>
      <x:c r="D2041" s="410" t="n">
        <x:v>54</x:v>
      </x:c>
      <x:c r="E2041" t="str">
        <x:v>BOTTOM_03</x:v>
      </x:c>
      <x:c r="F2041" t="str">
        <x:v>FlyingEye</x:v>
      </x:c>
      <x:c r="G2041" s="410" t="n">
        <x:v>42</x:v>
      </x:c>
    </x:row>
    <x:row r="2042">
      <x:c r="A2042" t="str">
        <x:v>Stage01</x:v>
      </x:c>
      <x:c r="B2042" t="str">
        <x:v>WAVE_49</x:v>
      </x:c>
      <x:c r="C2042" s="409" t="n">
        <x:v>486.05</x:v>
      </x:c>
      <x:c r="D2042" s="410" t="n">
        <x:v>55</x:v>
      </x:c>
      <x:c r="E2042" t="str">
        <x:v>LEFT_04</x:v>
      </x:c>
      <x:c r="F2042" t="str">
        <x:v>GoblinMelee</x:v>
      </x:c>
      <x:c r="G2042" s="410" t="n">
        <x:v>41</x:v>
      </x:c>
    </x:row>
    <x:row r="2043">
      <x:c r="A2043" t="str">
        <x:v>Stage01</x:v>
      </x:c>
      <x:c r="B2043" t="str">
        <x:v>WAVE_49</x:v>
      </x:c>
      <x:c r="C2043" s="409" t="n">
        <x:v>486.14</x:v>
      </x:c>
      <x:c r="D2043" s="410" t="n">
        <x:v>56</x:v>
      </x:c>
      <x:c r="E2043" t="str">
        <x:v>TOP_06</x:v>
      </x:c>
      <x:c r="F2043" t="str">
        <x:v>GoblinRanged</x:v>
      </x:c>
      <x:c r="G2043" s="410" t="n">
        <x:v>42</x:v>
      </x:c>
    </x:row>
    <x:row r="2044">
      <x:c r="A2044" t="str">
        <x:v>Stage01</x:v>
      </x:c>
      <x:c r="B2044" t="str">
        <x:v>WAVE_49</x:v>
      </x:c>
      <x:c r="C2044" s="409" t="n">
        <x:v>486.23</x:v>
      </x:c>
      <x:c r="D2044" s="410" t="n">
        <x:v>57</x:v>
      </x:c>
      <x:c r="E2044" t="str">
        <x:v>RIGHT_07</x:v>
      </x:c>
      <x:c r="F2044" t="str">
        <x:v>GoblinMelee</x:v>
      </x:c>
      <x:c r="G2044" s="410" t="n">
        <x:v>42</x:v>
      </x:c>
    </x:row>
    <x:row r="2045">
      <x:c r="A2045" t="str">
        <x:v>Stage01</x:v>
      </x:c>
      <x:c r="B2045" t="str">
        <x:v>WAVE_49</x:v>
      </x:c>
      <x:c r="C2045" s="409" t="n">
        <x:v>486.33</x:v>
      </x:c>
      <x:c r="D2045" s="410" t="n">
        <x:v>58</x:v>
      </x:c>
      <x:c r="E2045" t="str">
        <x:v>BOTTOM_08</x:v>
      </x:c>
      <x:c r="F2045" t="str">
        <x:v>ShieldSkeleton</x:v>
      </x:c>
      <x:c r="G2045" s="410" t="n">
        <x:v>41</x:v>
      </x:c>
    </x:row>
    <x:row r="2046">
      <x:c r="A2046" t="str">
        <x:v>Stage01</x:v>
      </x:c>
      <x:c r="B2046" t="str">
        <x:v>WAVE_49</x:v>
      </x:c>
      <x:c r="C2046" s="409" t="n">
        <x:v>486.42</x:v>
      </x:c>
      <x:c r="D2046" s="410" t="n">
        <x:v>59</x:v>
      </x:c>
      <x:c r="E2046" t="str">
        <x:v>LEFT_01</x:v>
      </x:c>
      <x:c r="F2046" t="str">
        <x:v>GoblinMelee</x:v>
      </x:c>
      <x:c r="G2046" s="410" t="n">
        <x:v>42</x:v>
      </x:c>
    </x:row>
    <x:row r="2047">
      <x:c r="A2047" t="str">
        <x:v>Stage01</x:v>
      </x:c>
      <x:c r="B2047" t="str">
        <x:v>WAVE_49</x:v>
      </x:c>
      <x:c r="C2047" s="409" t="n">
        <x:v>486.52</x:v>
      </x:c>
      <x:c r="D2047" s="410" t="n">
        <x:v>60</x:v>
      </x:c>
      <x:c r="E2047" t="str">
        <x:v>TOP_03</x:v>
      </x:c>
      <x:c r="F2047" t="str">
        <x:v>GoblinRanged</x:v>
      </x:c>
      <x:c r="G2047" s="410" t="n">
        <x:v>41</x:v>
      </x:c>
    </x:row>
    <x:row r="2048">
      <x:c r="A2048" t="str">
        <x:v>Stage01</x:v>
      </x:c>
      <x:c r="B2048" t="str">
        <x:v>WAVE_49</x:v>
      </x:c>
      <x:c r="C2048" s="409" t="n">
        <x:v>486.61</x:v>
      </x:c>
      <x:c r="D2048" s="410" t="n">
        <x:v>61</x:v>
      </x:c>
      <x:c r="E2048" t="str">
        <x:v>RIGHT_04</x:v>
      </x:c>
      <x:c r="F2048" t="str">
        <x:v>GoblinMelee</x:v>
      </x:c>
      <x:c r="G2048" s="410" t="n">
        <x:v>42</x:v>
      </x:c>
    </x:row>
    <x:row r="2049">
      <x:c r="A2049" t="str">
        <x:v>Stage01</x:v>
      </x:c>
      <x:c r="B2049" t="str">
        <x:v>WAVE_49</x:v>
      </x:c>
      <x:c r="C2049" s="409" t="n">
        <x:v>486.7</x:v>
      </x:c>
      <x:c r="D2049" s="410" t="n">
        <x:v>62</x:v>
      </x:c>
      <x:c r="E2049" t="str">
        <x:v>BOTTOM_05</x:v>
      </x:c>
      <x:c r="F2049" t="str">
        <x:v>GoblinMelee</x:v>
      </x:c>
      <x:c r="G2049" s="410" t="n">
        <x:v>42</x:v>
      </x:c>
    </x:row>
    <x:row r="2050">
      <x:c r="A2050" t="str">
        <x:v>Stage01</x:v>
      </x:c>
      <x:c r="B2050" t="str">
        <x:v>WAVE_49</x:v>
      </x:c>
      <x:c r="C2050" s="409" t="n">
        <x:v>486.8</x:v>
      </x:c>
      <x:c r="D2050" s="410" t="n">
        <x:v>63</x:v>
      </x:c>
      <x:c r="E2050" t="str">
        <x:v>LEFT_06</x:v>
      </x:c>
      <x:c r="F2050" t="str">
        <x:v>GoblinRanged</x:v>
      </x:c>
      <x:c r="G2050" s="410" t="n">
        <x:v>41</x:v>
      </x:c>
    </x:row>
    <x:row r="2051">
      <x:c r="A2051" t="str">
        <x:v>Stage01</x:v>
      </x:c>
      <x:c r="B2051" t="str">
        <x:v>WAVE_49</x:v>
      </x:c>
      <x:c r="C2051" s="409" t="n">
        <x:v>486.89</x:v>
      </x:c>
      <x:c r="D2051" s="410" t="n">
        <x:v>64</x:v>
      </x:c>
      <x:c r="E2051" t="str">
        <x:v>TOP_08</x:v>
      </x:c>
      <x:c r="F2051" t="str">
        <x:v>GoblinMelee</x:v>
      </x:c>
      <x:c r="G2051" s="410" t="n">
        <x:v>42</x:v>
      </x:c>
    </x:row>
    <x:row r="2052">
      <x:c r="A2052" t="str">
        <x:v>Stage01</x:v>
      </x:c>
      <x:c r="B2052" t="str">
        <x:v>WAVE_49</x:v>
      </x:c>
      <x:c r="C2052" s="409" t="n">
        <x:v>486.98</x:v>
      </x:c>
      <x:c r="D2052" s="410" t="n">
        <x:v>65</x:v>
      </x:c>
      <x:c r="E2052" t="str">
        <x:v>RIGHT_01</x:v>
      </x:c>
      <x:c r="F2052" t="str">
        <x:v>GoblinMelee</x:v>
      </x:c>
      <x:c r="G2052" s="410" t="n">
        <x:v>42</x:v>
      </x:c>
    </x:row>
    <x:row r="2053">
      <x:c r="A2053" t="str">
        <x:v>Stage01</x:v>
      </x:c>
      <x:c r="B2053" t="str">
        <x:v>WAVE_49</x:v>
      </x:c>
      <x:c r="C2053" s="409" t="n">
        <x:v>487.08</x:v>
      </x:c>
      <x:c r="D2053" s="410" t="n">
        <x:v>66</x:v>
      </x:c>
      <x:c r="E2053" t="str">
        <x:v>BOTTOM_02</x:v>
      </x:c>
      <x:c r="F2053" t="str">
        <x:v>ShieldSkeleton</x:v>
      </x:c>
      <x:c r="G2053" s="410" t="n">
        <x:v>41</x:v>
      </x:c>
    </x:row>
    <x:row r="2054">
      <x:c r="A2054" t="str">
        <x:v>Stage01</x:v>
      </x:c>
      <x:c r="B2054" t="str">
        <x:v>WAVE_49</x:v>
      </x:c>
      <x:c r="C2054" s="409" t="n">
        <x:v>487.17</x:v>
      </x:c>
      <x:c r="D2054" s="410" t="n">
        <x:v>67</x:v>
      </x:c>
      <x:c r="E2054" t="str">
        <x:v>LEFT_03</x:v>
      </x:c>
      <x:c r="F2054" t="str">
        <x:v>GoblinRanged</x:v>
      </x:c>
      <x:c r="G2054" s="410" t="n">
        <x:v>42</x:v>
      </x:c>
    </x:row>
    <x:row r="2055">
      <x:c r="A2055" t="str">
        <x:v>Stage01</x:v>
      </x:c>
      <x:c r="B2055" t="str">
        <x:v>WAVE_49</x:v>
      </x:c>
      <x:c r="C2055" s="409" t="n">
        <x:v>487.26</x:v>
      </x:c>
      <x:c r="D2055" s="410" t="n">
        <x:v>68</x:v>
      </x:c>
      <x:c r="E2055" t="str">
        <x:v>TOP_05</x:v>
      </x:c>
      <x:c r="F2055" t="str">
        <x:v>FlyingEye</x:v>
      </x:c>
      <x:c r="G2055" s="410" t="n">
        <x:v>41</x:v>
      </x:c>
    </x:row>
    <x:row r="2056">
      <x:c r="A2056" t="str">
        <x:v>Stage01</x:v>
      </x:c>
      <x:c r="B2056" t="str">
        <x:v>WAVE_49</x:v>
      </x:c>
      <x:c r="C2056" s="409" t="n">
        <x:v>487.36</x:v>
      </x:c>
      <x:c r="D2056" s="410" t="n">
        <x:v>69</x:v>
      </x:c>
      <x:c r="E2056" t="str">
        <x:v>RIGHT_06</x:v>
      </x:c>
      <x:c r="F2056" t="str">
        <x:v>GoblinMelee</x:v>
      </x:c>
      <x:c r="G2056" s="410" t="n">
        <x:v>42</x:v>
      </x:c>
    </x:row>
    <x:row r="2057">
      <x:c r="A2057" t="str">
        <x:v>Stage01</x:v>
      </x:c>
      <x:c r="B2057" t="str">
        <x:v>WAVE_49</x:v>
      </x:c>
      <x:c r="C2057" s="409" t="n">
        <x:v>487.45</x:v>
      </x:c>
      <x:c r="D2057" s="410" t="n">
        <x:v>70</x:v>
      </x:c>
      <x:c r="E2057" t="str">
        <x:v>BOTTOM_07</x:v>
      </x:c>
      <x:c r="F2057" t="str">
        <x:v>GoblinRanged</x:v>
      </x:c>
      <x:c r="G2057" s="410" t="n">
        <x:v>42</x:v>
      </x:c>
    </x:row>
    <x:row r="2058">
      <x:c r="A2058" t="str">
        <x:v>Stage01</x:v>
      </x:c>
      <x:c r="B2058" t="str">
        <x:v>WAVE_49</x:v>
      </x:c>
      <x:c r="C2058" s="409" t="n">
        <x:v>487.54</x:v>
      </x:c>
      <x:c r="D2058" s="410" t="n">
        <x:v>71</x:v>
      </x:c>
      <x:c r="E2058" t="str">
        <x:v>LEFT_08</x:v>
      </x:c>
      <x:c r="F2058" t="str">
        <x:v>GoblinMelee</x:v>
      </x:c>
      <x:c r="G2058" s="410" t="n">
        <x:v>41</x:v>
      </x:c>
    </x:row>
    <x:row r="2059">
      <x:c r="A2059" t="str">
        <x:v>Stage01</x:v>
      </x:c>
      <x:c r="B2059" t="str">
        <x:v>WAVE_49</x:v>
      </x:c>
      <x:c r="C2059" s="409" t="n">
        <x:v>487.64</x:v>
      </x:c>
      <x:c r="D2059" s="410" t="n">
        <x:v>72</x:v>
      </x:c>
      <x:c r="E2059" t="str">
        <x:v>TOP_02</x:v>
      </x:c>
      <x:c r="F2059" t="str">
        <x:v>GoblinMelee</x:v>
      </x:c>
      <x:c r="G2059" s="410" t="n">
        <x:v>42</x:v>
      </x:c>
    </x:row>
    <x:row r="2060">
      <x:c r="A2060" t="str">
        <x:v>Stage01</x:v>
      </x:c>
      <x:c r="B2060" t="str">
        <x:v>WAVE_49</x:v>
      </x:c>
      <x:c r="C2060" s="409" t="n">
        <x:v>487.73</x:v>
      </x:c>
      <x:c r="D2060" s="410" t="n">
        <x:v>73</x:v>
      </x:c>
      <x:c r="E2060" t="str">
        <x:v>RIGHT_03</x:v>
      </x:c>
      <x:c r="F2060" t="str">
        <x:v>ShieldSkeleton</x:v>
      </x:c>
      <x:c r="G2060" s="410" t="n">
        <x:v>42</x:v>
      </x:c>
    </x:row>
    <x:row r="2061">
      <x:c r="A2061" t="str">
        <x:v>Stage01</x:v>
      </x:c>
      <x:c r="B2061" t="str">
        <x:v>WAVE_49</x:v>
      </x:c>
      <x:c r="C2061" s="409" t="n">
        <x:v>487.82</x:v>
      </x:c>
      <x:c r="D2061" s="410" t="n">
        <x:v>74</x:v>
      </x:c>
      <x:c r="E2061" t="str">
        <x:v>BOTTOM_04</x:v>
      </x:c>
      <x:c r="F2061" t="str">
        <x:v>GoblinMelee</x:v>
      </x:c>
      <x:c r="G2061" s="410" t="n">
        <x:v>41</x:v>
      </x:c>
    </x:row>
    <x:row r="2062">
      <x:c r="A2062" t="str">
        <x:v>Stage01</x:v>
      </x:c>
      <x:c r="B2062" t="str">
        <x:v>WAVE_49</x:v>
      </x:c>
      <x:c r="C2062" s="409" t="n">
        <x:v>487.92</x:v>
      </x:c>
      <x:c r="D2062" s="410" t="n">
        <x:v>75</x:v>
      </x:c>
      <x:c r="E2062" t="str">
        <x:v>LEFT_05</x:v>
      </x:c>
      <x:c r="F2062" t="str">
        <x:v>GoblinRanged</x:v>
      </x:c>
      <x:c r="G2062" s="410" t="n">
        <x:v>42</x:v>
      </x:c>
    </x:row>
    <x:row r="2063">
      <x:c r="A2063" t="str">
        <x:v>Stage01</x:v>
      </x:c>
      <x:c r="B2063" t="str">
        <x:v>WAVE_49</x:v>
      </x:c>
      <x:c r="C2063" s="409" t="n">
        <x:v>488.01</x:v>
      </x:c>
      <x:c r="D2063" s="410" t="n">
        <x:v>76</x:v>
      </x:c>
      <x:c r="E2063" t="str">
        <x:v>TOP_07</x:v>
      </x:c>
      <x:c r="F2063" t="str">
        <x:v>GoblinMelee</x:v>
      </x:c>
      <x:c r="G2063" s="410" t="n">
        <x:v>41</x:v>
      </x:c>
    </x:row>
    <x:row r="2064">
      <x:c r="A2064" t="str">
        <x:v>Stage01</x:v>
      </x:c>
      <x:c r="B2064" t="str">
        <x:v>WAVE_49</x:v>
      </x:c>
      <x:c r="C2064" s="409" t="n">
        <x:v>488.1</x:v>
      </x:c>
      <x:c r="D2064" s="410" t="n">
        <x:v>77</x:v>
      </x:c>
      <x:c r="E2064" t="str">
        <x:v>RIGHT_08</x:v>
      </x:c>
      <x:c r="F2064" t="str">
        <x:v>GoblinMelee</x:v>
      </x:c>
      <x:c r="G2064" s="410" t="n">
        <x:v>42</x:v>
      </x:c>
    </x:row>
    <x:row r="2065">
      <x:c r="A2065" t="str">
        <x:v>Stage01</x:v>
      </x:c>
      <x:c r="B2065" t="str">
        <x:v>WAVE_49</x:v>
      </x:c>
      <x:c r="C2065" s="409" t="n">
        <x:v>488.2</x:v>
      </x:c>
      <x:c r="D2065" s="410" t="n">
        <x:v>78</x:v>
      </x:c>
      <x:c r="E2065" t="str">
        <x:v>BOTTOM_01</x:v>
      </x:c>
      <x:c r="F2065" t="str">
        <x:v>GoblinRanged</x:v>
      </x:c>
      <x:c r="G2065" s="410" t="n">
        <x:v>42</x:v>
      </x:c>
    </x:row>
    <x:row r="2066">
      <x:c r="A2066" t="str">
        <x:v>Stage01</x:v>
      </x:c>
      <x:c r="B2066" t="str">
        <x:v>WAVE_49</x:v>
      </x:c>
      <x:c r="C2066" s="409" t="n">
        <x:v>488.29</x:v>
      </x:c>
      <x:c r="D2066" s="410" t="n">
        <x:v>79</x:v>
      </x:c>
      <x:c r="E2066" t="str">
        <x:v>LEFT_02</x:v>
      </x:c>
      <x:c r="F2066" t="str">
        <x:v>GoblinMelee</x:v>
      </x:c>
      <x:c r="G2066" s="410" t="n">
        <x:v>41</x:v>
      </x:c>
    </x:row>
    <x:row r="2067">
      <x:c r="A2067" t="str">
        <x:v>Stage01</x:v>
      </x:c>
      <x:c r="B2067" t="str">
        <x:v>WAVE_49</x:v>
      </x:c>
      <x:c r="C2067" s="409" t="n">
        <x:v>488.38</x:v>
      </x:c>
      <x:c r="D2067" s="410" t="n">
        <x:v>80</x:v>
      </x:c>
      <x:c r="E2067" t="str">
        <x:v>TOP_04</x:v>
      </x:c>
      <x:c r="F2067" t="str">
        <x:v>GoblinRanged</x:v>
      </x:c>
      <x:c r="G2067" s="410" t="n">
        <x:v>42</x:v>
      </x:c>
    </x:row>
    <x:row r="2068">
      <x:c r="A2068" t="str">
        <x:v>Stage01</x:v>
      </x:c>
      <x:c r="B2068" t="str">
        <x:v>WAVE_49</x:v>
      </x:c>
      <x:c r="C2068" s="409" t="n">
        <x:v>488.48</x:v>
      </x:c>
      <x:c r="D2068" s="410" t="n">
        <x:v>81</x:v>
      </x:c>
      <x:c r="E2068" t="str">
        <x:v>RIGHT_05</x:v>
      </x:c>
      <x:c r="F2068" t="str">
        <x:v>FlyingEye</x:v>
      </x:c>
      <x:c r="G2068" s="410" t="n">
        <x:v>42</x:v>
      </x:c>
    </x:row>
    <x:row r="2069">
      <x:c r="A2069" t="str">
        <x:v>Stage01</x:v>
      </x:c>
      <x:c r="B2069" t="str">
        <x:v>WAVE_49</x:v>
      </x:c>
      <x:c r="C2069" s="409" t="n">
        <x:v>488.57</x:v>
      </x:c>
      <x:c r="D2069" s="410" t="n">
        <x:v>82</x:v>
      </x:c>
      <x:c r="E2069" t="str">
        <x:v>BOTTOM_06</x:v>
      </x:c>
      <x:c r="F2069" t="str">
        <x:v>ShieldSkeleton</x:v>
      </x:c>
      <x:c r="G2069" s="410" t="n">
        <x:v>41</x:v>
      </x:c>
    </x:row>
    <x:row r="2070">
      <x:c r="A2070" t="str">
        <x:v>Stage01</x:v>
      </x:c>
      <x:c r="B2070" t="str">
        <x:v>WAVE_49</x:v>
      </x:c>
      <x:c r="C2070" s="409" t="n">
        <x:v>488.67</x:v>
      </x:c>
      <x:c r="D2070" s="410" t="n">
        <x:v>83</x:v>
      </x:c>
      <x:c r="E2070" t="str">
        <x:v>LEFT_07</x:v>
      </x:c>
      <x:c r="F2070" t="str">
        <x:v>GoblinMelee</x:v>
      </x:c>
      <x:c r="G2070" s="410" t="n">
        <x:v>42</x:v>
      </x:c>
    </x:row>
    <x:row r="2071">
      <x:c r="A2071" t="str">
        <x:v>Stage01</x:v>
      </x:c>
      <x:c r="B2071" t="str">
        <x:v>WAVE_49</x:v>
      </x:c>
      <x:c r="C2071" s="409" t="n">
        <x:v>488.76</x:v>
      </x:c>
      <x:c r="D2071" s="410" t="n">
        <x:v>84</x:v>
      </x:c>
      <x:c r="E2071" t="str">
        <x:v>TOP_01</x:v>
      </x:c>
      <x:c r="F2071" t="str">
        <x:v>GoblinMelee</x:v>
      </x:c>
      <x:c r="G2071" s="410" t="n">
        <x:v>41</x:v>
      </x:c>
    </x:row>
    <x:row r="2072">
      <x:c r="A2072" t="str">
        <x:v>Stage01</x:v>
      </x:c>
      <x:c r="B2072" t="str">
        <x:v>WAVE_49</x:v>
      </x:c>
      <x:c r="C2072" s="409" t="n">
        <x:v>488.85</x:v>
      </x:c>
      <x:c r="D2072" s="410" t="n">
        <x:v>85</x:v>
      </x:c>
      <x:c r="E2072" t="str">
        <x:v>RIGHT_02</x:v>
      </x:c>
      <x:c r="F2072" t="str">
        <x:v>GoblinRanged</x:v>
      </x:c>
      <x:c r="G2072" s="410" t="n">
        <x:v>42</x:v>
      </x:c>
    </x:row>
    <x:row r="2073">
      <x:c r="A2073" t="str">
        <x:v>Stage01</x:v>
      </x:c>
      <x:c r="B2073" t="str">
        <x:v>WAVE_49</x:v>
      </x:c>
      <x:c r="C2073" s="409" t="n">
        <x:v>488.95</x:v>
      </x:c>
      <x:c r="D2073" s="410" t="n">
        <x:v>86</x:v>
      </x:c>
      <x:c r="E2073" t="str">
        <x:v>BOTTOM_03</x:v>
      </x:c>
      <x:c r="F2073" t="str">
        <x:v>GoblinMelee</x:v>
      </x:c>
      <x:c r="G2073" s="410" t="n">
        <x:v>42</x:v>
      </x:c>
    </x:row>
    <x:row r="2074">
      <x:c r="A2074" t="str">
        <x:v>Stage01</x:v>
      </x:c>
      <x:c r="B2074" t="str">
        <x:v>WAVE_49</x:v>
      </x:c>
      <x:c r="C2074" s="409" t="n">
        <x:v>489.04</x:v>
      </x:c>
      <x:c r="D2074" s="410" t="n">
        <x:v>87</x:v>
      </x:c>
      <x:c r="E2074" t="str">
        <x:v>LEFT_04</x:v>
      </x:c>
      <x:c r="F2074" t="str">
        <x:v>GoblinMelee</x:v>
      </x:c>
      <x:c r="G2074" s="410" t="n">
        <x:v>41</x:v>
      </x:c>
    </x:row>
    <x:row r="2075">
      <x:c r="A2075" t="str">
        <x:v>Stage01</x:v>
      </x:c>
      <x:c r="B2075" t="str">
        <x:v>WAVE_49</x:v>
      </x:c>
      <x:c r="C2075" s="409" t="n">
        <x:v>489.13</x:v>
      </x:c>
      <x:c r="D2075" s="410" t="n">
        <x:v>88</x:v>
      </x:c>
      <x:c r="E2075" t="str">
        <x:v>TOP_06</x:v>
      </x:c>
      <x:c r="F2075" t="str">
        <x:v>GoblinRanged</x:v>
      </x:c>
      <x:c r="G2075" s="410" t="n">
        <x:v>42</x:v>
      </x:c>
    </x:row>
    <x:row r="2076">
      <x:c r="A2076" t="str">
        <x:v>Stage01</x:v>
      </x:c>
      <x:c r="B2076" t="str">
        <x:v>WAVE_49</x:v>
      </x:c>
      <x:c r="C2076" s="409" t="n">
        <x:v>489.23</x:v>
      </x:c>
      <x:c r="D2076" s="410" t="n">
        <x:v>89</x:v>
      </x:c>
      <x:c r="E2076" t="str">
        <x:v>RIGHT_07</x:v>
      </x:c>
      <x:c r="F2076" t="str">
        <x:v>GoblinMelee</x:v>
      </x:c>
      <x:c r="G2076" s="410" t="n">
        <x:v>42</x:v>
      </x:c>
    </x:row>
    <x:row r="2077">
      <x:c r="A2077" t="str">
        <x:v>Stage01</x:v>
      </x:c>
      <x:c r="B2077" t="str">
        <x:v>WAVE_49</x:v>
      </x:c>
      <x:c r="C2077" s="409" t="n">
        <x:v>489.32</x:v>
      </x:c>
      <x:c r="D2077" s="410" t="n">
        <x:v>90</x:v>
      </x:c>
      <x:c r="E2077" t="str">
        <x:v>BOTTOM_08</x:v>
      </x:c>
      <x:c r="F2077" t="str">
        <x:v>ShieldSkeleton</x:v>
      </x:c>
      <x:c r="G2077" s="410" t="n">
        <x:v>41</x:v>
      </x:c>
    </x:row>
    <x:row r="2078">
      <x:c r="A2078" t="str">
        <x:v>Stage01</x:v>
      </x:c>
      <x:c r="B2078" t="str">
        <x:v>WAVE_49</x:v>
      </x:c>
      <x:c r="C2078" s="409" t="n">
        <x:v>489.41</x:v>
      </x:c>
      <x:c r="D2078" s="410" t="n">
        <x:v>91</x:v>
      </x:c>
      <x:c r="E2078" t="str">
        <x:v>LEFT_01</x:v>
      </x:c>
      <x:c r="F2078" t="str">
        <x:v>GoblinMelee</x:v>
      </x:c>
      <x:c r="G2078" s="410" t="n">
        <x:v>42</x:v>
      </x:c>
    </x:row>
    <x:row r="2079">
      <x:c r="A2079" t="str">
        <x:v>Stage01</x:v>
      </x:c>
      <x:c r="B2079" t="str">
        <x:v>WAVE_49</x:v>
      </x:c>
      <x:c r="C2079" s="409" t="n">
        <x:v>489.51</x:v>
      </x:c>
      <x:c r="D2079" s="410" t="n">
        <x:v>92</x:v>
      </x:c>
      <x:c r="E2079" t="str">
        <x:v>TOP_03</x:v>
      </x:c>
      <x:c r="F2079" t="str">
        <x:v>GoblinRanged</x:v>
      </x:c>
      <x:c r="G2079" s="410" t="n">
        <x:v>41</x:v>
      </x:c>
    </x:row>
    <x:row r="2080">
      <x:c r="A2080" t="str">
        <x:v>Stage01</x:v>
      </x:c>
      <x:c r="B2080" t="str">
        <x:v>WAVE_49</x:v>
      </x:c>
      <x:c r="C2080" s="409" t="n">
        <x:v>489.6</x:v>
      </x:c>
      <x:c r="D2080" s="410" t="n">
        <x:v>93</x:v>
      </x:c>
      <x:c r="E2080" t="str">
        <x:v>RIGHT_04</x:v>
      </x:c>
      <x:c r="F2080" t="str">
        <x:v>GoblinMelee</x:v>
      </x:c>
      <x:c r="G2080" s="410" t="n">
        <x:v>42</x:v>
      </x:c>
    </x:row>
    <x:row r="2081">
      <x:c r="A2081" t="str">
        <x:v>Stage01</x:v>
      </x:c>
      <x:c r="B2081" t="str">
        <x:v>WAVE_50</x:v>
      </x:c>
      <x:c r="C2081" s="409" t="n">
        <x:v>491</x:v>
      </x:c>
      <x:c r="D2081" s="410" t="n">
        <x:v>1</x:v>
      </x:c>
      <x:c r="E2081" t="str">
        <x:v>RIGHT_07</x:v>
      </x:c>
      <x:c r="F2081" t="str">
        <x:v>GoblinMelee</x:v>
      </x:c>
      <x:c r="G2081" s="410" t="n">
        <x:v>43</x:v>
      </x:c>
    </x:row>
    <x:row r="2082">
      <x:c r="A2082" t="str">
        <x:v>Stage01</x:v>
      </x:c>
      <x:c r="B2082" t="str">
        <x:v>WAVE_50</x:v>
      </x:c>
      <x:c r="C2082" s="409" t="n">
        <x:v>491.09</x:v>
      </x:c>
      <x:c r="D2082" s="410" t="n">
        <x:v>2</x:v>
      </x:c>
      <x:c r="E2082" t="str">
        <x:v>BOTTOM_08</x:v>
      </x:c>
      <x:c r="F2082" t="str">
        <x:v>GoblinRanged</x:v>
      </x:c>
      <x:c r="G2082" s="410" t="n">
        <x:v>42</x:v>
      </x:c>
    </x:row>
    <x:row r="2083">
      <x:c r="A2083" t="str">
        <x:v>Stage01</x:v>
      </x:c>
      <x:c r="B2083" t="str">
        <x:v>WAVE_50</x:v>
      </x:c>
      <x:c r="C2083" s="409" t="n">
        <x:v>491.18</x:v>
      </x:c>
      <x:c r="D2083" s="410" t="n">
        <x:v>3</x:v>
      </x:c>
      <x:c r="E2083" t="str">
        <x:v>LEFT_01</x:v>
      </x:c>
      <x:c r="F2083" t="str">
        <x:v>GoblinMelee</x:v>
      </x:c>
      <x:c r="G2083" s="410" t="n">
        <x:v>43</x:v>
      </x:c>
    </x:row>
    <x:row r="2084">
      <x:c r="A2084" t="str">
        <x:v>Stage01</x:v>
      </x:c>
      <x:c r="B2084" t="str">
        <x:v>WAVE_50</x:v>
      </x:c>
      <x:c r="C2084" s="409" t="n">
        <x:v>491.27</x:v>
      </x:c>
      <x:c r="D2084" s="410" t="n">
        <x:v>4</x:v>
      </x:c>
      <x:c r="E2084" t="str">
        <x:v>TOP_03</x:v>
      </x:c>
      <x:c r="F2084" t="str">
        <x:v>ShieldSkeleton</x:v>
      </x:c>
      <x:c r="G2084" s="410" t="n">
        <x:v>43</x:v>
      </x:c>
    </x:row>
    <x:row r="2085">
      <x:c r="A2085" t="str">
        <x:v>Stage01</x:v>
      </x:c>
      <x:c r="B2085" t="str">
        <x:v>WAVE_50</x:v>
      </x:c>
      <x:c r="C2085" s="409" t="n">
        <x:v>491.37</x:v>
      </x:c>
      <x:c r="D2085" s="410" t="n">
        <x:v>5</x:v>
      </x:c>
      <x:c r="E2085" t="str">
        <x:v>RIGHT_04</x:v>
      </x:c>
      <x:c r="F2085" t="str">
        <x:v>GoblinMelee</x:v>
      </x:c>
      <x:c r="G2085" s="410" t="n">
        <x:v>42</x:v>
      </x:c>
    </x:row>
    <x:row r="2086">
      <x:c r="A2086" t="str">
        <x:v>Stage01</x:v>
      </x:c>
      <x:c r="B2086" t="str">
        <x:v>WAVE_50</x:v>
      </x:c>
      <x:c r="C2086" s="409" t="n">
        <x:v>491.46</x:v>
      </x:c>
      <x:c r="D2086" s="410" t="n">
        <x:v>6</x:v>
      </x:c>
      <x:c r="E2086" t="str">
        <x:v>BOTTOM_05</x:v>
      </x:c>
      <x:c r="F2086" t="str">
        <x:v>GoblinRanged</x:v>
      </x:c>
      <x:c r="G2086" s="410" t="n">
        <x:v>43</x:v>
      </x:c>
    </x:row>
    <x:row r="2087">
      <x:c r="A2087" t="str">
        <x:v>Stage01</x:v>
      </x:c>
      <x:c r="B2087" t="str">
        <x:v>WAVE_50</x:v>
      </x:c>
      <x:c r="C2087" s="409" t="n">
        <x:v>491.55</x:v>
      </x:c>
      <x:c r="D2087" s="410" t="n">
        <x:v>7</x:v>
      </x:c>
      <x:c r="E2087" t="str">
        <x:v>LEFT_06</x:v>
      </x:c>
      <x:c r="F2087" t="str">
        <x:v>GoblinMelee</x:v>
      </x:c>
      <x:c r="G2087" s="410" t="n">
        <x:v>43</x:v>
      </x:c>
    </x:row>
    <x:row r="2088">
      <x:c r="A2088" t="str">
        <x:v>Stage01</x:v>
      </x:c>
      <x:c r="B2088" t="str">
        <x:v>WAVE_50</x:v>
      </x:c>
      <x:c r="C2088" s="409" t="n">
        <x:v>491.64</x:v>
      </x:c>
      <x:c r="D2088" s="410" t="n">
        <x:v>8</x:v>
      </x:c>
      <x:c r="E2088" t="str">
        <x:v>TOP_08</x:v>
      </x:c>
      <x:c r="F2088" t="str">
        <x:v>GoblinMelee</x:v>
      </x:c>
      <x:c r="G2088" s="410" t="n">
        <x:v>42</x:v>
      </x:c>
    </x:row>
    <x:row r="2089">
      <x:c r="A2089" t="str">
        <x:v>Stage01</x:v>
      </x:c>
      <x:c r="B2089" t="str">
        <x:v>WAVE_50</x:v>
      </x:c>
      <x:c r="C2089" s="409" t="n">
        <x:v>491.73</x:v>
      </x:c>
      <x:c r="D2089" s="410" t="n">
        <x:v>9</x:v>
      </x:c>
      <x:c r="E2089" t="str">
        <x:v>RIGHT_01</x:v>
      </x:c>
      <x:c r="F2089" t="str">
        <x:v>GoblinRanged</x:v>
      </x:c>
      <x:c r="G2089" s="410" t="n">
        <x:v>43</x:v>
      </x:c>
    </x:row>
    <x:row r="2090">
      <x:c r="A2090" t="str">
        <x:v>Stage01</x:v>
      </x:c>
      <x:c r="B2090" t="str">
        <x:v>WAVE_50</x:v>
      </x:c>
      <x:c r="C2090" s="409" t="n">
        <x:v>491.82</x:v>
      </x:c>
      <x:c r="D2090" s="410" t="n">
        <x:v>10</x:v>
      </x:c>
      <x:c r="E2090" t="str">
        <x:v>BOTTOM_02</x:v>
      </x:c>
      <x:c r="F2090" t="str">
        <x:v>GoblinMelee</x:v>
      </x:c>
      <x:c r="G2090" s="410" t="n">
        <x:v>43</x:v>
      </x:c>
    </x:row>
    <x:row r="2091">
      <x:c r="A2091" t="str">
        <x:v>Stage01</x:v>
      </x:c>
      <x:c r="B2091" t="str">
        <x:v>WAVE_50</x:v>
      </x:c>
      <x:c r="C2091" s="409" t="n">
        <x:v>491.91</x:v>
      </x:c>
      <x:c r="D2091" s="410" t="n">
        <x:v>11</x:v>
      </x:c>
      <x:c r="E2091" t="str">
        <x:v>LEFT_03</x:v>
      </x:c>
      <x:c r="F2091" t="str">
        <x:v>ShieldSkeleton</x:v>
      </x:c>
      <x:c r="G2091" s="410" t="n">
        <x:v>42</x:v>
      </x:c>
    </x:row>
    <x:row r="2092">
      <x:c r="A2092" t="str">
        <x:v>Stage01</x:v>
      </x:c>
      <x:c r="B2092" t="str">
        <x:v>WAVE_50</x:v>
      </x:c>
      <x:c r="C2092" s="409" t="n">
        <x:v>492.01</x:v>
      </x:c>
      <x:c r="D2092" s="410" t="n">
        <x:v>12</x:v>
      </x:c>
      <x:c r="E2092" t="str">
        <x:v>TOP_05</x:v>
      </x:c>
      <x:c r="F2092" t="str">
        <x:v>GoblinMelee</x:v>
      </x:c>
      <x:c r="G2092" s="410" t="n">
        <x:v>43</x:v>
      </x:c>
    </x:row>
    <x:row r="2093">
      <x:c r="A2093" t="str">
        <x:v>Stage01</x:v>
      </x:c>
      <x:c r="B2093" t="str">
        <x:v>WAVE_50</x:v>
      </x:c>
      <x:c r="C2093" s="409" t="n">
        <x:v>492.1</x:v>
      </x:c>
      <x:c r="D2093" s="410" t="n">
        <x:v>13</x:v>
      </x:c>
      <x:c r="E2093" t="str">
        <x:v>RIGHT_06</x:v>
      </x:c>
      <x:c r="F2093" t="str">
        <x:v>GoblinRanged</x:v>
      </x:c>
      <x:c r="G2093" s="410" t="n">
        <x:v>43</x:v>
      </x:c>
    </x:row>
    <x:row r="2094">
      <x:c r="A2094" t="str">
        <x:v>Stage01</x:v>
      </x:c>
      <x:c r="B2094" t="str">
        <x:v>WAVE_50</x:v>
      </x:c>
      <x:c r="C2094" s="409" t="n">
        <x:v>492.19</x:v>
      </x:c>
      <x:c r="D2094" s="410" t="n">
        <x:v>14</x:v>
      </x:c>
      <x:c r="E2094" t="str">
        <x:v>BOTTOM_07</x:v>
      </x:c>
      <x:c r="F2094" t="str">
        <x:v>FlyingEye</x:v>
      </x:c>
      <x:c r="G2094" s="410" t="n">
        <x:v>42</x:v>
      </x:c>
    </x:row>
    <x:row r="2095">
      <x:c r="A2095" t="str">
        <x:v>Stage01</x:v>
      </x:c>
      <x:c r="B2095" t="str">
        <x:v>WAVE_50</x:v>
      </x:c>
      <x:c r="C2095" s="409" t="n">
        <x:v>492.28</x:v>
      </x:c>
      <x:c r="D2095" s="410" t="n">
        <x:v>15</x:v>
      </x:c>
      <x:c r="E2095" t="str">
        <x:v>LEFT_08</x:v>
      </x:c>
      <x:c r="F2095" t="str">
        <x:v>GoblinMelee</x:v>
      </x:c>
      <x:c r="G2095" s="410" t="n">
        <x:v>43</x:v>
      </x:c>
    </x:row>
    <x:row r="2096">
      <x:c r="A2096" t="str">
        <x:v>Stage01</x:v>
      </x:c>
      <x:c r="B2096" t="str">
        <x:v>WAVE_50</x:v>
      </x:c>
      <x:c r="C2096" s="409" t="n">
        <x:v>492.37</x:v>
      </x:c>
      <x:c r="D2096" s="410" t="n">
        <x:v>16</x:v>
      </x:c>
      <x:c r="E2096" t="str">
        <x:v>TOP_02</x:v>
      </x:c>
      <x:c r="F2096" t="str">
        <x:v>GoblinRanged</x:v>
      </x:c>
      <x:c r="G2096" s="410" t="n">
        <x:v>43</x:v>
      </x:c>
    </x:row>
    <x:row r="2097">
      <x:c r="A2097" t="str">
        <x:v>Stage01</x:v>
      </x:c>
      <x:c r="B2097" t="str">
        <x:v>WAVE_50</x:v>
      </x:c>
      <x:c r="C2097" s="409" t="n">
        <x:v>492.46</x:v>
      </x:c>
      <x:c r="D2097" s="410" t="n">
        <x:v>17</x:v>
      </x:c>
      <x:c r="E2097" t="str">
        <x:v>RIGHT_03</x:v>
      </x:c>
      <x:c r="F2097" t="str">
        <x:v>GoblinMelee</x:v>
      </x:c>
      <x:c r="G2097" s="410" t="n">
        <x:v>42</x:v>
      </x:c>
    </x:row>
    <x:row r="2098">
      <x:c r="A2098" t="str">
        <x:v>Stage01</x:v>
      </x:c>
      <x:c r="B2098" t="str">
        <x:v>WAVE_50</x:v>
      </x:c>
      <x:c r="C2098" s="409" t="n">
        <x:v>492.56</x:v>
      </x:c>
      <x:c r="D2098" s="410" t="n">
        <x:v>18</x:v>
      </x:c>
      <x:c r="E2098" t="str">
        <x:v>BOTTOM_04</x:v>
      </x:c>
      <x:c r="F2098" t="str">
        <x:v>ShieldSkeleton</x:v>
      </x:c>
      <x:c r="G2098" s="410" t="n">
        <x:v>43</x:v>
      </x:c>
    </x:row>
    <x:row r="2099">
      <x:c r="A2099" t="str">
        <x:v>Stage01</x:v>
      </x:c>
      <x:c r="B2099" t="str">
        <x:v>WAVE_50</x:v>
      </x:c>
      <x:c r="C2099" s="409" t="n">
        <x:v>492.65</x:v>
      </x:c>
      <x:c r="D2099" s="410" t="n">
        <x:v>19</x:v>
      </x:c>
      <x:c r="E2099" t="str">
        <x:v>LEFT_05</x:v>
      </x:c>
      <x:c r="F2099" t="str">
        <x:v>GoblinMelee</x:v>
      </x:c>
      <x:c r="G2099" s="410" t="n">
        <x:v>43</x:v>
      </x:c>
    </x:row>
    <x:row r="2100">
      <x:c r="A2100" t="str">
        <x:v>Stage01</x:v>
      </x:c>
      <x:c r="B2100" t="str">
        <x:v>WAVE_50</x:v>
      </x:c>
      <x:c r="C2100" s="409" t="n">
        <x:v>492.74</x:v>
      </x:c>
      <x:c r="D2100" s="410" t="n">
        <x:v>20</x:v>
      </x:c>
      <x:c r="E2100" t="str">
        <x:v>TOP_07</x:v>
      </x:c>
      <x:c r="F2100" t="str">
        <x:v>GoblinRanged</x:v>
      </x:c>
      <x:c r="G2100" s="410" t="n">
        <x:v>42</x:v>
      </x:c>
    </x:row>
    <x:row r="2101">
      <x:c r="A2101" t="str">
        <x:v>Stage01</x:v>
      </x:c>
      <x:c r="B2101" t="str">
        <x:v>WAVE_50</x:v>
      </x:c>
      <x:c r="C2101" s="409" t="n">
        <x:v>492.83</x:v>
      </x:c>
      <x:c r="D2101" s="410" t="n">
        <x:v>21</x:v>
      </x:c>
      <x:c r="E2101" t="str">
        <x:v>RIGHT_08</x:v>
      </x:c>
      <x:c r="F2101" t="str">
        <x:v>GoblinMelee</x:v>
      </x:c>
      <x:c r="G2101" s="410" t="n">
        <x:v>43</x:v>
      </x:c>
    </x:row>
    <x:row r="2102">
      <x:c r="A2102" t="str">
        <x:v>Stage01</x:v>
      </x:c>
      <x:c r="B2102" t="str">
        <x:v>WAVE_50</x:v>
      </x:c>
      <x:c r="C2102" s="409" t="n">
        <x:v>492.92</x:v>
      </x:c>
      <x:c r="D2102" s="410" t="n">
        <x:v>22</x:v>
      </x:c>
      <x:c r="E2102" t="str">
        <x:v>BOTTOM_01</x:v>
      </x:c>
      <x:c r="F2102" t="str">
        <x:v>GoblinMelee</x:v>
      </x:c>
      <x:c r="G2102" s="410" t="n">
        <x:v>43</x:v>
      </x:c>
    </x:row>
    <x:row r="2103">
      <x:c r="A2103" t="str">
        <x:v>Stage01</x:v>
      </x:c>
      <x:c r="B2103" t="str">
        <x:v>WAVE_50</x:v>
      </x:c>
      <x:c r="C2103" s="409" t="n">
        <x:v>493.01</x:v>
      </x:c>
      <x:c r="D2103" s="410" t="n">
        <x:v>23</x:v>
      </x:c>
      <x:c r="E2103" t="str">
        <x:v>LEFT_02</x:v>
      </x:c>
      <x:c r="F2103" t="str">
        <x:v>GoblinRanged</x:v>
      </x:c>
      <x:c r="G2103" s="410" t="n">
        <x:v>42</x:v>
      </x:c>
    </x:row>
    <x:row r="2104">
      <x:c r="A2104" t="str">
        <x:v>Stage01</x:v>
      </x:c>
      <x:c r="B2104" t="str">
        <x:v>WAVE_50</x:v>
      </x:c>
      <x:c r="C2104" s="409" t="n">
        <x:v>493.1</x:v>
      </x:c>
      <x:c r="D2104" s="410" t="n">
        <x:v>24</x:v>
      </x:c>
      <x:c r="E2104" t="str">
        <x:v>TOP_04</x:v>
      </x:c>
      <x:c r="F2104" t="str">
        <x:v>GoblinMelee</x:v>
      </x:c>
      <x:c r="G2104" s="410" t="n">
        <x:v>43</x:v>
      </x:c>
    </x:row>
    <x:row r="2105">
      <x:c r="A2105" t="str">
        <x:v>Stage01</x:v>
      </x:c>
      <x:c r="B2105" t="str">
        <x:v>WAVE_50</x:v>
      </x:c>
      <x:c r="C2105" s="409" t="n">
        <x:v>493.2</x:v>
      </x:c>
      <x:c r="D2105" s="410" t="n">
        <x:v>25</x:v>
      </x:c>
      <x:c r="E2105" t="str">
        <x:v>RIGHT_05</x:v>
      </x:c>
      <x:c r="F2105" t="str">
        <x:v>GoblinMelee</x:v>
      </x:c>
      <x:c r="G2105" s="410" t="n">
        <x:v>43</x:v>
      </x:c>
    </x:row>
    <x:row r="2106">
      <x:c r="A2106" t="str">
        <x:v>Stage01</x:v>
      </x:c>
      <x:c r="B2106" t="str">
        <x:v>WAVE_50</x:v>
      </x:c>
      <x:c r="C2106" s="409" t="n">
        <x:v>493.29</x:v>
      </x:c>
      <x:c r="D2106" s="410" t="n">
        <x:v>26</x:v>
      </x:c>
      <x:c r="E2106" t="str">
        <x:v>BOTTOM_06</x:v>
      </x:c>
      <x:c r="F2106" t="str">
        <x:v>ShieldSkeleton</x:v>
      </x:c>
      <x:c r="G2106" s="410" t="n">
        <x:v>42</x:v>
      </x:c>
    </x:row>
    <x:row r="2107">
      <x:c r="A2107" t="str">
        <x:v>Stage01</x:v>
      </x:c>
      <x:c r="B2107" t="str">
        <x:v>WAVE_50</x:v>
      </x:c>
      <x:c r="C2107" s="409" t="n">
        <x:v>493.38</x:v>
      </x:c>
      <x:c r="D2107" s="410" t="n">
        <x:v>27</x:v>
      </x:c>
      <x:c r="E2107" t="str">
        <x:v>LEFT_07</x:v>
      </x:c>
      <x:c r="F2107" t="str">
        <x:v>GoblinRanged</x:v>
      </x:c>
      <x:c r="G2107" s="410" t="n">
        <x:v>43</x:v>
      </x:c>
    </x:row>
    <x:row r="2108">
      <x:c r="A2108" t="str">
        <x:v>Stage01</x:v>
      </x:c>
      <x:c r="B2108" t="str">
        <x:v>WAVE_50</x:v>
      </x:c>
      <x:c r="C2108" s="409" t="n">
        <x:v>493.47</x:v>
      </x:c>
      <x:c r="D2108" s="410" t="n">
        <x:v>28</x:v>
      </x:c>
      <x:c r="E2108" t="str">
        <x:v>TOP_01</x:v>
      </x:c>
      <x:c r="F2108" t="str">
        <x:v>FlyingEye</x:v>
      </x:c>
      <x:c r="G2108" s="410" t="n">
        <x:v>43</x:v>
      </x:c>
    </x:row>
    <x:row r="2109">
      <x:c r="A2109" t="str">
        <x:v>Stage01</x:v>
      </x:c>
      <x:c r="B2109" t="str">
        <x:v>WAVE_50</x:v>
      </x:c>
      <x:c r="C2109" s="409" t="n">
        <x:v>493.56</x:v>
      </x:c>
      <x:c r="D2109" s="410" t="n">
        <x:v>29</x:v>
      </x:c>
      <x:c r="E2109" t="str">
        <x:v>RIGHT_02</x:v>
      </x:c>
      <x:c r="F2109" t="str">
        <x:v>GoblinMelee</x:v>
      </x:c>
      <x:c r="G2109" s="410" t="n">
        <x:v>42</x:v>
      </x:c>
    </x:row>
    <x:row r="2110">
      <x:c r="A2110" t="str">
        <x:v>Stage01</x:v>
      </x:c>
      <x:c r="B2110" t="str">
        <x:v>WAVE_50</x:v>
      </x:c>
      <x:c r="C2110" s="409" t="n">
        <x:v>493.65</x:v>
      </x:c>
      <x:c r="D2110" s="410" t="n">
        <x:v>30</x:v>
      </x:c>
      <x:c r="E2110" t="str">
        <x:v>BOTTOM_03</x:v>
      </x:c>
      <x:c r="F2110" t="str">
        <x:v>GoblinRanged</x:v>
      </x:c>
      <x:c r="G2110" s="410" t="n">
        <x:v>43</x:v>
      </x:c>
    </x:row>
    <x:row r="2111">
      <x:c r="A2111" t="str">
        <x:v>Stage01</x:v>
      </x:c>
      <x:c r="B2111" t="str">
        <x:v>WAVE_50</x:v>
      </x:c>
      <x:c r="C2111" s="409" t="n">
        <x:v>493.74</x:v>
      </x:c>
      <x:c r="D2111" s="410" t="n">
        <x:v>31</x:v>
      </x:c>
      <x:c r="E2111" t="str">
        <x:v>LEFT_04</x:v>
      </x:c>
      <x:c r="F2111" t="str">
        <x:v>GoblinMelee</x:v>
      </x:c>
      <x:c r="G2111" s="410" t="n">
        <x:v>43</x:v>
      </x:c>
    </x:row>
    <x:row r="2112">
      <x:c r="A2112" t="str">
        <x:v>Stage01</x:v>
      </x:c>
      <x:c r="B2112" t="str">
        <x:v>WAVE_50</x:v>
      </x:c>
      <x:c r="C2112" s="409" t="n">
        <x:v>493.84</x:v>
      </x:c>
      <x:c r="D2112" s="410" t="n">
        <x:v>32</x:v>
      </x:c>
      <x:c r="E2112" t="str">
        <x:v>TOP_06</x:v>
      </x:c>
      <x:c r="F2112" t="str">
        <x:v>GoblinMelee</x:v>
      </x:c>
      <x:c r="G2112" s="410" t="n">
        <x:v>42</x:v>
      </x:c>
    </x:row>
    <x:row r="2113">
      <x:c r="A2113" t="str">
        <x:v>Stage01</x:v>
      </x:c>
      <x:c r="B2113" t="str">
        <x:v>WAVE_50</x:v>
      </x:c>
      <x:c r="C2113" s="409" t="n">
        <x:v>493.93</x:v>
      </x:c>
      <x:c r="D2113" s="410" t="n">
        <x:v>33</x:v>
      </x:c>
      <x:c r="E2113" t="str">
        <x:v>RIGHT_07</x:v>
      </x:c>
      <x:c r="F2113" t="str">
        <x:v>ShieldSkeleton</x:v>
      </x:c>
      <x:c r="G2113" s="410" t="n">
        <x:v>43</x:v>
      </x:c>
    </x:row>
    <x:row r="2114">
      <x:c r="A2114" t="str">
        <x:v>Stage01</x:v>
      </x:c>
      <x:c r="B2114" t="str">
        <x:v>WAVE_50</x:v>
      </x:c>
      <x:c r="C2114" s="409" t="n">
        <x:v>494.02</x:v>
      </x:c>
      <x:c r="D2114" s="410" t="n">
        <x:v>34</x:v>
      </x:c>
      <x:c r="E2114" t="str">
        <x:v>BOTTOM_08</x:v>
      </x:c>
      <x:c r="F2114" t="str">
        <x:v>GoblinMelee</x:v>
      </x:c>
      <x:c r="G2114" s="410" t="n">
        <x:v>43</x:v>
      </x:c>
    </x:row>
    <x:row r="2115">
      <x:c r="A2115" t="str">
        <x:v>Stage01</x:v>
      </x:c>
      <x:c r="B2115" t="str">
        <x:v>WAVE_50</x:v>
      </x:c>
      <x:c r="C2115" s="409" t="n">
        <x:v>494.11</x:v>
      </x:c>
      <x:c r="D2115" s="410" t="n">
        <x:v>35</x:v>
      </x:c>
      <x:c r="E2115" t="str">
        <x:v>LEFT_01</x:v>
      </x:c>
      <x:c r="F2115" t="str">
        <x:v>GoblinRanged</x:v>
      </x:c>
      <x:c r="G2115" s="410" t="n">
        <x:v>42</x:v>
      </x:c>
    </x:row>
    <x:row r="2116">
      <x:c r="A2116" t="str">
        <x:v>Stage01</x:v>
      </x:c>
      <x:c r="B2116" t="str">
        <x:v>WAVE_50</x:v>
      </x:c>
      <x:c r="C2116" s="409" t="n">
        <x:v>494.2</x:v>
      </x:c>
      <x:c r="D2116" s="410" t="n">
        <x:v>36</x:v>
      </x:c>
      <x:c r="E2116" t="str">
        <x:v>TOP_03</x:v>
      </x:c>
      <x:c r="F2116" t="str">
        <x:v>GoblinMelee</x:v>
      </x:c>
      <x:c r="G2116" s="410" t="n">
        <x:v>43</x:v>
      </x:c>
    </x:row>
    <x:row r="2117">
      <x:c r="A2117" t="str">
        <x:v>Stage01</x:v>
      </x:c>
      <x:c r="B2117" t="str">
        <x:v>WAVE_50</x:v>
      </x:c>
      <x:c r="C2117" s="409" t="n">
        <x:v>494.29</x:v>
      </x:c>
      <x:c r="D2117" s="410" t="n">
        <x:v>37</x:v>
      </x:c>
      <x:c r="E2117" t="str">
        <x:v>RIGHT_04</x:v>
      </x:c>
      <x:c r="F2117" t="str">
        <x:v>GoblinRanged</x:v>
      </x:c>
      <x:c r="G2117" s="410" t="n">
        <x:v>43</x:v>
      </x:c>
    </x:row>
    <x:row r="2118">
      <x:c r="A2118" t="str">
        <x:v>Stage01</x:v>
      </x:c>
      <x:c r="B2118" t="str">
        <x:v>WAVE_50</x:v>
      </x:c>
      <x:c r="C2118" s="409" t="n">
        <x:v>494.39</x:v>
      </x:c>
      <x:c r="D2118" s="410" t="n">
        <x:v>38</x:v>
      </x:c>
      <x:c r="E2118" t="str">
        <x:v>BOTTOM_05</x:v>
      </x:c>
      <x:c r="F2118" t="str">
        <x:v>GoblinMelee</x:v>
      </x:c>
      <x:c r="G2118" s="410" t="n">
        <x:v>42</x:v>
      </x:c>
    </x:row>
    <x:row r="2119">
      <x:c r="A2119" t="str">
        <x:v>Stage01</x:v>
      </x:c>
      <x:c r="B2119" t="str">
        <x:v>WAVE_50</x:v>
      </x:c>
      <x:c r="C2119" s="409" t="n">
        <x:v>494.48</x:v>
      </x:c>
      <x:c r="D2119" s="410" t="n">
        <x:v>39</x:v>
      </x:c>
      <x:c r="E2119" t="str">
        <x:v>LEFT_06</x:v>
      </x:c>
      <x:c r="F2119" t="str">
        <x:v>GoblinMelee</x:v>
      </x:c>
      <x:c r="G2119" s="410" t="n">
        <x:v>43</x:v>
      </x:c>
    </x:row>
    <x:row r="2120">
      <x:c r="A2120" t="str">
        <x:v>Stage01</x:v>
      </x:c>
      <x:c r="B2120" t="str">
        <x:v>WAVE_50</x:v>
      </x:c>
      <x:c r="C2120" s="409" t="n">
        <x:v>494.57</x:v>
      </x:c>
      <x:c r="D2120" s="410" t="n">
        <x:v>40</x:v>
      </x:c>
      <x:c r="E2120" t="str">
        <x:v>TOP_08</x:v>
      </x:c>
      <x:c r="F2120" t="str">
        <x:v>ShieldSkeleton</x:v>
      </x:c>
      <x:c r="G2120" s="410" t="n">
        <x:v>43</x:v>
      </x:c>
    </x:row>
    <x:row r="2121">
      <x:c r="A2121" t="str">
        <x:v>Stage01</x:v>
      </x:c>
      <x:c r="B2121" t="str">
        <x:v>WAVE_50</x:v>
      </x:c>
      <x:c r="C2121" s="409" t="n">
        <x:v>494.66</x:v>
      </x:c>
      <x:c r="D2121" s="410" t="n">
        <x:v>41</x:v>
      </x:c>
      <x:c r="E2121" t="str">
        <x:v>RIGHT_01</x:v>
      </x:c>
      <x:c r="F2121" t="str">
        <x:v>FlyingEye</x:v>
      </x:c>
      <x:c r="G2121" s="410" t="n">
        <x:v>42</x:v>
      </x:c>
    </x:row>
    <x:row r="2122">
      <x:c r="A2122" t="str">
        <x:v>Stage01</x:v>
      </x:c>
      <x:c r="B2122" t="str">
        <x:v>WAVE_50</x:v>
      </x:c>
      <x:c r="C2122" s="409" t="n">
        <x:v>494.75</x:v>
      </x:c>
      <x:c r="D2122" s="410" t="n">
        <x:v>42</x:v>
      </x:c>
      <x:c r="E2122" t="str">
        <x:v>BOTTOM_02</x:v>
      </x:c>
      <x:c r="F2122" t="str">
        <x:v>GoblinRanged</x:v>
      </x:c>
      <x:c r="G2122" s="410" t="n">
        <x:v>43</x:v>
      </x:c>
    </x:row>
    <x:row r="2123">
      <x:c r="A2123" t="str">
        <x:v>Stage01</x:v>
      </x:c>
      <x:c r="B2123" t="str">
        <x:v>WAVE_50</x:v>
      </x:c>
      <x:c r="C2123" s="409" t="n">
        <x:v>494.84</x:v>
      </x:c>
      <x:c r="D2123" s="410" t="n">
        <x:v>43</x:v>
      </x:c>
      <x:c r="E2123" t="str">
        <x:v>LEFT_03</x:v>
      </x:c>
      <x:c r="F2123" t="str">
        <x:v>GoblinMelee</x:v>
      </x:c>
      <x:c r="G2123" s="410" t="n">
        <x:v>43</x:v>
      </x:c>
    </x:row>
    <x:row r="2124">
      <x:c r="A2124" t="str">
        <x:v>Stage01</x:v>
      </x:c>
      <x:c r="B2124" t="str">
        <x:v>WAVE_50</x:v>
      </x:c>
      <x:c r="C2124" s="409" t="n">
        <x:v>494.93</x:v>
      </x:c>
      <x:c r="D2124" s="410" t="n">
        <x:v>44</x:v>
      </x:c>
      <x:c r="E2124" t="str">
        <x:v>TOP_05</x:v>
      </x:c>
      <x:c r="F2124" t="str">
        <x:v>GoblinRanged</x:v>
      </x:c>
      <x:c r="G2124" s="410" t="n">
        <x:v>42</x:v>
      </x:c>
    </x:row>
    <x:row r="2125">
      <x:c r="A2125" t="str">
        <x:v>Stage01</x:v>
      </x:c>
      <x:c r="B2125" t="str">
        <x:v>WAVE_50</x:v>
      </x:c>
      <x:c r="C2125" s="409" t="n">
        <x:v>495.03</x:v>
      </x:c>
      <x:c r="D2125" s="410" t="n">
        <x:v>45</x:v>
      </x:c>
      <x:c r="E2125" t="str">
        <x:v>RIGHT_06</x:v>
      </x:c>
      <x:c r="F2125" t="str">
        <x:v>GoblinMelee</x:v>
      </x:c>
      <x:c r="G2125" s="410" t="n">
        <x:v>43</x:v>
      </x:c>
    </x:row>
    <x:row r="2126">
      <x:c r="A2126" t="str">
        <x:v>Stage01</x:v>
      </x:c>
      <x:c r="B2126" t="str">
        <x:v>WAVE_50</x:v>
      </x:c>
      <x:c r="C2126" s="409" t="n">
        <x:v>495.12</x:v>
      </x:c>
      <x:c r="D2126" s="410" t="n">
        <x:v>46</x:v>
      </x:c>
      <x:c r="E2126" t="str">
        <x:v>BOTTOM_07</x:v>
      </x:c>
      <x:c r="F2126" t="str">
        <x:v>GoblinMelee</x:v>
      </x:c>
      <x:c r="G2126" s="410" t="n">
        <x:v>43</x:v>
      </x:c>
    </x:row>
    <x:row r="2127">
      <x:c r="A2127" t="str">
        <x:v>Stage01</x:v>
      </x:c>
      <x:c r="B2127" t="str">
        <x:v>WAVE_50</x:v>
      </x:c>
      <x:c r="C2127" s="409" t="n">
        <x:v>495.21</x:v>
      </x:c>
      <x:c r="D2127" s="410" t="n">
        <x:v>47</x:v>
      </x:c>
      <x:c r="E2127" t="str">
        <x:v>LEFT_08</x:v>
      </x:c>
      <x:c r="F2127" t="str">
        <x:v>ShieldSkeleton</x:v>
      </x:c>
      <x:c r="G2127" s="410" t="n">
        <x:v>42</x:v>
      </x:c>
    </x:row>
    <x:row r="2128">
      <x:c r="A2128" t="str">
        <x:v>Stage01</x:v>
      </x:c>
      <x:c r="B2128" t="str">
        <x:v>WAVE_50</x:v>
      </x:c>
      <x:c r="C2128" s="409" t="n">
        <x:v>495.3</x:v>
      </x:c>
      <x:c r="D2128" s="410" t="n">
        <x:v>48</x:v>
      </x:c>
      <x:c r="E2128" t="str">
        <x:v>TOP_02</x:v>
      </x:c>
      <x:c r="F2128" t="str">
        <x:v>GoblinMelee</x:v>
      </x:c>
      <x:c r="G2128" s="410" t="n">
        <x:v>43</x:v>
      </x:c>
    </x:row>
    <x:row r="2129">
      <x:c r="A2129" t="str">
        <x:v>Stage01</x:v>
      </x:c>
      <x:c r="B2129" t="str">
        <x:v>WAVE_50</x:v>
      </x:c>
      <x:c r="C2129" s="409" t="n">
        <x:v>495.39</x:v>
      </x:c>
      <x:c r="D2129" s="410" t="n">
        <x:v>49</x:v>
      </x:c>
      <x:c r="E2129" t="str">
        <x:v>RIGHT_03</x:v>
      </x:c>
      <x:c r="F2129" t="str">
        <x:v>GoblinRanged</x:v>
      </x:c>
      <x:c r="G2129" s="410" t="n">
        <x:v>42</x:v>
      </x:c>
    </x:row>
    <x:row r="2130">
      <x:c r="A2130" t="str">
        <x:v>Stage01</x:v>
      </x:c>
      <x:c r="B2130" t="str">
        <x:v>WAVE_50</x:v>
      </x:c>
      <x:c r="C2130" s="409" t="n">
        <x:v>495.48</x:v>
      </x:c>
      <x:c r="D2130" s="410" t="n">
        <x:v>50</x:v>
      </x:c>
      <x:c r="E2130" t="str">
        <x:v>BOTTOM_04</x:v>
      </x:c>
      <x:c r="F2130" t="str">
        <x:v>GoblinMelee</x:v>
      </x:c>
      <x:c r="G2130" s="410" t="n">
        <x:v>43</x:v>
      </x:c>
    </x:row>
    <x:row r="2131">
      <x:c r="A2131" t="str">
        <x:v>Stage01</x:v>
      </x:c>
      <x:c r="B2131" t="str">
        <x:v>WAVE_50</x:v>
      </x:c>
      <x:c r="C2131" s="409" t="n">
        <x:v>495.57</x:v>
      </x:c>
      <x:c r="D2131" s="410" t="n">
        <x:v>51</x:v>
      </x:c>
      <x:c r="E2131" t="str">
        <x:v>LEFT_05</x:v>
      </x:c>
      <x:c r="F2131" t="str">
        <x:v>GoblinMelee</x:v>
      </x:c>
      <x:c r="G2131" s="410" t="n">
        <x:v>43</x:v>
      </x:c>
    </x:row>
    <x:row r="2132">
      <x:c r="A2132" t="str">
        <x:v>Stage01</x:v>
      </x:c>
      <x:c r="B2132" t="str">
        <x:v>WAVE_50</x:v>
      </x:c>
      <x:c r="C2132" s="409" t="n">
        <x:v>495.67</x:v>
      </x:c>
      <x:c r="D2132" s="410" t="n">
        <x:v>52</x:v>
      </x:c>
      <x:c r="E2132" t="str">
        <x:v>TOP_07</x:v>
      </x:c>
      <x:c r="F2132" t="str">
        <x:v>GoblinRanged</x:v>
      </x:c>
      <x:c r="G2132" s="410" t="n">
        <x:v>42</x:v>
      </x:c>
    </x:row>
    <x:row r="2133">
      <x:c r="A2133" t="str">
        <x:v>Stage01</x:v>
      </x:c>
      <x:c r="B2133" t="str">
        <x:v>WAVE_50</x:v>
      </x:c>
      <x:c r="C2133" s="409" t="n">
        <x:v>495.76</x:v>
      </x:c>
      <x:c r="D2133" s="410" t="n">
        <x:v>53</x:v>
      </x:c>
      <x:c r="E2133" t="str">
        <x:v>RIGHT_08</x:v>
      </x:c>
      <x:c r="F2133" t="str">
        <x:v>GoblinMelee</x:v>
      </x:c>
      <x:c r="G2133" s="410" t="n">
        <x:v>43</x:v>
      </x:c>
    </x:row>
    <x:row r="2134">
      <x:c r="A2134" t="str">
        <x:v>Stage01</x:v>
      </x:c>
      <x:c r="B2134" t="str">
        <x:v>WAVE_50</x:v>
      </x:c>
      <x:c r="C2134" s="409" t="n">
        <x:v>495.85</x:v>
      </x:c>
      <x:c r="D2134" s="410" t="n">
        <x:v>54</x:v>
      </x:c>
      <x:c r="E2134" t="str">
        <x:v>BOTTOM_01</x:v>
      </x:c>
      <x:c r="F2134" t="str">
        <x:v>ShieldSkeleton</x:v>
      </x:c>
      <x:c r="G2134" s="410" t="n">
        <x:v>43</x:v>
      </x:c>
    </x:row>
    <x:row r="2135">
      <x:c r="A2135" t="str">
        <x:v>Stage01</x:v>
      </x:c>
      <x:c r="B2135" t="str">
        <x:v>WAVE_50</x:v>
      </x:c>
      <x:c r="C2135" s="409" t="n">
        <x:v>495.94</x:v>
      </x:c>
      <x:c r="D2135" s="410" t="n">
        <x:v>55</x:v>
      </x:c>
      <x:c r="E2135" t="str">
        <x:v>LEFT_02</x:v>
      </x:c>
      <x:c r="F2135" t="str">
        <x:v>FlyingEye</x:v>
      </x:c>
      <x:c r="G2135" s="410" t="n">
        <x:v>42</x:v>
      </x:c>
    </x:row>
    <x:row r="2136">
      <x:c r="A2136" t="str">
        <x:v>Stage01</x:v>
      </x:c>
      <x:c r="B2136" t="str">
        <x:v>WAVE_50</x:v>
      </x:c>
      <x:c r="C2136" s="409" t="n">
        <x:v>496.03</x:v>
      </x:c>
      <x:c r="D2136" s="410" t="n">
        <x:v>56</x:v>
      </x:c>
      <x:c r="E2136" t="str">
        <x:v>TOP_04</x:v>
      </x:c>
      <x:c r="F2136" t="str">
        <x:v>GoblinRanged</x:v>
      </x:c>
      <x:c r="G2136" s="410" t="n">
        <x:v>43</x:v>
      </x:c>
    </x:row>
    <x:row r="2137">
      <x:c r="A2137" t="str">
        <x:v>Stage01</x:v>
      </x:c>
      <x:c r="B2137" t="str">
        <x:v>WAVE_50</x:v>
      </x:c>
      <x:c r="C2137" s="409" t="n">
        <x:v>496.12</x:v>
      </x:c>
      <x:c r="D2137" s="410" t="n">
        <x:v>57</x:v>
      </x:c>
      <x:c r="E2137" t="str">
        <x:v>RIGHT_05</x:v>
      </x:c>
      <x:c r="F2137" t="str">
        <x:v>GoblinMelee</x:v>
      </x:c>
      <x:c r="G2137" s="410" t="n">
        <x:v>43</x:v>
      </x:c>
    </x:row>
    <x:row r="2138">
      <x:c r="A2138" t="str">
        <x:v>Stage01</x:v>
      </x:c>
      <x:c r="B2138" t="str">
        <x:v>WAVE_50</x:v>
      </x:c>
      <x:c r="C2138" s="409" t="n">
        <x:v>496.21</x:v>
      </x:c>
      <x:c r="D2138" s="410" t="n">
        <x:v>58</x:v>
      </x:c>
      <x:c r="E2138" t="str">
        <x:v>BOTTOM_06</x:v>
      </x:c>
      <x:c r="F2138" t="str">
        <x:v>GoblinMelee</x:v>
      </x:c>
      <x:c r="G2138" s="410" t="n">
        <x:v>42</x:v>
      </x:c>
    </x:row>
    <x:row r="2139">
      <x:c r="A2139" t="str">
        <x:v>Stage01</x:v>
      </x:c>
      <x:c r="B2139" t="str">
        <x:v>WAVE_50</x:v>
      </x:c>
      <x:c r="C2139" s="409" t="n">
        <x:v>496.31</x:v>
      </x:c>
      <x:c r="D2139" s="410" t="n">
        <x:v>59</x:v>
      </x:c>
      <x:c r="E2139" t="str">
        <x:v>LEFT_07</x:v>
      </x:c>
      <x:c r="F2139" t="str">
        <x:v>GoblinRanged</x:v>
      </x:c>
      <x:c r="G2139" s="410" t="n">
        <x:v>43</x:v>
      </x:c>
    </x:row>
    <x:row r="2140">
      <x:c r="A2140" t="str">
        <x:v>Stage01</x:v>
      </x:c>
      <x:c r="B2140" t="str">
        <x:v>WAVE_50</x:v>
      </x:c>
      <x:c r="C2140" s="409" t="n">
        <x:v>496.4</x:v>
      </x:c>
      <x:c r="D2140" s="410" t="n">
        <x:v>60</x:v>
      </x:c>
      <x:c r="E2140" t="str">
        <x:v>TOP_01</x:v>
      </x:c>
      <x:c r="F2140" t="str">
        <x:v>GoblinMelee</x:v>
      </x:c>
      <x:c r="G2140" s="410" t="n">
        <x:v>43</x:v>
      </x:c>
    </x:row>
    <x:row r="2141">
      <x:c r="A2141" t="str">
        <x:v>Stage01</x:v>
      </x:c>
      <x:c r="B2141" t="str">
        <x:v>WAVE_50</x:v>
      </x:c>
      <x:c r="C2141" s="409" t="n">
        <x:v>496.49</x:v>
      </x:c>
      <x:c r="D2141" s="410" t="n">
        <x:v>61</x:v>
      </x:c>
      <x:c r="E2141" t="str">
        <x:v>RIGHT_02</x:v>
      </x:c>
      <x:c r="F2141" t="str">
        <x:v>ShieldSkeleton</x:v>
      </x:c>
      <x:c r="G2141" s="410" t="n">
        <x:v>42</x:v>
      </x:c>
    </x:row>
    <x:row r="2142">
      <x:c r="A2142" t="str">
        <x:v>Stage01</x:v>
      </x:c>
      <x:c r="B2142" t="str">
        <x:v>WAVE_50</x:v>
      </x:c>
      <x:c r="C2142" s="409" t="n">
        <x:v>496.58</x:v>
      </x:c>
      <x:c r="D2142" s="410" t="n">
        <x:v>62</x:v>
      </x:c>
      <x:c r="E2142" t="str">
        <x:v>BOTTOM_03</x:v>
      </x:c>
      <x:c r="F2142" t="str">
        <x:v>GoblinMelee</x:v>
      </x:c>
      <x:c r="G2142" s="410" t="n">
        <x:v>43</x:v>
      </x:c>
    </x:row>
    <x:row r="2143">
      <x:c r="A2143" t="str">
        <x:v>Stage01</x:v>
      </x:c>
      <x:c r="B2143" t="str">
        <x:v>WAVE_50</x:v>
      </x:c>
      <x:c r="C2143" s="409" t="n">
        <x:v>496.67</x:v>
      </x:c>
      <x:c r="D2143" s="410" t="n">
        <x:v>63</x:v>
      </x:c>
      <x:c r="E2143" t="str">
        <x:v>LEFT_04</x:v>
      </x:c>
      <x:c r="F2143" t="str">
        <x:v>GoblinRanged</x:v>
      </x:c>
      <x:c r="G2143" s="410" t="n">
        <x:v>43</x:v>
      </x:c>
    </x:row>
    <x:row r="2144">
      <x:c r="A2144" t="str">
        <x:v>Stage01</x:v>
      </x:c>
      <x:c r="B2144" t="str">
        <x:v>WAVE_50</x:v>
      </x:c>
      <x:c r="C2144" s="409" t="n">
        <x:v>496.76</x:v>
      </x:c>
      <x:c r="D2144" s="410" t="n">
        <x:v>64</x:v>
      </x:c>
      <x:c r="E2144" t="str">
        <x:v>TOP_06</x:v>
      </x:c>
      <x:c r="F2144" t="str">
        <x:v>GoblinMelee</x:v>
      </x:c>
      <x:c r="G2144" s="410" t="n">
        <x:v>42</x:v>
      </x:c>
    </x:row>
    <x:row r="2145">
      <x:c r="A2145" t="str">
        <x:v>Stage01</x:v>
      </x:c>
      <x:c r="B2145" t="str">
        <x:v>WAVE_50</x:v>
      </x:c>
      <x:c r="C2145" s="409" t="n">
        <x:v>496.86</x:v>
      </x:c>
      <x:c r="D2145" s="410" t="n">
        <x:v>65</x:v>
      </x:c>
      <x:c r="E2145" t="str">
        <x:v>RIGHT_07</x:v>
      </x:c>
      <x:c r="F2145" t="str">
        <x:v>GoblinMelee</x:v>
      </x:c>
      <x:c r="G2145" s="410" t="n">
        <x:v>43</x:v>
      </x:c>
    </x:row>
    <x:row r="2146">
      <x:c r="A2146" t="str">
        <x:v>Stage01</x:v>
      </x:c>
      <x:c r="B2146" t="str">
        <x:v>WAVE_50</x:v>
      </x:c>
      <x:c r="C2146" s="409" t="n">
        <x:v>496.95</x:v>
      </x:c>
      <x:c r="D2146" s="410" t="n">
        <x:v>66</x:v>
      </x:c>
      <x:c r="E2146" t="str">
        <x:v>BOTTOM_08</x:v>
      </x:c>
      <x:c r="F2146" t="str">
        <x:v>GoblinRanged</x:v>
      </x:c>
      <x:c r="G2146" s="410" t="n">
        <x:v>43</x:v>
      </x:c>
    </x:row>
    <x:row r="2147">
      <x:c r="A2147" t="str">
        <x:v>Stage01</x:v>
      </x:c>
      <x:c r="B2147" t="str">
        <x:v>WAVE_50</x:v>
      </x:c>
      <x:c r="C2147" s="409" t="n">
        <x:v>497.04</x:v>
      </x:c>
      <x:c r="D2147" s="410" t="n">
        <x:v>67</x:v>
      </x:c>
      <x:c r="E2147" t="str">
        <x:v>LEFT_01</x:v>
      </x:c>
      <x:c r="F2147" t="str">
        <x:v>GoblinMelee</x:v>
      </x:c>
      <x:c r="G2147" s="410" t="n">
        <x:v>42</x:v>
      </x:c>
    </x:row>
    <x:row r="2148">
      <x:c r="A2148" t="str">
        <x:v>Stage01</x:v>
      </x:c>
      <x:c r="B2148" t="str">
        <x:v>WAVE_50</x:v>
      </x:c>
      <x:c r="C2148" s="409" t="n">
        <x:v>497.13</x:v>
      </x:c>
      <x:c r="D2148" s="410" t="n">
        <x:v>68</x:v>
      </x:c>
      <x:c r="E2148" t="str">
        <x:v>TOP_03</x:v>
      </x:c>
      <x:c r="F2148" t="str">
        <x:v>FlyingEye</x:v>
      </x:c>
      <x:c r="G2148" s="410" t="n">
        <x:v>43</x:v>
      </x:c>
    </x:row>
    <x:row r="2149">
      <x:c r="A2149" t="str">
        <x:v>Stage01</x:v>
      </x:c>
      <x:c r="B2149" t="str">
        <x:v>WAVE_50</x:v>
      </x:c>
      <x:c r="C2149" s="409" t="n">
        <x:v>497.22</x:v>
      </x:c>
      <x:c r="D2149" s="410" t="n">
        <x:v>69</x:v>
      </x:c>
      <x:c r="E2149" t="str">
        <x:v>RIGHT_04</x:v>
      </x:c>
      <x:c r="F2149" t="str">
        <x:v>GoblinRanged</x:v>
      </x:c>
      <x:c r="G2149" s="410" t="n">
        <x:v>43</x:v>
      </x:c>
    </x:row>
    <x:row r="2150">
      <x:c r="A2150" t="str">
        <x:v>Stage01</x:v>
      </x:c>
      <x:c r="B2150" t="str">
        <x:v>WAVE_50</x:v>
      </x:c>
      <x:c r="C2150" s="409" t="n">
        <x:v>497.31</x:v>
      </x:c>
      <x:c r="D2150" s="410" t="n">
        <x:v>70</x:v>
      </x:c>
      <x:c r="E2150" t="str">
        <x:v>BOTTOM_05</x:v>
      </x:c>
      <x:c r="F2150" t="str">
        <x:v>ShieldSkeleton</x:v>
      </x:c>
      <x:c r="G2150" s="410" t="n">
        <x:v>42</x:v>
      </x:c>
    </x:row>
    <x:row r="2151">
      <x:c r="A2151" t="str">
        <x:v>Stage01</x:v>
      </x:c>
      <x:c r="B2151" t="str">
        <x:v>WAVE_50</x:v>
      </x:c>
      <x:c r="C2151" s="409" t="n">
        <x:v>497.4</x:v>
      </x:c>
      <x:c r="D2151" s="410" t="n">
        <x:v>71</x:v>
      </x:c>
      <x:c r="E2151" t="str">
        <x:v>LEFT_06</x:v>
      </x:c>
      <x:c r="F2151" t="str">
        <x:v>GoblinMelee</x:v>
      </x:c>
      <x:c r="G2151" s="410" t="n">
        <x:v>43</x:v>
      </x:c>
    </x:row>
    <x:row r="2152">
      <x:c r="A2152" t="str">
        <x:v>Stage01</x:v>
      </x:c>
      <x:c r="B2152" t="str">
        <x:v>WAVE_50</x:v>
      </x:c>
      <x:c r="C2152" s="409" t="n">
        <x:v>497.5</x:v>
      </x:c>
      <x:c r="D2152" s="410" t="n">
        <x:v>72</x:v>
      </x:c>
      <x:c r="E2152" t="str">
        <x:v>TOP_08</x:v>
      </x:c>
      <x:c r="F2152" t="str">
        <x:v>GoblinMelee</x:v>
      </x:c>
      <x:c r="G2152" s="410" t="n">
        <x:v>43</x:v>
      </x:c>
    </x:row>
    <x:row r="2153">
      <x:c r="A2153" t="str">
        <x:v>Stage01</x:v>
      </x:c>
      <x:c r="B2153" t="str">
        <x:v>WAVE_50</x:v>
      </x:c>
      <x:c r="C2153" s="409" t="n">
        <x:v>497.59</x:v>
      </x:c>
      <x:c r="D2153" s="410" t="n">
        <x:v>73</x:v>
      </x:c>
      <x:c r="E2153" t="str">
        <x:v>RIGHT_01</x:v>
      </x:c>
      <x:c r="F2153" t="str">
        <x:v>GoblinRanged</x:v>
      </x:c>
      <x:c r="G2153" s="410" t="n">
        <x:v>42</x:v>
      </x:c>
    </x:row>
    <x:row r="2154">
      <x:c r="A2154" t="str">
        <x:v>Stage01</x:v>
      </x:c>
      <x:c r="B2154" t="str">
        <x:v>WAVE_50</x:v>
      </x:c>
      <x:c r="C2154" s="409" t="n">
        <x:v>497.68</x:v>
      </x:c>
      <x:c r="D2154" s="410" t="n">
        <x:v>74</x:v>
      </x:c>
      <x:c r="E2154" t="str">
        <x:v>BOTTOM_02</x:v>
      </x:c>
      <x:c r="F2154" t="str">
        <x:v>GoblinMelee</x:v>
      </x:c>
      <x:c r="G2154" s="410" t="n">
        <x:v>43</x:v>
      </x:c>
    </x:row>
    <x:row r="2155">
      <x:c r="A2155" t="str">
        <x:v>Stage01</x:v>
      </x:c>
      <x:c r="B2155" t="str">
        <x:v>WAVE_50</x:v>
      </x:c>
      <x:c r="C2155" s="409" t="n">
        <x:v>497.77</x:v>
      </x:c>
      <x:c r="D2155" s="410" t="n">
        <x:v>75</x:v>
      </x:c>
      <x:c r="E2155" t="str">
        <x:v>LEFT_03</x:v>
      </x:c>
      <x:c r="F2155" t="str">
        <x:v>GoblinMelee</x:v>
      </x:c>
      <x:c r="G2155" s="410" t="n">
        <x:v>43</x:v>
      </x:c>
    </x:row>
    <x:row r="2156">
      <x:c r="A2156" t="str">
        <x:v>Stage01</x:v>
      </x:c>
      <x:c r="B2156" t="str">
        <x:v>WAVE_50</x:v>
      </x:c>
      <x:c r="C2156" s="409" t="n">
        <x:v>497.86</x:v>
      </x:c>
      <x:c r="D2156" s="410" t="n">
        <x:v>76</x:v>
      </x:c>
      <x:c r="E2156" t="str">
        <x:v>TOP_05</x:v>
      </x:c>
      <x:c r="F2156" t="str">
        <x:v>GoblinRanged</x:v>
      </x:c>
      <x:c r="G2156" s="410" t="n">
        <x:v>42</x:v>
      </x:c>
    </x:row>
    <x:row r="2157">
      <x:c r="A2157" t="str">
        <x:v>Stage01</x:v>
      </x:c>
      <x:c r="B2157" t="str">
        <x:v>WAVE_50</x:v>
      </x:c>
      <x:c r="C2157" s="409" t="n">
        <x:v>497.95</x:v>
      </x:c>
      <x:c r="D2157" s="410" t="n">
        <x:v>77</x:v>
      </x:c>
      <x:c r="E2157" t="str">
        <x:v>RIGHT_06</x:v>
      </x:c>
      <x:c r="F2157" t="str">
        <x:v>GoblinMelee</x:v>
      </x:c>
      <x:c r="G2157" s="410" t="n">
        <x:v>43</x:v>
      </x:c>
    </x:row>
    <x:row r="2158">
      <x:c r="A2158" t="str">
        <x:v>Stage01</x:v>
      </x:c>
      <x:c r="B2158" t="str">
        <x:v>WAVE_50</x:v>
      </x:c>
      <x:c r="C2158" s="409" t="n">
        <x:v>498.04</x:v>
      </x:c>
      <x:c r="D2158" s="410" t="n">
        <x:v>78</x:v>
      </x:c>
      <x:c r="E2158" t="str">
        <x:v>BOTTOM_07</x:v>
      </x:c>
      <x:c r="F2158" t="str">
        <x:v>ShieldSkeleton</x:v>
      </x:c>
      <x:c r="G2158" s="410" t="n">
        <x:v>43</x:v>
      </x:c>
    </x:row>
    <x:row r="2159">
      <x:c r="A2159" t="str">
        <x:v>Stage01</x:v>
      </x:c>
      <x:c r="B2159" t="str">
        <x:v>WAVE_50</x:v>
      </x:c>
      <x:c r="C2159" s="409" t="n">
        <x:v>498.14</x:v>
      </x:c>
      <x:c r="D2159" s="410" t="n">
        <x:v>79</x:v>
      </x:c>
      <x:c r="E2159" t="str">
        <x:v>LEFT_08</x:v>
      </x:c>
      <x:c r="F2159" t="str">
        <x:v>GoblinMelee</x:v>
      </x:c>
      <x:c r="G2159" s="410" t="n">
        <x:v>42</x:v>
      </x:c>
    </x:row>
    <x:row r="2160">
      <x:c r="A2160" t="str">
        <x:v>Stage01</x:v>
      </x:c>
      <x:c r="B2160" t="str">
        <x:v>WAVE_50</x:v>
      </x:c>
      <x:c r="C2160" s="409" t="n">
        <x:v>498.23</x:v>
      </x:c>
      <x:c r="D2160" s="410" t="n">
        <x:v>80</x:v>
      </x:c>
      <x:c r="E2160" t="str">
        <x:v>TOP_02</x:v>
      </x:c>
      <x:c r="F2160" t="str">
        <x:v>GoblinRanged</x:v>
      </x:c>
      <x:c r="G2160" s="410" t="n">
        <x:v>43</x:v>
      </x:c>
    </x:row>
    <x:row r="2161">
      <x:c r="A2161" t="str">
        <x:v>Stage01</x:v>
      </x:c>
      <x:c r="B2161" t="str">
        <x:v>WAVE_50</x:v>
      </x:c>
      <x:c r="C2161" s="409" t="n">
        <x:v>498.32</x:v>
      </x:c>
      <x:c r="D2161" s="410" t="n">
        <x:v>81</x:v>
      </x:c>
      <x:c r="E2161" t="str">
        <x:v>RIGHT_03</x:v>
      </x:c>
      <x:c r="F2161" t="str">
        <x:v>GoblinMelee</x:v>
      </x:c>
      <x:c r="G2161" s="410" t="n">
        <x:v>43</x:v>
      </x:c>
    </x:row>
    <x:row r="2162">
      <x:c r="A2162" t="str">
        <x:v>Stage01</x:v>
      </x:c>
      <x:c r="B2162" t="str">
        <x:v>WAVE_50</x:v>
      </x:c>
      <x:c r="C2162" s="409" t="n">
        <x:v>498.41</x:v>
      </x:c>
      <x:c r="D2162" s="410" t="n">
        <x:v>82</x:v>
      </x:c>
      <x:c r="E2162" t="str">
        <x:v>BOTTOM_04</x:v>
      </x:c>
      <x:c r="F2162" t="str">
        <x:v>FlyingEye</x:v>
      </x:c>
      <x:c r="G2162" s="410" t="n">
        <x:v>42</x:v>
      </x:c>
    </x:row>
    <x:row r="2163">
      <x:c r="A2163" t="str">
        <x:v>Stage01</x:v>
      </x:c>
      <x:c r="B2163" t="str">
        <x:v>WAVE_50</x:v>
      </x:c>
      <x:c r="C2163" s="409" t="n">
        <x:v>498.5</x:v>
      </x:c>
      <x:c r="D2163" s="410" t="n">
        <x:v>83</x:v>
      </x:c>
      <x:c r="E2163" t="str">
        <x:v>LEFT_05</x:v>
      </x:c>
      <x:c r="F2163" t="str">
        <x:v>GoblinRanged</x:v>
      </x:c>
      <x:c r="G2163" s="410" t="n">
        <x:v>43</x:v>
      </x:c>
    </x:row>
    <x:row r="2164">
      <x:c r="A2164" t="str">
        <x:v>Stage01</x:v>
      </x:c>
      <x:c r="B2164" t="str">
        <x:v>WAVE_50</x:v>
      </x:c>
      <x:c r="C2164" s="409" t="n">
        <x:v>498.59</x:v>
      </x:c>
      <x:c r="D2164" s="410" t="n">
        <x:v>84</x:v>
      </x:c>
      <x:c r="E2164" t="str">
        <x:v>TOP_07</x:v>
      </x:c>
      <x:c r="F2164" t="str">
        <x:v>GoblinMelee</x:v>
      </x:c>
      <x:c r="G2164" s="410" t="n">
        <x:v>43</x:v>
      </x:c>
    </x:row>
    <x:row r="2165">
      <x:c r="A2165" t="str">
        <x:v>Stage01</x:v>
      </x:c>
      <x:c r="B2165" t="str">
        <x:v>WAVE_50</x:v>
      </x:c>
      <x:c r="C2165" s="409" t="n">
        <x:v>498.69</x:v>
      </x:c>
      <x:c r="D2165" s="410" t="n">
        <x:v>85</x:v>
      </x:c>
      <x:c r="E2165" t="str">
        <x:v>RIGHT_08</x:v>
      </x:c>
      <x:c r="F2165" t="str">
        <x:v>ShieldSkeleton</x:v>
      </x:c>
      <x:c r="G2165" s="410" t="n">
        <x:v>42</x:v>
      </x:c>
    </x:row>
    <x:row r="2166">
      <x:c r="A2166" t="str">
        <x:v>Stage01</x:v>
      </x:c>
      <x:c r="B2166" t="str">
        <x:v>WAVE_50</x:v>
      </x:c>
      <x:c r="C2166" s="409" t="n">
        <x:v>498.78</x:v>
      </x:c>
      <x:c r="D2166" s="410" t="n">
        <x:v>86</x:v>
      </x:c>
      <x:c r="E2166" t="str">
        <x:v>BOTTOM_01</x:v>
      </x:c>
      <x:c r="F2166" t="str">
        <x:v>GoblinMelee</x:v>
      </x:c>
      <x:c r="G2166" s="410" t="n">
        <x:v>43</x:v>
      </x:c>
    </x:row>
    <x:row r="2167">
      <x:c r="A2167" t="str">
        <x:v>Stage01</x:v>
      </x:c>
      <x:c r="B2167" t="str">
        <x:v>WAVE_50</x:v>
      </x:c>
      <x:c r="C2167" s="409" t="n">
        <x:v>498.87</x:v>
      </x:c>
      <x:c r="D2167" s="410" t="n">
        <x:v>87</x:v>
      </x:c>
      <x:c r="E2167" t="str">
        <x:v>LEFT_02</x:v>
      </x:c>
      <x:c r="F2167" t="str">
        <x:v>GoblinRanged</x:v>
      </x:c>
      <x:c r="G2167" s="410" t="n">
        <x:v>43</x:v>
      </x:c>
    </x:row>
    <x:row r="2168">
      <x:c r="A2168" t="str">
        <x:v>Stage01</x:v>
      </x:c>
      <x:c r="B2168" t="str">
        <x:v>WAVE_50</x:v>
      </x:c>
      <x:c r="C2168" s="409" t="n">
        <x:v>498.96</x:v>
      </x:c>
      <x:c r="D2168" s="410" t="n">
        <x:v>88</x:v>
      </x:c>
      <x:c r="E2168" t="str">
        <x:v>TOP_04</x:v>
      </x:c>
      <x:c r="F2168" t="str">
        <x:v>GoblinMelee</x:v>
      </x:c>
      <x:c r="G2168" s="410" t="n">
        <x:v>42</x:v>
      </x:c>
    </x:row>
    <x:row r="2169">
      <x:c r="A2169" t="str">
        <x:v>Stage01</x:v>
      </x:c>
      <x:c r="B2169" t="str">
        <x:v>WAVE_50</x:v>
      </x:c>
      <x:c r="C2169" s="409" t="n">
        <x:v>499.05</x:v>
      </x:c>
      <x:c r="D2169" s="410" t="n">
        <x:v>89</x:v>
      </x:c>
      <x:c r="E2169" t="str">
        <x:v>RIGHT_05</x:v>
      </x:c>
      <x:c r="F2169" t="str">
        <x:v>GoblinMelee</x:v>
      </x:c>
      <x:c r="G2169" s="410" t="n">
        <x:v>43</x:v>
      </x:c>
    </x:row>
    <x:row r="2170">
      <x:c r="A2170" t="str">
        <x:v>Stage01</x:v>
      </x:c>
      <x:c r="B2170" t="str">
        <x:v>WAVE_50</x:v>
      </x:c>
      <x:c r="C2170" s="409" t="n">
        <x:v>499.14</x:v>
      </x:c>
      <x:c r="D2170" s="410" t="n">
        <x:v>90</x:v>
      </x:c>
      <x:c r="E2170" t="str">
        <x:v>BOTTOM_06</x:v>
      </x:c>
      <x:c r="F2170" t="str">
        <x:v>GoblinRanged</x:v>
      </x:c>
      <x:c r="G2170" s="410" t="n">
        <x:v>43</x:v>
      </x:c>
    </x:row>
    <x:row r="2171">
      <x:c r="A2171" t="str">
        <x:v>Stage01</x:v>
      </x:c>
      <x:c r="B2171" t="str">
        <x:v>WAVE_50</x:v>
      </x:c>
      <x:c r="C2171" s="409" t="n">
        <x:v>499.23</x:v>
      </x:c>
      <x:c r="D2171" s="410" t="n">
        <x:v>91</x:v>
      </x:c>
      <x:c r="E2171" t="str">
        <x:v>LEFT_07</x:v>
      </x:c>
      <x:c r="F2171" t="str">
        <x:v>GoblinMelee</x:v>
      </x:c>
      <x:c r="G2171" s="410" t="n">
        <x:v>42</x:v>
      </x:c>
    </x:row>
    <x:row r="2172">
      <x:c r="A2172" t="str">
        <x:v>Stage01</x:v>
      </x:c>
      <x:c r="B2172" t="str">
        <x:v>WAVE_50</x:v>
      </x:c>
      <x:c r="C2172" s="409" t="n">
        <x:v>499.33</x:v>
      </x:c>
      <x:c r="D2172" s="410" t="n">
        <x:v>92</x:v>
      </x:c>
      <x:c r="E2172" t="str">
        <x:v>TOP_01</x:v>
      </x:c>
      <x:c r="F2172" t="str">
        <x:v>ShieldSkeleton</x:v>
      </x:c>
      <x:c r="G2172" s="410" t="n">
        <x:v>43</x:v>
      </x:c>
    </x:row>
    <x:row r="2173">
      <x:c r="A2173" t="str">
        <x:v>Stage01</x:v>
      </x:c>
      <x:c r="B2173" t="str">
        <x:v>WAVE_50</x:v>
      </x:c>
      <x:c r="C2173" s="409" t="n">
        <x:v>499.42</x:v>
      </x:c>
      <x:c r="D2173" s="410" t="n">
        <x:v>93</x:v>
      </x:c>
      <x:c r="E2173" t="str">
        <x:v>RIGHT_02</x:v>
      </x:c>
      <x:c r="F2173" t="str">
        <x:v>GoblinMelee</x:v>
      </x:c>
      <x:c r="G2173" s="410" t="n">
        <x:v>43</x:v>
      </x:c>
    </x:row>
    <x:row r="2174">
      <x:c r="A2174" t="str">
        <x:v>Stage01</x:v>
      </x:c>
      <x:c r="B2174" t="str">
        <x:v>WAVE_50</x:v>
      </x:c>
      <x:c r="C2174" s="409" t="n">
        <x:v>499.51</x:v>
      </x:c>
      <x:c r="D2174" s="410" t="n">
        <x:v>94</x:v>
      </x:c>
      <x:c r="E2174" t="str">
        <x:v>BOTTOM_03</x:v>
      </x:c>
      <x:c r="F2174" t="str">
        <x:v>GoblinRanged</x:v>
      </x:c>
      <x:c r="G2174" s="410" t="n">
        <x:v>42</x:v>
      </x:c>
    </x:row>
    <x:row r="2175">
      <x:c r="A2175" t="str">
        <x:v>Stage01</x:v>
      </x:c>
      <x:c r="B2175" t="str">
        <x:v>WAVE_50</x:v>
      </x:c>
      <x:c r="C2175" s="409" t="n">
        <x:v>499.6</x:v>
      </x:c>
      <x:c r="D2175" s="410" t="n">
        <x:v>95</x:v>
      </x:c>
      <x:c r="E2175" t="str">
        <x:v>LEFT_04</x:v>
      </x:c>
      <x:c r="F2175" t="str">
        <x:v>GoblinMelee</x:v>
      </x:c>
      <x:c r="G2175" s="410" t="n">
        <x:v>43</x:v>
      </x:c>
    </x:row>
    <x:row r="2176">
      <x:c r="A2176" t="str">
        <x:v>Stage01</x:v>
      </x:c>
      <x:c r="B2176" t="str">
        <x:v>WAVE_51</x:v>
      </x:c>
      <x:c r="C2176" s="409" t="n">
        <x:v>501</x:v>
      </x:c>
      <x:c r="D2176" s="410" t="n">
        <x:v>1</x:v>
      </x:c>
      <x:c r="E2176" t="str">
        <x:v>LEFT_07</x:v>
      </x:c>
      <x:c r="F2176" t="str">
        <x:v>GoblinMelee</x:v>
      </x:c>
      <x:c r="G2176" s="410" t="n">
        <x:v>44</x:v>
      </x:c>
    </x:row>
    <x:row r="2177">
      <x:c r="A2177" t="str">
        <x:v>Stage01</x:v>
      </x:c>
      <x:c r="B2177" t="str">
        <x:v>WAVE_51</x:v>
      </x:c>
      <x:c r="C2177" s="409" t="n">
        <x:v>501.09</x:v>
      </x:c>
      <x:c r="D2177" s="410" t="n">
        <x:v>2</x:v>
      </x:c>
      <x:c r="E2177" t="str">
        <x:v>TOP_01</x:v>
      </x:c>
      <x:c r="F2177" t="str">
        <x:v>GoblinRanged</x:v>
      </x:c>
      <x:c r="G2177" s="410" t="n">
        <x:v>43</x:v>
      </x:c>
    </x:row>
    <x:row r="2178">
      <x:c r="A2178" t="str">
        <x:v>Stage01</x:v>
      </x:c>
      <x:c r="B2178" t="str">
        <x:v>WAVE_51</x:v>
      </x:c>
      <x:c r="C2178" s="409" t="n">
        <x:v>501.18</x:v>
      </x:c>
      <x:c r="D2178" s="410" t="n">
        <x:v>3</x:v>
      </x:c>
      <x:c r="E2178" t="str">
        <x:v>RIGHT_02</x:v>
      </x:c>
      <x:c r="F2178" t="str">
        <x:v>GoblinMelee</x:v>
      </x:c>
      <x:c r="G2178" s="410" t="n">
        <x:v>44</x:v>
      </x:c>
    </x:row>
    <x:row r="2179">
      <x:c r="A2179" t="str">
        <x:v>Stage01</x:v>
      </x:c>
      <x:c r="B2179" t="str">
        <x:v>WAVE_51</x:v>
      </x:c>
      <x:c r="C2179" s="409" t="n">
        <x:v>501.27</x:v>
      </x:c>
      <x:c r="D2179" s="410" t="n">
        <x:v>4</x:v>
      </x:c>
      <x:c r="E2179" t="str">
        <x:v>BOTTOM_03</x:v>
      </x:c>
      <x:c r="F2179" t="str">
        <x:v>ShieldSkeleton</x:v>
      </x:c>
      <x:c r="G2179" s="410" t="n">
        <x:v>44</x:v>
      </x:c>
    </x:row>
    <x:row r="2180">
      <x:c r="A2180" t="str">
        <x:v>Stage01</x:v>
      </x:c>
      <x:c r="B2180" t="str">
        <x:v>WAVE_51</x:v>
      </x:c>
      <x:c r="C2180" s="409" t="n">
        <x:v>501.35</x:v>
      </x:c>
      <x:c r="D2180" s="410" t="n">
        <x:v>5</x:v>
      </x:c>
      <x:c r="E2180" t="str">
        <x:v>LEFT_04</x:v>
      </x:c>
      <x:c r="F2180" t="str">
        <x:v>GoblinMelee</x:v>
      </x:c>
      <x:c r="G2180" s="410" t="n">
        <x:v>43</x:v>
      </x:c>
    </x:row>
    <x:row r="2181">
      <x:c r="A2181" t="str">
        <x:v>Stage01</x:v>
      </x:c>
      <x:c r="B2181" t="str">
        <x:v>WAVE_51</x:v>
      </x:c>
      <x:c r="C2181" s="409" t="n">
        <x:v>501.44</x:v>
      </x:c>
      <x:c r="D2181" s="410" t="n">
        <x:v>6</x:v>
      </x:c>
      <x:c r="E2181" t="str">
        <x:v>TOP_06</x:v>
      </x:c>
      <x:c r="F2181" t="str">
        <x:v>GoblinRanged</x:v>
      </x:c>
      <x:c r="G2181" s="410" t="n">
        <x:v>44</x:v>
      </x:c>
    </x:row>
    <x:row r="2182">
      <x:c r="A2182" t="str">
        <x:v>Stage01</x:v>
      </x:c>
      <x:c r="B2182" t="str">
        <x:v>WAVE_51</x:v>
      </x:c>
      <x:c r="C2182" s="409" t="n">
        <x:v>501.53</x:v>
      </x:c>
      <x:c r="D2182" s="410" t="n">
        <x:v>7</x:v>
      </x:c>
      <x:c r="E2182" t="str">
        <x:v>RIGHT_07</x:v>
      </x:c>
      <x:c r="F2182" t="str">
        <x:v>GoblinMelee</x:v>
      </x:c>
      <x:c r="G2182" s="410" t="n">
        <x:v>44</x:v>
      </x:c>
    </x:row>
    <x:row r="2183">
      <x:c r="A2183" t="str">
        <x:v>Stage01</x:v>
      </x:c>
      <x:c r="B2183" t="str">
        <x:v>WAVE_51</x:v>
      </x:c>
      <x:c r="C2183" s="409" t="n">
        <x:v>501.62</x:v>
      </x:c>
      <x:c r="D2183" s="410" t="n">
        <x:v>8</x:v>
      </x:c>
      <x:c r="E2183" t="str">
        <x:v>BOTTOM_08</x:v>
      </x:c>
      <x:c r="F2183" t="str">
        <x:v>GoblinMelee</x:v>
      </x:c>
      <x:c r="G2183" s="410" t="n">
        <x:v>44</x:v>
      </x:c>
    </x:row>
    <x:row r="2184">
      <x:c r="A2184" t="str">
        <x:v>Stage01</x:v>
      </x:c>
      <x:c r="B2184" t="str">
        <x:v>WAVE_51</x:v>
      </x:c>
      <x:c r="C2184" s="409" t="n">
        <x:v>501.71</x:v>
      </x:c>
      <x:c r="D2184" s="410" t="n">
        <x:v>9</x:v>
      </x:c>
      <x:c r="E2184" t="str">
        <x:v>LEFT_01</x:v>
      </x:c>
      <x:c r="F2184" t="str">
        <x:v>GoblinRanged</x:v>
      </x:c>
      <x:c r="G2184" s="410" t="n">
        <x:v>43</x:v>
      </x:c>
    </x:row>
    <x:row r="2185">
      <x:c r="A2185" t="str">
        <x:v>Stage01</x:v>
      </x:c>
      <x:c r="B2185" t="str">
        <x:v>WAVE_51</x:v>
      </x:c>
      <x:c r="C2185" s="409" t="n">
        <x:v>501.8</x:v>
      </x:c>
      <x:c r="D2185" s="410" t="n">
        <x:v>10</x:v>
      </x:c>
      <x:c r="E2185" t="str">
        <x:v>TOP_03</x:v>
      </x:c>
      <x:c r="F2185" t="str">
        <x:v>GoblinMelee</x:v>
      </x:c>
      <x:c r="G2185" s="410" t="n">
        <x:v>44</x:v>
      </x:c>
    </x:row>
    <x:row r="2186">
      <x:c r="A2186" t="str">
        <x:v>Stage01</x:v>
      </x:c>
      <x:c r="B2186" t="str">
        <x:v>WAVE_51</x:v>
      </x:c>
      <x:c r="C2186" s="409" t="n">
        <x:v>501.89</x:v>
      </x:c>
      <x:c r="D2186" s="410" t="n">
        <x:v>11</x:v>
      </x:c>
      <x:c r="E2186" t="str">
        <x:v>RIGHT_04</x:v>
      </x:c>
      <x:c r="F2186" t="str">
        <x:v>ShieldSkeleton</x:v>
      </x:c>
      <x:c r="G2186" s="410" t="n">
        <x:v>44</x:v>
      </x:c>
    </x:row>
    <x:row r="2187">
      <x:c r="A2187" t="str">
        <x:v>Stage01</x:v>
      </x:c>
      <x:c r="B2187" t="str">
        <x:v>WAVE_51</x:v>
      </x:c>
      <x:c r="C2187" s="409" t="n">
        <x:v>501.98</x:v>
      </x:c>
      <x:c r="D2187" s="410" t="n">
        <x:v>12</x:v>
      </x:c>
      <x:c r="E2187" t="str">
        <x:v>BOTTOM_05</x:v>
      </x:c>
      <x:c r="F2187" t="str">
        <x:v>GoblinMelee</x:v>
      </x:c>
      <x:c r="G2187" s="410" t="n">
        <x:v>43</x:v>
      </x:c>
    </x:row>
    <x:row r="2188">
      <x:c r="A2188" t="str">
        <x:v>Stage01</x:v>
      </x:c>
      <x:c r="B2188" t="str">
        <x:v>WAVE_51</x:v>
      </x:c>
      <x:c r="C2188" s="409" t="n">
        <x:v>502.06</x:v>
      </x:c>
      <x:c r="D2188" s="410" t="n">
        <x:v>13</x:v>
      </x:c>
      <x:c r="E2188" t="str">
        <x:v>LEFT_06</x:v>
      </x:c>
      <x:c r="F2188" t="str">
        <x:v>GoblinRanged</x:v>
      </x:c>
      <x:c r="G2188" s="410" t="n">
        <x:v>44</x:v>
      </x:c>
    </x:row>
    <x:row r="2189">
      <x:c r="A2189" t="str">
        <x:v>Stage01</x:v>
      </x:c>
      <x:c r="B2189" t="str">
        <x:v>WAVE_51</x:v>
      </x:c>
      <x:c r="C2189" s="409" t="n">
        <x:v>502.15</x:v>
      </x:c>
      <x:c r="D2189" s="410" t="n">
        <x:v>14</x:v>
      </x:c>
      <x:c r="E2189" t="str">
        <x:v>TOP_08</x:v>
      </x:c>
      <x:c r="F2189" t="str">
        <x:v>FlyingEye</x:v>
      </x:c>
      <x:c r="G2189" s="410" t="n">
        <x:v>44</x:v>
      </x:c>
    </x:row>
    <x:row r="2190">
      <x:c r="A2190" t="str">
        <x:v>Stage01</x:v>
      </x:c>
      <x:c r="B2190" t="str">
        <x:v>WAVE_51</x:v>
      </x:c>
      <x:c r="C2190" s="409" t="n">
        <x:v>502.24</x:v>
      </x:c>
      <x:c r="D2190" s="410" t="n">
        <x:v>15</x:v>
      </x:c>
      <x:c r="E2190" t="str">
        <x:v>RIGHT_01</x:v>
      </x:c>
      <x:c r="F2190" t="str">
        <x:v>GoblinMelee</x:v>
      </x:c>
      <x:c r="G2190" s="410" t="n">
        <x:v>43</x:v>
      </x:c>
    </x:row>
    <x:row r="2191">
      <x:c r="A2191" t="str">
        <x:v>Stage01</x:v>
      </x:c>
      <x:c r="B2191" t="str">
        <x:v>WAVE_51</x:v>
      </x:c>
      <x:c r="C2191" s="409" t="n">
        <x:v>502.33</x:v>
      </x:c>
      <x:c r="D2191" s="410" t="n">
        <x:v>16</x:v>
      </x:c>
      <x:c r="E2191" t="str">
        <x:v>BOTTOM_02</x:v>
      </x:c>
      <x:c r="F2191" t="str">
        <x:v>GoblinRanged</x:v>
      </x:c>
      <x:c r="G2191" s="410" t="n">
        <x:v>44</x:v>
      </x:c>
    </x:row>
    <x:row r="2192">
      <x:c r="A2192" t="str">
        <x:v>Stage01</x:v>
      </x:c>
      <x:c r="B2192" t="str">
        <x:v>WAVE_51</x:v>
      </x:c>
      <x:c r="C2192" s="409" t="n">
        <x:v>502.42</x:v>
      </x:c>
      <x:c r="D2192" s="410" t="n">
        <x:v>17</x:v>
      </x:c>
      <x:c r="E2192" t="str">
        <x:v>LEFT_03</x:v>
      </x:c>
      <x:c r="F2192" t="str">
        <x:v>GoblinMelee</x:v>
      </x:c>
      <x:c r="G2192" s="410" t="n">
        <x:v>44</x:v>
      </x:c>
    </x:row>
    <x:row r="2193">
      <x:c r="A2193" t="str">
        <x:v>Stage01</x:v>
      </x:c>
      <x:c r="B2193" t="str">
        <x:v>WAVE_51</x:v>
      </x:c>
      <x:c r="C2193" s="409" t="n">
        <x:v>502.51</x:v>
      </x:c>
      <x:c r="D2193" s="410" t="n">
        <x:v>18</x:v>
      </x:c>
      <x:c r="E2193" t="str">
        <x:v>TOP_05</x:v>
      </x:c>
      <x:c r="F2193" t="str">
        <x:v>GoblinMelee</x:v>
      </x:c>
      <x:c r="G2193" s="410" t="n">
        <x:v>43</x:v>
      </x:c>
    </x:row>
    <x:row r="2194">
      <x:c r="A2194" t="str">
        <x:v>Stage01</x:v>
      </x:c>
      <x:c r="B2194" t="str">
        <x:v>WAVE_51</x:v>
      </x:c>
      <x:c r="C2194" s="409" t="n">
        <x:v>502.6</x:v>
      </x:c>
      <x:c r="D2194" s="410" t="n">
        <x:v>19</x:v>
      </x:c>
      <x:c r="E2194" t="str">
        <x:v>RIGHT_06</x:v>
      </x:c>
      <x:c r="F2194" t="str">
        <x:v>ShieldSkeleton</x:v>
      </x:c>
      <x:c r="G2194" s="410" t="n">
        <x:v>44</x:v>
      </x:c>
    </x:row>
    <x:row r="2195">
      <x:c r="A2195" t="str">
        <x:v>Stage01</x:v>
      </x:c>
      <x:c r="B2195" t="str">
        <x:v>WAVE_51</x:v>
      </x:c>
      <x:c r="C2195" s="409" t="n">
        <x:v>502.68</x:v>
      </x:c>
      <x:c r="D2195" s="410" t="n">
        <x:v>20</x:v>
      </x:c>
      <x:c r="E2195" t="str">
        <x:v>BOTTOM_07</x:v>
      </x:c>
      <x:c r="F2195" t="str">
        <x:v>GoblinRanged</x:v>
      </x:c>
      <x:c r="G2195" s="410" t="n">
        <x:v>44</x:v>
      </x:c>
    </x:row>
    <x:row r="2196">
      <x:c r="A2196" t="str">
        <x:v>Stage01</x:v>
      </x:c>
      <x:c r="B2196" t="str">
        <x:v>WAVE_51</x:v>
      </x:c>
      <x:c r="C2196" s="409" t="n">
        <x:v>502.77</x:v>
      </x:c>
      <x:c r="D2196" s="410" t="n">
        <x:v>21</x:v>
      </x:c>
      <x:c r="E2196" t="str">
        <x:v>LEFT_08</x:v>
      </x:c>
      <x:c r="F2196" t="str">
        <x:v>GoblinMelee</x:v>
      </x:c>
      <x:c r="G2196" s="410" t="n">
        <x:v>44</x:v>
      </x:c>
    </x:row>
    <x:row r="2197">
      <x:c r="A2197" t="str">
        <x:v>Stage01</x:v>
      </x:c>
      <x:c r="B2197" t="str">
        <x:v>WAVE_51</x:v>
      </x:c>
      <x:c r="C2197" s="409" t="n">
        <x:v>502.86</x:v>
      </x:c>
      <x:c r="D2197" s="410" t="n">
        <x:v>22</x:v>
      </x:c>
      <x:c r="E2197" t="str">
        <x:v>TOP_02</x:v>
      </x:c>
      <x:c r="F2197" t="str">
        <x:v>GoblinMelee</x:v>
      </x:c>
      <x:c r="G2197" s="410" t="n">
        <x:v>43</x:v>
      </x:c>
    </x:row>
    <x:row r="2198">
      <x:c r="A2198" t="str">
        <x:v>Stage01</x:v>
      </x:c>
      <x:c r="B2198" t="str">
        <x:v>WAVE_51</x:v>
      </x:c>
      <x:c r="C2198" s="409" t="n">
        <x:v>502.95</x:v>
      </x:c>
      <x:c r="D2198" s="410" t="n">
        <x:v>23</x:v>
      </x:c>
      <x:c r="E2198" t="str">
        <x:v>RIGHT_03</x:v>
      </x:c>
      <x:c r="F2198" t="str">
        <x:v>GoblinRanged</x:v>
      </x:c>
      <x:c r="G2198" s="410" t="n">
        <x:v>44</x:v>
      </x:c>
    </x:row>
    <x:row r="2199">
      <x:c r="A2199" t="str">
        <x:v>Stage01</x:v>
      </x:c>
      <x:c r="B2199" t="str">
        <x:v>WAVE_51</x:v>
      </x:c>
      <x:c r="C2199" s="409" t="n">
        <x:v>503.04</x:v>
      </x:c>
      <x:c r="D2199" s="410" t="n">
        <x:v>24</x:v>
      </x:c>
      <x:c r="E2199" t="str">
        <x:v>BOTTOM_04</x:v>
      </x:c>
      <x:c r="F2199" t="str">
        <x:v>GoblinMelee</x:v>
      </x:c>
      <x:c r="G2199" s="410" t="n">
        <x:v>44</x:v>
      </x:c>
    </x:row>
    <x:row r="2200">
      <x:c r="A2200" t="str">
        <x:v>Stage01</x:v>
      </x:c>
      <x:c r="B2200" t="str">
        <x:v>WAVE_51</x:v>
      </x:c>
      <x:c r="C2200" s="409" t="n">
        <x:v>503.13</x:v>
      </x:c>
      <x:c r="D2200" s="410" t="n">
        <x:v>25</x:v>
      </x:c>
      <x:c r="E2200" t="str">
        <x:v>LEFT_05</x:v>
      </x:c>
      <x:c r="F2200" t="str">
        <x:v>GoblinMelee</x:v>
      </x:c>
      <x:c r="G2200" s="410" t="n">
        <x:v>43</x:v>
      </x:c>
    </x:row>
    <x:row r="2201">
      <x:c r="A2201" t="str">
        <x:v>Stage01</x:v>
      </x:c>
      <x:c r="B2201" t="str">
        <x:v>WAVE_51</x:v>
      </x:c>
      <x:c r="C2201" s="409" t="n">
        <x:v>503.22</x:v>
      </x:c>
      <x:c r="D2201" s="410" t="n">
        <x:v>26</x:v>
      </x:c>
      <x:c r="E2201" t="str">
        <x:v>TOP_07</x:v>
      </x:c>
      <x:c r="F2201" t="str">
        <x:v>ShieldSkeleton</x:v>
      </x:c>
      <x:c r="G2201" s="410" t="n">
        <x:v>44</x:v>
      </x:c>
    </x:row>
    <x:row r="2202">
      <x:c r="A2202" t="str">
        <x:v>Stage01</x:v>
      </x:c>
      <x:c r="B2202" t="str">
        <x:v>WAVE_51</x:v>
      </x:c>
      <x:c r="C2202" s="409" t="n">
        <x:v>503.31</x:v>
      </x:c>
      <x:c r="D2202" s="410" t="n">
        <x:v>27</x:v>
      </x:c>
      <x:c r="E2202" t="str">
        <x:v>RIGHT_08</x:v>
      </x:c>
      <x:c r="F2202" t="str">
        <x:v>GoblinRanged</x:v>
      </x:c>
      <x:c r="G2202" s="410" t="n">
        <x:v>44</x:v>
      </x:c>
    </x:row>
    <x:row r="2203">
      <x:c r="A2203" t="str">
        <x:v>Stage01</x:v>
      </x:c>
      <x:c r="B2203" t="str">
        <x:v>WAVE_51</x:v>
      </x:c>
      <x:c r="C2203" s="409" t="n">
        <x:v>503.39</x:v>
      </x:c>
      <x:c r="D2203" s="410" t="n">
        <x:v>28</x:v>
      </x:c>
      <x:c r="E2203" t="str">
        <x:v>BOTTOM_01</x:v>
      </x:c>
      <x:c r="F2203" t="str">
        <x:v>FlyingEye</x:v>
      </x:c>
      <x:c r="G2203" s="410" t="n">
        <x:v>43</x:v>
      </x:c>
    </x:row>
    <x:row r="2204">
      <x:c r="A2204" t="str">
        <x:v>Stage01</x:v>
      </x:c>
      <x:c r="B2204" t="str">
        <x:v>WAVE_51</x:v>
      </x:c>
      <x:c r="C2204" s="409" t="n">
        <x:v>503.48</x:v>
      </x:c>
      <x:c r="D2204" s="410" t="n">
        <x:v>29</x:v>
      </x:c>
      <x:c r="E2204" t="str">
        <x:v>LEFT_02</x:v>
      </x:c>
      <x:c r="F2204" t="str">
        <x:v>GoblinMelee</x:v>
      </x:c>
      <x:c r="G2204" s="410" t="n">
        <x:v>44</x:v>
      </x:c>
    </x:row>
    <x:row r="2205">
      <x:c r="A2205" t="str">
        <x:v>Stage01</x:v>
      </x:c>
      <x:c r="B2205" t="str">
        <x:v>WAVE_51</x:v>
      </x:c>
      <x:c r="C2205" s="409" t="n">
        <x:v>503.57</x:v>
      </x:c>
      <x:c r="D2205" s="410" t="n">
        <x:v>30</x:v>
      </x:c>
      <x:c r="E2205" t="str">
        <x:v>TOP_04</x:v>
      </x:c>
      <x:c r="F2205" t="str">
        <x:v>GoblinRanged</x:v>
      </x:c>
      <x:c r="G2205" s="410" t="n">
        <x:v>44</x:v>
      </x:c>
    </x:row>
    <x:row r="2206">
      <x:c r="A2206" t="str">
        <x:v>Stage01</x:v>
      </x:c>
      <x:c r="B2206" t="str">
        <x:v>WAVE_51</x:v>
      </x:c>
      <x:c r="C2206" s="409" t="n">
        <x:v>503.66</x:v>
      </x:c>
      <x:c r="D2206" s="410" t="n">
        <x:v>31</x:v>
      </x:c>
      <x:c r="E2206" t="str">
        <x:v>RIGHT_05</x:v>
      </x:c>
      <x:c r="F2206" t="str">
        <x:v>GoblinMelee</x:v>
      </x:c>
      <x:c r="G2206" s="410" t="n">
        <x:v>44</x:v>
      </x:c>
    </x:row>
    <x:row r="2207">
      <x:c r="A2207" t="str">
        <x:v>Stage01</x:v>
      </x:c>
      <x:c r="B2207" t="str">
        <x:v>WAVE_51</x:v>
      </x:c>
      <x:c r="C2207" s="409" t="n">
        <x:v>503.75</x:v>
      </x:c>
      <x:c r="D2207" s="410" t="n">
        <x:v>32</x:v>
      </x:c>
      <x:c r="E2207" t="str">
        <x:v>BOTTOM_06</x:v>
      </x:c>
      <x:c r="F2207" t="str">
        <x:v>GoblinMelee</x:v>
      </x:c>
      <x:c r="G2207" s="410" t="n">
        <x:v>43</x:v>
      </x:c>
    </x:row>
    <x:row r="2208">
      <x:c r="A2208" t="str">
        <x:v>Stage01</x:v>
      </x:c>
      <x:c r="B2208" t="str">
        <x:v>WAVE_51</x:v>
      </x:c>
      <x:c r="C2208" s="409" t="n">
        <x:v>503.84</x:v>
      </x:c>
      <x:c r="D2208" s="410" t="n">
        <x:v>33</x:v>
      </x:c>
      <x:c r="E2208" t="str">
        <x:v>LEFT_07</x:v>
      </x:c>
      <x:c r="F2208" t="str">
        <x:v>GoblinRanged</x:v>
      </x:c>
      <x:c r="G2208" s="410" t="n">
        <x:v>44</x:v>
      </x:c>
    </x:row>
    <x:row r="2209">
      <x:c r="A2209" t="str">
        <x:v>Stage01</x:v>
      </x:c>
      <x:c r="B2209" t="str">
        <x:v>WAVE_51</x:v>
      </x:c>
      <x:c r="C2209" s="409" t="n">
        <x:v>503.93</x:v>
      </x:c>
      <x:c r="D2209" s="410" t="n">
        <x:v>34</x:v>
      </x:c>
      <x:c r="E2209" t="str">
        <x:v>TOP_01</x:v>
      </x:c>
      <x:c r="F2209" t="str">
        <x:v>GoblinMelee</x:v>
      </x:c>
      <x:c r="G2209" s="410" t="n">
        <x:v>44</x:v>
      </x:c>
    </x:row>
    <x:row r="2210">
      <x:c r="A2210" t="str">
        <x:v>Stage01</x:v>
      </x:c>
      <x:c r="B2210" t="str">
        <x:v>WAVE_51</x:v>
      </x:c>
      <x:c r="C2210" s="409" t="n">
        <x:v>504.01</x:v>
      </x:c>
      <x:c r="D2210" s="410" t="n">
        <x:v>35</x:v>
      </x:c>
      <x:c r="E2210" t="str">
        <x:v>RIGHT_02</x:v>
      </x:c>
      <x:c r="F2210" t="str">
        <x:v>ShieldSkeleton</x:v>
      </x:c>
      <x:c r="G2210" s="410" t="n">
        <x:v>43</x:v>
      </x:c>
    </x:row>
    <x:row r="2211">
      <x:c r="A2211" t="str">
        <x:v>Stage01</x:v>
      </x:c>
      <x:c r="B2211" t="str">
        <x:v>WAVE_51</x:v>
      </x:c>
      <x:c r="C2211" s="409" t="n">
        <x:v>504.1</x:v>
      </x:c>
      <x:c r="D2211" s="410" t="n">
        <x:v>36</x:v>
      </x:c>
      <x:c r="E2211" t="str">
        <x:v>BOTTOM_03</x:v>
      </x:c>
      <x:c r="F2211" t="str">
        <x:v>GoblinMelee</x:v>
      </x:c>
      <x:c r="G2211" s="410" t="n">
        <x:v>44</x:v>
      </x:c>
    </x:row>
    <x:row r="2212">
      <x:c r="A2212" t="str">
        <x:v>Stage01</x:v>
      </x:c>
      <x:c r="B2212" t="str">
        <x:v>WAVE_51</x:v>
      </x:c>
      <x:c r="C2212" s="409" t="n">
        <x:v>504.19</x:v>
      </x:c>
      <x:c r="D2212" s="410" t="n">
        <x:v>37</x:v>
      </x:c>
      <x:c r="E2212" t="str">
        <x:v>LEFT_04</x:v>
      </x:c>
      <x:c r="F2212" t="str">
        <x:v>GoblinRanged</x:v>
      </x:c>
      <x:c r="G2212" s="410" t="n">
        <x:v>44</x:v>
      </x:c>
    </x:row>
    <x:row r="2213">
      <x:c r="A2213" t="str">
        <x:v>Stage01</x:v>
      </x:c>
      <x:c r="B2213" t="str">
        <x:v>WAVE_51</x:v>
      </x:c>
      <x:c r="C2213" s="409" t="n">
        <x:v>504.28</x:v>
      </x:c>
      <x:c r="D2213" s="410" t="n">
        <x:v>38</x:v>
      </x:c>
      <x:c r="E2213" t="str">
        <x:v>TOP_06</x:v>
      </x:c>
      <x:c r="F2213" t="str">
        <x:v>GoblinMelee</x:v>
      </x:c>
      <x:c r="G2213" s="410" t="n">
        <x:v>43</x:v>
      </x:c>
    </x:row>
    <x:row r="2214">
      <x:c r="A2214" t="str">
        <x:v>Stage01</x:v>
      </x:c>
      <x:c r="B2214" t="str">
        <x:v>WAVE_51</x:v>
      </x:c>
      <x:c r="C2214" s="409" t="n">
        <x:v>504.37</x:v>
      </x:c>
      <x:c r="D2214" s="410" t="n">
        <x:v>39</x:v>
      </x:c>
      <x:c r="E2214" t="str">
        <x:v>RIGHT_07</x:v>
      </x:c>
      <x:c r="F2214" t="str">
        <x:v>GoblinMelee</x:v>
      </x:c>
      <x:c r="G2214" s="410" t="n">
        <x:v>44</x:v>
      </x:c>
    </x:row>
    <x:row r="2215">
      <x:c r="A2215" t="str">
        <x:v>Stage01</x:v>
      </x:c>
      <x:c r="B2215" t="str">
        <x:v>WAVE_51</x:v>
      </x:c>
      <x:c r="C2215" s="409" t="n">
        <x:v>504.46</x:v>
      </x:c>
      <x:c r="D2215" s="410" t="n">
        <x:v>40</x:v>
      </x:c>
      <x:c r="E2215" t="str">
        <x:v>BOTTOM_08</x:v>
      </x:c>
      <x:c r="F2215" t="str">
        <x:v>GoblinRanged</x:v>
      </x:c>
      <x:c r="G2215" s="410" t="n">
        <x:v>44</x:v>
      </x:c>
    </x:row>
    <x:row r="2216">
      <x:c r="A2216" t="str">
        <x:v>Stage01</x:v>
      </x:c>
      <x:c r="B2216" t="str">
        <x:v>WAVE_51</x:v>
      </x:c>
      <x:c r="C2216" s="409" t="n">
        <x:v>504.55</x:v>
      </x:c>
      <x:c r="D2216" s="410" t="n">
        <x:v>41</x:v>
      </x:c>
      <x:c r="E2216" t="str">
        <x:v>LEFT_01</x:v>
      </x:c>
      <x:c r="F2216" t="str">
        <x:v>FlyingEye</x:v>
      </x:c>
      <x:c r="G2216" s="410" t="n">
        <x:v>43</x:v>
      </x:c>
    </x:row>
    <x:row r="2217">
      <x:c r="A2217" t="str">
        <x:v>Stage01</x:v>
      </x:c>
      <x:c r="B2217" t="str">
        <x:v>WAVE_51</x:v>
      </x:c>
      <x:c r="C2217" s="409" t="n">
        <x:v>504.64</x:v>
      </x:c>
      <x:c r="D2217" s="410" t="n">
        <x:v>42</x:v>
      </x:c>
      <x:c r="E2217" t="str">
        <x:v>TOP_03</x:v>
      </x:c>
      <x:c r="F2217" t="str">
        <x:v>ShieldSkeleton</x:v>
      </x:c>
      <x:c r="G2217" s="410" t="n">
        <x:v>44</x:v>
      </x:c>
    </x:row>
    <x:row r="2218">
      <x:c r="A2218" t="str">
        <x:v>Stage01</x:v>
      </x:c>
      <x:c r="B2218" t="str">
        <x:v>WAVE_51</x:v>
      </x:c>
      <x:c r="C2218" s="409" t="n">
        <x:v>504.72</x:v>
      </x:c>
      <x:c r="D2218" s="410" t="n">
        <x:v>43</x:v>
      </x:c>
      <x:c r="E2218" t="str">
        <x:v>RIGHT_04</x:v>
      </x:c>
      <x:c r="F2218" t="str">
        <x:v>GoblinMelee</x:v>
      </x:c>
      <x:c r="G2218" s="410" t="n">
        <x:v>44</x:v>
      </x:c>
    </x:row>
    <x:row r="2219">
      <x:c r="A2219" t="str">
        <x:v>Stage01</x:v>
      </x:c>
      <x:c r="B2219" t="str">
        <x:v>WAVE_51</x:v>
      </x:c>
      <x:c r="C2219" s="409" t="n">
        <x:v>504.81</x:v>
      </x:c>
      <x:c r="D2219" s="410" t="n">
        <x:v>44</x:v>
      </x:c>
      <x:c r="E2219" t="str">
        <x:v>BOTTOM_05</x:v>
      </x:c>
      <x:c r="F2219" t="str">
        <x:v>GoblinMelee</x:v>
      </x:c>
      <x:c r="G2219" s="410" t="n">
        <x:v>44</x:v>
      </x:c>
    </x:row>
    <x:row r="2220">
      <x:c r="A2220" t="str">
        <x:v>Stage01</x:v>
      </x:c>
      <x:c r="B2220" t="str">
        <x:v>WAVE_51</x:v>
      </x:c>
      <x:c r="C2220" s="409" t="n">
        <x:v>504.9</x:v>
      </x:c>
      <x:c r="D2220" s="410" t="n">
        <x:v>45</x:v>
      </x:c>
      <x:c r="E2220" t="str">
        <x:v>LEFT_06</x:v>
      </x:c>
      <x:c r="F2220" t="str">
        <x:v>GoblinRanged</x:v>
      </x:c>
      <x:c r="G2220" s="410" t="n">
        <x:v>43</x:v>
      </x:c>
    </x:row>
    <x:row r="2221">
      <x:c r="A2221" t="str">
        <x:v>Stage01</x:v>
      </x:c>
      <x:c r="B2221" t="str">
        <x:v>WAVE_51</x:v>
      </x:c>
      <x:c r="C2221" s="409" t="n">
        <x:v>504.99</x:v>
      </x:c>
      <x:c r="D2221" s="410" t="n">
        <x:v>46</x:v>
      </x:c>
      <x:c r="E2221" t="str">
        <x:v>TOP_08</x:v>
      </x:c>
      <x:c r="F2221" t="str">
        <x:v>GoblinMelee</x:v>
      </x:c>
      <x:c r="G2221" s="410" t="n">
        <x:v>44</x:v>
      </x:c>
    </x:row>
    <x:row r="2222">
      <x:c r="A2222" t="str">
        <x:v>Stage01</x:v>
      </x:c>
      <x:c r="B2222" t="str">
        <x:v>WAVE_51</x:v>
      </x:c>
      <x:c r="C2222" s="409" t="n">
        <x:v>505.08</x:v>
      </x:c>
      <x:c r="D2222" s="410" t="n">
        <x:v>47</x:v>
      </x:c>
      <x:c r="E2222" t="str">
        <x:v>RIGHT_01</x:v>
      </x:c>
      <x:c r="F2222" t="str">
        <x:v>GoblinRanged</x:v>
      </x:c>
      <x:c r="G2222" s="410" t="n">
        <x:v>44</x:v>
      </x:c>
    </x:row>
    <x:row r="2223">
      <x:c r="A2223" t="str">
        <x:v>Stage01</x:v>
      </x:c>
      <x:c r="B2223" t="str">
        <x:v>WAVE_51</x:v>
      </x:c>
      <x:c r="C2223" s="409" t="n">
        <x:v>505.17</x:v>
      </x:c>
      <x:c r="D2223" s="410" t="n">
        <x:v>48</x:v>
      </x:c>
      <x:c r="E2223" t="str">
        <x:v>BOTTOM_02</x:v>
      </x:c>
      <x:c r="F2223" t="str">
        <x:v>GoblinMelee</x:v>
      </x:c>
      <x:c r="G2223" s="410" t="n">
        <x:v>43</x:v>
      </x:c>
    </x:row>
    <x:row r="2224">
      <x:c r="A2224" t="str">
        <x:v>Stage01</x:v>
      </x:c>
      <x:c r="B2224" t="str">
        <x:v>WAVE_51</x:v>
      </x:c>
      <x:c r="C2224" s="409" t="n">
        <x:v>505.26</x:v>
      </x:c>
      <x:c r="D2224" s="410" t="n">
        <x:v>49</x:v>
      </x:c>
      <x:c r="E2224" t="str">
        <x:v>LEFT_03</x:v>
      </x:c>
      <x:c r="F2224" t="str">
        <x:v>GoblinMelee</x:v>
      </x:c>
      <x:c r="G2224" s="410" t="n">
        <x:v>44</x:v>
      </x:c>
    </x:row>
    <x:row r="2225">
      <x:c r="A2225" t="str">
        <x:v>Stage01</x:v>
      </x:c>
      <x:c r="B2225" t="str">
        <x:v>WAVE_51</x:v>
      </x:c>
      <x:c r="C2225" s="409" t="n">
        <x:v>505.34</x:v>
      </x:c>
      <x:c r="D2225" s="410" t="n">
        <x:v>50</x:v>
      </x:c>
      <x:c r="E2225" t="str">
        <x:v>TOP_05</x:v>
      </x:c>
      <x:c r="F2225" t="str">
        <x:v>ShieldSkeleton</x:v>
      </x:c>
      <x:c r="G2225" s="410" t="n">
        <x:v>44</x:v>
      </x:c>
    </x:row>
    <x:row r="2226">
      <x:c r="A2226" t="str">
        <x:v>Stage01</x:v>
      </x:c>
      <x:c r="B2226" t="str">
        <x:v>WAVE_51</x:v>
      </x:c>
      <x:c r="C2226" s="409" t="n">
        <x:v>505.43</x:v>
      </x:c>
      <x:c r="D2226" s="410" t="n">
        <x:v>51</x:v>
      </x:c>
      <x:c r="E2226" t="str">
        <x:v>RIGHT_06</x:v>
      </x:c>
      <x:c r="F2226" t="str">
        <x:v>GoblinMelee</x:v>
      </x:c>
      <x:c r="G2226" s="410" t="n">
        <x:v>43</x:v>
      </x:c>
    </x:row>
    <x:row r="2227">
      <x:c r="A2227" t="str">
        <x:v>Stage01</x:v>
      </x:c>
      <x:c r="B2227" t="str">
        <x:v>WAVE_51</x:v>
      </x:c>
      <x:c r="C2227" s="409" t="n">
        <x:v>505.52</x:v>
      </x:c>
      <x:c r="D2227" s="410" t="n">
        <x:v>52</x:v>
      </x:c>
      <x:c r="E2227" t="str">
        <x:v>BOTTOM_07</x:v>
      </x:c>
      <x:c r="F2227" t="str">
        <x:v>GoblinRanged</x:v>
      </x:c>
      <x:c r="G2227" s="410" t="n">
        <x:v>44</x:v>
      </x:c>
    </x:row>
    <x:row r="2228">
      <x:c r="A2228" t="str">
        <x:v>Stage01</x:v>
      </x:c>
      <x:c r="B2228" t="str">
        <x:v>WAVE_51</x:v>
      </x:c>
      <x:c r="C2228" s="409" t="n">
        <x:v>505.61</x:v>
      </x:c>
      <x:c r="D2228" s="410" t="n">
        <x:v>53</x:v>
      </x:c>
      <x:c r="E2228" t="str">
        <x:v>LEFT_08</x:v>
      </x:c>
      <x:c r="F2228" t="str">
        <x:v>GoblinMelee</x:v>
      </x:c>
      <x:c r="G2228" s="410" t="n">
        <x:v>44</x:v>
      </x:c>
    </x:row>
    <x:row r="2229">
      <x:c r="A2229" t="str">
        <x:v>Stage01</x:v>
      </x:c>
      <x:c r="B2229" t="str">
        <x:v>WAVE_51</x:v>
      </x:c>
      <x:c r="C2229" s="409" t="n">
        <x:v>505.7</x:v>
      </x:c>
      <x:c r="D2229" s="410" t="n">
        <x:v>54</x:v>
      </x:c>
      <x:c r="E2229" t="str">
        <x:v>TOP_02</x:v>
      </x:c>
      <x:c r="F2229" t="str">
        <x:v>GoblinRanged</x:v>
      </x:c>
      <x:c r="G2229" s="410" t="n">
        <x:v>43</x:v>
      </x:c>
    </x:row>
    <x:row r="2230">
      <x:c r="A2230" t="str">
        <x:v>Stage01</x:v>
      </x:c>
      <x:c r="B2230" t="str">
        <x:v>WAVE_51</x:v>
      </x:c>
      <x:c r="C2230" s="409" t="n">
        <x:v>505.79</x:v>
      </x:c>
      <x:c r="D2230" s="410" t="n">
        <x:v>55</x:v>
      </x:c>
      <x:c r="E2230" t="str">
        <x:v>RIGHT_03</x:v>
      </x:c>
      <x:c r="F2230" t="str">
        <x:v>FlyingEye</x:v>
      </x:c>
      <x:c r="G2230" s="410" t="n">
        <x:v>44</x:v>
      </x:c>
    </x:row>
    <x:row r="2231">
      <x:c r="A2231" t="str">
        <x:v>Stage01</x:v>
      </x:c>
      <x:c r="B2231" t="str">
        <x:v>WAVE_51</x:v>
      </x:c>
      <x:c r="C2231" s="409" t="n">
        <x:v>505.88</x:v>
      </x:c>
      <x:c r="D2231" s="410" t="n">
        <x:v>56</x:v>
      </x:c>
      <x:c r="E2231" t="str">
        <x:v>BOTTOM_04</x:v>
      </x:c>
      <x:c r="F2231" t="str">
        <x:v>GoblinMelee</x:v>
      </x:c>
      <x:c r="G2231" s="410" t="n">
        <x:v>44</x:v>
      </x:c>
    </x:row>
    <x:row r="2232">
      <x:c r="A2232" t="str">
        <x:v>Stage01</x:v>
      </x:c>
      <x:c r="B2232" t="str">
        <x:v>WAVE_51</x:v>
      </x:c>
      <x:c r="C2232" s="409" t="n">
        <x:v>505.96</x:v>
      </x:c>
      <x:c r="D2232" s="410" t="n">
        <x:v>57</x:v>
      </x:c>
      <x:c r="E2232" t="str">
        <x:v>LEFT_05</x:v>
      </x:c>
      <x:c r="F2232" t="str">
        <x:v>ShieldSkeleton</x:v>
      </x:c>
      <x:c r="G2232" s="410" t="n">
        <x:v>44</x:v>
      </x:c>
    </x:row>
    <x:row r="2233">
      <x:c r="A2233" t="str">
        <x:v>Stage01</x:v>
      </x:c>
      <x:c r="B2233" t="str">
        <x:v>WAVE_51</x:v>
      </x:c>
      <x:c r="C2233" s="409" t="n">
        <x:v>506.05</x:v>
      </x:c>
      <x:c r="D2233" s="410" t="n">
        <x:v>58</x:v>
      </x:c>
      <x:c r="E2233" t="str">
        <x:v>TOP_07</x:v>
      </x:c>
      <x:c r="F2233" t="str">
        <x:v>GoblinMelee</x:v>
      </x:c>
      <x:c r="G2233" s="410" t="n">
        <x:v>43</x:v>
      </x:c>
    </x:row>
    <x:row r="2234">
      <x:c r="A2234" t="str">
        <x:v>Stage01</x:v>
      </x:c>
      <x:c r="B2234" t="str">
        <x:v>WAVE_51</x:v>
      </x:c>
      <x:c r="C2234" s="409" t="n">
        <x:v>506.14</x:v>
      </x:c>
      <x:c r="D2234" s="410" t="n">
        <x:v>59</x:v>
      </x:c>
      <x:c r="E2234" t="str">
        <x:v>RIGHT_08</x:v>
      </x:c>
      <x:c r="F2234" t="str">
        <x:v>GoblinRanged</x:v>
      </x:c>
      <x:c r="G2234" s="410" t="n">
        <x:v>44</x:v>
      </x:c>
    </x:row>
    <x:row r="2235">
      <x:c r="A2235" t="str">
        <x:v>Stage01</x:v>
      </x:c>
      <x:c r="B2235" t="str">
        <x:v>WAVE_51</x:v>
      </x:c>
      <x:c r="C2235" s="409" t="n">
        <x:v>506.23</x:v>
      </x:c>
      <x:c r="D2235" s="410" t="n">
        <x:v>60</x:v>
      </x:c>
      <x:c r="E2235" t="str">
        <x:v>BOTTOM_01</x:v>
      </x:c>
      <x:c r="F2235" t="str">
        <x:v>GoblinMelee</x:v>
      </x:c>
      <x:c r="G2235" s="410" t="n">
        <x:v>44</x:v>
      </x:c>
    </x:row>
    <x:row r="2236">
      <x:c r="A2236" t="str">
        <x:v>Stage01</x:v>
      </x:c>
      <x:c r="B2236" t="str">
        <x:v>WAVE_51</x:v>
      </x:c>
      <x:c r="C2236" s="409" t="n">
        <x:v>506.32</x:v>
      </x:c>
      <x:c r="D2236" s="410" t="n">
        <x:v>61</x:v>
      </x:c>
      <x:c r="E2236" t="str">
        <x:v>LEFT_02</x:v>
      </x:c>
      <x:c r="F2236" t="str">
        <x:v>GoblinMelee</x:v>
      </x:c>
      <x:c r="G2236" s="410" t="n">
        <x:v>43</x:v>
      </x:c>
    </x:row>
    <x:row r="2237">
      <x:c r="A2237" t="str">
        <x:v>Stage01</x:v>
      </x:c>
      <x:c r="B2237" t="str">
        <x:v>WAVE_51</x:v>
      </x:c>
      <x:c r="C2237" s="409" t="n">
        <x:v>506.41</x:v>
      </x:c>
      <x:c r="D2237" s="410" t="n">
        <x:v>62</x:v>
      </x:c>
      <x:c r="E2237" t="str">
        <x:v>TOP_04</x:v>
      </x:c>
      <x:c r="F2237" t="str">
        <x:v>GoblinRanged</x:v>
      </x:c>
      <x:c r="G2237" s="410" t="n">
        <x:v>44</x:v>
      </x:c>
    </x:row>
    <x:row r="2238">
      <x:c r="A2238" t="str">
        <x:v>Stage01</x:v>
      </x:c>
      <x:c r="B2238" t="str">
        <x:v>WAVE_51</x:v>
      </x:c>
      <x:c r="C2238" s="409" t="n">
        <x:v>506.5</x:v>
      </x:c>
      <x:c r="D2238" s="410" t="n">
        <x:v>63</x:v>
      </x:c>
      <x:c r="E2238" t="str">
        <x:v>RIGHT_05</x:v>
      </x:c>
      <x:c r="F2238" t="str">
        <x:v>GoblinMelee</x:v>
      </x:c>
      <x:c r="G2238" s="410" t="n">
        <x:v>44</x:v>
      </x:c>
    </x:row>
    <x:row r="2239">
      <x:c r="A2239" t="str">
        <x:v>Stage01</x:v>
      </x:c>
      <x:c r="B2239" t="str">
        <x:v>WAVE_51</x:v>
      </x:c>
      <x:c r="C2239" s="409" t="n">
        <x:v>506.59</x:v>
      </x:c>
      <x:c r="D2239" s="410" t="n">
        <x:v>64</x:v>
      </x:c>
      <x:c r="E2239" t="str">
        <x:v>BOTTOM_06</x:v>
      </x:c>
      <x:c r="F2239" t="str">
        <x:v>ShieldSkeleton</x:v>
      </x:c>
      <x:c r="G2239" s="410" t="n">
        <x:v>43</x:v>
      </x:c>
    </x:row>
    <x:row r="2240">
      <x:c r="A2240" t="str">
        <x:v>Stage01</x:v>
      </x:c>
      <x:c r="B2240" t="str">
        <x:v>WAVE_51</x:v>
      </x:c>
      <x:c r="C2240" s="409" t="n">
        <x:v>506.67</x:v>
      </x:c>
      <x:c r="D2240" s="410" t="n">
        <x:v>65</x:v>
      </x:c>
      <x:c r="E2240" t="str">
        <x:v>LEFT_07</x:v>
      </x:c>
      <x:c r="F2240" t="str">
        <x:v>GoblinMelee</x:v>
      </x:c>
      <x:c r="G2240" s="410" t="n">
        <x:v>44</x:v>
      </x:c>
    </x:row>
    <x:row r="2241">
      <x:c r="A2241" t="str">
        <x:v>Stage01</x:v>
      </x:c>
      <x:c r="B2241" t="str">
        <x:v>WAVE_51</x:v>
      </x:c>
      <x:c r="C2241" s="409" t="n">
        <x:v>506.76</x:v>
      </x:c>
      <x:c r="D2241" s="410" t="n">
        <x:v>66</x:v>
      </x:c>
      <x:c r="E2241" t="str">
        <x:v>TOP_01</x:v>
      </x:c>
      <x:c r="F2241" t="str">
        <x:v>GoblinRanged</x:v>
      </x:c>
      <x:c r="G2241" s="410" t="n">
        <x:v>44</x:v>
      </x:c>
    </x:row>
    <x:row r="2242">
      <x:c r="A2242" t="str">
        <x:v>Stage01</x:v>
      </x:c>
      <x:c r="B2242" t="str">
        <x:v>WAVE_51</x:v>
      </x:c>
      <x:c r="C2242" s="409" t="n">
        <x:v>506.85</x:v>
      </x:c>
      <x:c r="D2242" s="410" t="n">
        <x:v>67</x:v>
      </x:c>
      <x:c r="E2242" t="str">
        <x:v>RIGHT_02</x:v>
      </x:c>
      <x:c r="F2242" t="str">
        <x:v>GoblinMelee</x:v>
      </x:c>
      <x:c r="G2242" s="410" t="n">
        <x:v>43</x:v>
      </x:c>
    </x:row>
    <x:row r="2243">
      <x:c r="A2243" t="str">
        <x:v>Stage01</x:v>
      </x:c>
      <x:c r="B2243" t="str">
        <x:v>WAVE_51</x:v>
      </x:c>
      <x:c r="C2243" s="409" t="n">
        <x:v>506.94</x:v>
      </x:c>
      <x:c r="D2243" s="410" t="n">
        <x:v>68</x:v>
      </x:c>
      <x:c r="E2243" t="str">
        <x:v>BOTTOM_03</x:v>
      </x:c>
      <x:c r="F2243" t="str">
        <x:v>FlyingEye</x:v>
      </x:c>
      <x:c r="G2243" s="410" t="n">
        <x:v>44</x:v>
      </x:c>
    </x:row>
    <x:row r="2244">
      <x:c r="A2244" t="str">
        <x:v>Stage01</x:v>
      </x:c>
      <x:c r="B2244" t="str">
        <x:v>WAVE_51</x:v>
      </x:c>
      <x:c r="C2244" s="409" t="n">
        <x:v>507.03</x:v>
      </x:c>
      <x:c r="D2244" s="410" t="n">
        <x:v>69</x:v>
      </x:c>
      <x:c r="E2244" t="str">
        <x:v>LEFT_04</x:v>
      </x:c>
      <x:c r="F2244" t="str">
        <x:v>GoblinRanged</x:v>
      </x:c>
      <x:c r="G2244" s="410" t="n">
        <x:v>44</x:v>
      </x:c>
    </x:row>
    <x:row r="2245">
      <x:c r="A2245" t="str">
        <x:v>Stage01</x:v>
      </x:c>
      <x:c r="B2245" t="str">
        <x:v>WAVE_51</x:v>
      </x:c>
      <x:c r="C2245" s="409" t="n">
        <x:v>507.12</x:v>
      </x:c>
      <x:c r="D2245" s="410" t="n">
        <x:v>70</x:v>
      </x:c>
      <x:c r="E2245" t="str">
        <x:v>TOP_06</x:v>
      </x:c>
      <x:c r="F2245" t="str">
        <x:v>GoblinMelee</x:v>
      </x:c>
      <x:c r="G2245" s="410" t="n">
        <x:v>44</x:v>
      </x:c>
    </x:row>
    <x:row r="2246">
      <x:c r="A2246" t="str">
        <x:v>Stage01</x:v>
      </x:c>
      <x:c r="B2246" t="str">
        <x:v>WAVE_51</x:v>
      </x:c>
      <x:c r="C2246" s="409" t="n">
        <x:v>507.21</x:v>
      </x:c>
      <x:c r="D2246" s="410" t="n">
        <x:v>71</x:v>
      </x:c>
      <x:c r="E2246" t="str">
        <x:v>RIGHT_07</x:v>
      </x:c>
      <x:c r="F2246" t="str">
        <x:v>ShieldSkeleton</x:v>
      </x:c>
      <x:c r="G2246" s="410" t="n">
        <x:v>43</x:v>
      </x:c>
    </x:row>
    <x:row r="2247">
      <x:c r="A2247" t="str">
        <x:v>Stage01</x:v>
      </x:c>
      <x:c r="B2247" t="str">
        <x:v>WAVE_51</x:v>
      </x:c>
      <x:c r="C2247" s="409" t="n">
        <x:v>507.29</x:v>
      </x:c>
      <x:c r="D2247" s="410" t="n">
        <x:v>72</x:v>
      </x:c>
      <x:c r="E2247" t="str">
        <x:v>BOTTOM_08</x:v>
      </x:c>
      <x:c r="F2247" t="str">
        <x:v>GoblinMelee</x:v>
      </x:c>
      <x:c r="G2247" s="410" t="n">
        <x:v>44</x:v>
      </x:c>
    </x:row>
    <x:row r="2248">
      <x:c r="A2248" t="str">
        <x:v>Stage01</x:v>
      </x:c>
      <x:c r="B2248" t="str">
        <x:v>WAVE_51</x:v>
      </x:c>
      <x:c r="C2248" s="409" t="n">
        <x:v>507.38</x:v>
      </x:c>
      <x:c r="D2248" s="410" t="n">
        <x:v>73</x:v>
      </x:c>
      <x:c r="E2248" t="str">
        <x:v>LEFT_01</x:v>
      </x:c>
      <x:c r="F2248" t="str">
        <x:v>GoblinRanged</x:v>
      </x:c>
      <x:c r="G2248" s="410" t="n">
        <x:v>44</x:v>
      </x:c>
    </x:row>
    <x:row r="2249">
      <x:c r="A2249" t="str">
        <x:v>Stage01</x:v>
      </x:c>
      <x:c r="B2249" t="str">
        <x:v>WAVE_51</x:v>
      </x:c>
      <x:c r="C2249" s="409" t="n">
        <x:v>507.47</x:v>
      </x:c>
      <x:c r="D2249" s="410" t="n">
        <x:v>74</x:v>
      </x:c>
      <x:c r="E2249" t="str">
        <x:v>TOP_03</x:v>
      </x:c>
      <x:c r="F2249" t="str">
        <x:v>GoblinMelee</x:v>
      </x:c>
      <x:c r="G2249" s="410" t="n">
        <x:v>43</x:v>
      </x:c>
    </x:row>
    <x:row r="2250">
      <x:c r="A2250" t="str">
        <x:v>Stage01</x:v>
      </x:c>
      <x:c r="B2250" t="str">
        <x:v>WAVE_51</x:v>
      </x:c>
      <x:c r="C2250" s="409" t="n">
        <x:v>507.56</x:v>
      </x:c>
      <x:c r="D2250" s="410" t="n">
        <x:v>75</x:v>
      </x:c>
      <x:c r="E2250" t="str">
        <x:v>RIGHT_04</x:v>
      </x:c>
      <x:c r="F2250" t="str">
        <x:v>GoblinMelee</x:v>
      </x:c>
      <x:c r="G2250" s="410" t="n">
        <x:v>44</x:v>
      </x:c>
    </x:row>
    <x:row r="2251">
      <x:c r="A2251" t="str">
        <x:v>Stage01</x:v>
      </x:c>
      <x:c r="B2251" t="str">
        <x:v>WAVE_51</x:v>
      </x:c>
      <x:c r="C2251" s="409" t="n">
        <x:v>507.65</x:v>
      </x:c>
      <x:c r="D2251" s="410" t="n">
        <x:v>76</x:v>
      </x:c>
      <x:c r="E2251" t="str">
        <x:v>BOTTOM_05</x:v>
      </x:c>
      <x:c r="F2251" t="str">
        <x:v>GoblinRanged</x:v>
      </x:c>
      <x:c r="G2251" s="410" t="n">
        <x:v>44</x:v>
      </x:c>
    </x:row>
    <x:row r="2252">
      <x:c r="A2252" t="str">
        <x:v>Stage01</x:v>
      </x:c>
      <x:c r="B2252" t="str">
        <x:v>WAVE_51</x:v>
      </x:c>
      <x:c r="C2252" s="409" t="n">
        <x:v>507.74</x:v>
      </x:c>
      <x:c r="D2252" s="410" t="n">
        <x:v>77</x:v>
      </x:c>
      <x:c r="E2252" t="str">
        <x:v>LEFT_06</x:v>
      </x:c>
      <x:c r="F2252" t="str">
        <x:v>GoblinMelee</x:v>
      </x:c>
      <x:c r="G2252" s="410" t="n">
        <x:v>43</x:v>
      </x:c>
    </x:row>
    <x:row r="2253">
      <x:c r="A2253" t="str">
        <x:v>Stage01</x:v>
      </x:c>
      <x:c r="B2253" t="str">
        <x:v>WAVE_51</x:v>
      </x:c>
      <x:c r="C2253" s="409" t="n">
        <x:v>507.83</x:v>
      </x:c>
      <x:c r="D2253" s="410" t="n">
        <x:v>78</x:v>
      </x:c>
      <x:c r="E2253" t="str">
        <x:v>TOP_08</x:v>
      </x:c>
      <x:c r="F2253" t="str">
        <x:v>GoblinMelee</x:v>
      </x:c>
      <x:c r="G2253" s="410" t="n">
        <x:v>44</x:v>
      </x:c>
    </x:row>
    <x:row r="2254">
      <x:c r="A2254" t="str">
        <x:v>Stage01</x:v>
      </x:c>
      <x:c r="B2254" t="str">
        <x:v>WAVE_51</x:v>
      </x:c>
      <x:c r="C2254" s="409" t="n">
        <x:v>507.92</x:v>
      </x:c>
      <x:c r="D2254" s="410" t="n">
        <x:v>79</x:v>
      </x:c>
      <x:c r="E2254" t="str">
        <x:v>RIGHT_01</x:v>
      </x:c>
      <x:c r="F2254" t="str">
        <x:v>GoblinRanged</x:v>
      </x:c>
      <x:c r="G2254" s="410" t="n">
        <x:v>44</x:v>
      </x:c>
    </x:row>
    <x:row r="2255">
      <x:c r="A2255" t="str">
        <x:v>Stage01</x:v>
      </x:c>
      <x:c r="B2255" t="str">
        <x:v>WAVE_51</x:v>
      </x:c>
      <x:c r="C2255" s="409" t="n">
        <x:v>508</x:v>
      </x:c>
      <x:c r="D2255" s="410" t="n">
        <x:v>80</x:v>
      </x:c>
      <x:c r="E2255" t="str">
        <x:v>BOTTOM_02</x:v>
      </x:c>
      <x:c r="F2255" t="str">
        <x:v>ShieldSkeleton</x:v>
      </x:c>
      <x:c r="G2255" s="410" t="n">
        <x:v>44</x:v>
      </x:c>
    </x:row>
    <x:row r="2256">
      <x:c r="A2256" t="str">
        <x:v>Stage01</x:v>
      </x:c>
      <x:c r="B2256" t="str">
        <x:v>WAVE_51</x:v>
      </x:c>
      <x:c r="C2256" s="409" t="n">
        <x:v>508.09</x:v>
      </x:c>
      <x:c r="D2256" s="410" t="n">
        <x:v>81</x:v>
      </x:c>
      <x:c r="E2256" t="str">
        <x:v>LEFT_03</x:v>
      </x:c>
      <x:c r="F2256" t="str">
        <x:v>GoblinMelee</x:v>
      </x:c>
      <x:c r="G2256" s="410" t="n">
        <x:v>43</x:v>
      </x:c>
    </x:row>
    <x:row r="2257">
      <x:c r="A2257" t="str">
        <x:v>Stage01</x:v>
      </x:c>
      <x:c r="B2257" t="str">
        <x:v>WAVE_51</x:v>
      </x:c>
      <x:c r="C2257" s="409" t="n">
        <x:v>508.18</x:v>
      </x:c>
      <x:c r="D2257" s="410" t="n">
        <x:v>82</x:v>
      </x:c>
      <x:c r="E2257" t="str">
        <x:v>TOP_05</x:v>
      </x:c>
      <x:c r="F2257" t="str">
        <x:v>FlyingEye</x:v>
      </x:c>
      <x:c r="G2257" s="410" t="n">
        <x:v>44</x:v>
      </x:c>
    </x:row>
    <x:row r="2258">
      <x:c r="A2258" t="str">
        <x:v>Stage01</x:v>
      </x:c>
      <x:c r="B2258" t="str">
        <x:v>WAVE_51</x:v>
      </x:c>
      <x:c r="C2258" s="409" t="n">
        <x:v>508.27</x:v>
      </x:c>
      <x:c r="D2258" s="410" t="n">
        <x:v>83</x:v>
      </x:c>
      <x:c r="E2258" t="str">
        <x:v>RIGHT_06</x:v>
      </x:c>
      <x:c r="F2258" t="str">
        <x:v>GoblinRanged</x:v>
      </x:c>
      <x:c r="G2258" s="410" t="n">
        <x:v>44</x:v>
      </x:c>
    </x:row>
    <x:row r="2259">
      <x:c r="A2259" t="str">
        <x:v>Stage01</x:v>
      </x:c>
      <x:c r="B2259" t="str">
        <x:v>WAVE_51</x:v>
      </x:c>
      <x:c r="C2259" s="409" t="n">
        <x:v>508.36</x:v>
      </x:c>
      <x:c r="D2259" s="410" t="n">
        <x:v>84</x:v>
      </x:c>
      <x:c r="E2259" t="str">
        <x:v>BOTTOM_07</x:v>
      </x:c>
      <x:c r="F2259" t="str">
        <x:v>GoblinMelee</x:v>
      </x:c>
      <x:c r="G2259" s="410" t="n">
        <x:v>43</x:v>
      </x:c>
    </x:row>
    <x:row r="2260">
      <x:c r="A2260" t="str">
        <x:v>Stage01</x:v>
      </x:c>
      <x:c r="B2260" t="str">
        <x:v>WAVE_51</x:v>
      </x:c>
      <x:c r="C2260" s="409" t="n">
        <x:v>508.45</x:v>
      </x:c>
      <x:c r="D2260" s="410" t="n">
        <x:v>85</x:v>
      </x:c>
      <x:c r="E2260" t="str">
        <x:v>LEFT_08</x:v>
      </x:c>
      <x:c r="F2260" t="str">
        <x:v>GoblinMelee</x:v>
      </x:c>
      <x:c r="G2260" s="410" t="n">
        <x:v>44</x:v>
      </x:c>
    </x:row>
    <x:row r="2261">
      <x:c r="A2261" t="str">
        <x:v>Stage01</x:v>
      </x:c>
      <x:c r="B2261" t="str">
        <x:v>WAVE_51</x:v>
      </x:c>
      <x:c r="C2261" s="409" t="n">
        <x:v>508.54</x:v>
      </x:c>
      <x:c r="D2261" s="410" t="n">
        <x:v>86</x:v>
      </x:c>
      <x:c r="E2261" t="str">
        <x:v>TOP_02</x:v>
      </x:c>
      <x:c r="F2261" t="str">
        <x:v>GoblinRanged</x:v>
      </x:c>
      <x:c r="G2261" s="410" t="n">
        <x:v>44</x:v>
      </x:c>
    </x:row>
    <x:row r="2262">
      <x:c r="A2262" t="str">
        <x:v>Stage01</x:v>
      </x:c>
      <x:c r="B2262" t="str">
        <x:v>WAVE_51</x:v>
      </x:c>
      <x:c r="C2262" s="409" t="n">
        <x:v>508.62</x:v>
      </x:c>
      <x:c r="D2262" s="410" t="n">
        <x:v>87</x:v>
      </x:c>
      <x:c r="E2262" t="str">
        <x:v>RIGHT_03</x:v>
      </x:c>
      <x:c r="F2262" t="str">
        <x:v>GoblinMelee</x:v>
      </x:c>
      <x:c r="G2262" s="410" t="n">
        <x:v>43</x:v>
      </x:c>
    </x:row>
    <x:row r="2263">
      <x:c r="A2263" t="str">
        <x:v>Stage01</x:v>
      </x:c>
      <x:c r="B2263" t="str">
        <x:v>WAVE_51</x:v>
      </x:c>
      <x:c r="C2263" s="409" t="n">
        <x:v>508.71</x:v>
      </x:c>
      <x:c r="D2263" s="410" t="n">
        <x:v>88</x:v>
      </x:c>
      <x:c r="E2263" t="str">
        <x:v>BOTTOM_04</x:v>
      </x:c>
      <x:c r="F2263" t="str">
        <x:v>ShieldSkeleton</x:v>
      </x:c>
      <x:c r="G2263" s="410" t="n">
        <x:v>44</x:v>
      </x:c>
    </x:row>
    <x:row r="2264">
      <x:c r="A2264" t="str">
        <x:v>Stage01</x:v>
      </x:c>
      <x:c r="B2264" t="str">
        <x:v>WAVE_51</x:v>
      </x:c>
      <x:c r="C2264" s="409" t="n">
        <x:v>508.8</x:v>
      </x:c>
      <x:c r="D2264" s="410" t="n">
        <x:v>89</x:v>
      </x:c>
      <x:c r="E2264" t="str">
        <x:v>LEFT_05</x:v>
      </x:c>
      <x:c r="F2264" t="str">
        <x:v>GoblinMelee</x:v>
      </x:c>
      <x:c r="G2264" s="410" t="n">
        <x:v>44</x:v>
      </x:c>
    </x:row>
    <x:row r="2265">
      <x:c r="A2265" t="str">
        <x:v>Stage01</x:v>
      </x:c>
      <x:c r="B2265" t="str">
        <x:v>WAVE_51</x:v>
      </x:c>
      <x:c r="C2265" s="409" t="n">
        <x:v>508.89</x:v>
      </x:c>
      <x:c r="D2265" s="410" t="n">
        <x:v>90</x:v>
      </x:c>
      <x:c r="E2265" t="str">
        <x:v>TOP_07</x:v>
      </x:c>
      <x:c r="F2265" t="str">
        <x:v>GoblinRanged</x:v>
      </x:c>
      <x:c r="G2265" s="410" t="n">
        <x:v>43</x:v>
      </x:c>
    </x:row>
    <x:row r="2266">
      <x:c r="A2266" t="str">
        <x:v>Stage01</x:v>
      </x:c>
      <x:c r="B2266" t="str">
        <x:v>WAVE_51</x:v>
      </x:c>
      <x:c r="C2266" s="409" t="n">
        <x:v>508.98</x:v>
      </x:c>
      <x:c r="D2266" s="410" t="n">
        <x:v>91</x:v>
      </x:c>
      <x:c r="E2266" t="str">
        <x:v>RIGHT_08</x:v>
      </x:c>
      <x:c r="F2266" t="str">
        <x:v>GoblinMelee</x:v>
      </x:c>
      <x:c r="G2266" s="410" t="n">
        <x:v>44</x:v>
      </x:c>
    </x:row>
    <x:row r="2267">
      <x:c r="A2267" t="str">
        <x:v>Stage01</x:v>
      </x:c>
      <x:c r="B2267" t="str">
        <x:v>WAVE_51</x:v>
      </x:c>
      <x:c r="C2267" s="409" t="n">
        <x:v>509.07</x:v>
      </x:c>
      <x:c r="D2267" s="410" t="n">
        <x:v>92</x:v>
      </x:c>
      <x:c r="E2267" t="str">
        <x:v>BOTTOM_01</x:v>
      </x:c>
      <x:c r="F2267" t="str">
        <x:v>GoblinMelee</x:v>
      </x:c>
      <x:c r="G2267" s="410" t="n">
        <x:v>44</x:v>
      </x:c>
    </x:row>
    <x:row r="2268">
      <x:c r="A2268" t="str">
        <x:v>Stage01</x:v>
      </x:c>
      <x:c r="B2268" t="str">
        <x:v>WAVE_51</x:v>
      </x:c>
      <x:c r="C2268" s="409" t="n">
        <x:v>509.16</x:v>
      </x:c>
      <x:c r="D2268" s="410" t="n">
        <x:v>93</x:v>
      </x:c>
      <x:c r="E2268" t="str">
        <x:v>LEFT_02</x:v>
      </x:c>
      <x:c r="F2268" t="str">
        <x:v>GoblinRanged</x:v>
      </x:c>
      <x:c r="G2268" s="410" t="n">
        <x:v>44</x:v>
      </x:c>
    </x:row>
    <x:row r="2269">
      <x:c r="A2269" t="str">
        <x:v>Stage01</x:v>
      </x:c>
      <x:c r="B2269" t="str">
        <x:v>WAVE_51</x:v>
      </x:c>
      <x:c r="C2269" s="409" t="n">
        <x:v>509.25</x:v>
      </x:c>
      <x:c r="D2269" s="410" t="n">
        <x:v>94</x:v>
      </x:c>
      <x:c r="E2269" t="str">
        <x:v>TOP_04</x:v>
      </x:c>
      <x:c r="F2269" t="str">
        <x:v>GoblinMelee</x:v>
      </x:c>
      <x:c r="G2269" s="410" t="n">
        <x:v>43</x:v>
      </x:c>
    </x:row>
    <x:row r="2270">
      <x:c r="A2270" t="str">
        <x:v>Stage01</x:v>
      </x:c>
      <x:c r="B2270" t="str">
        <x:v>WAVE_51</x:v>
      </x:c>
      <x:c r="C2270" s="409" t="n">
        <x:v>509.33</x:v>
      </x:c>
      <x:c r="D2270" s="410" t="n">
        <x:v>95</x:v>
      </x:c>
      <x:c r="E2270" t="str">
        <x:v>RIGHT_05</x:v>
      </x:c>
      <x:c r="F2270" t="str">
        <x:v>ShieldSkeleton</x:v>
      </x:c>
      <x:c r="G2270" s="410" t="n">
        <x:v>44</x:v>
      </x:c>
    </x:row>
    <x:row r="2271">
      <x:c r="A2271" t="str">
        <x:v>Stage01</x:v>
      </x:c>
      <x:c r="B2271" t="str">
        <x:v>WAVE_51</x:v>
      </x:c>
      <x:c r="C2271" s="409" t="n">
        <x:v>509.42</x:v>
      </x:c>
      <x:c r="D2271" s="410" t="n">
        <x:v>96</x:v>
      </x:c>
      <x:c r="E2271" t="str">
        <x:v>BOTTOM_06</x:v>
      </x:c>
      <x:c r="F2271" t="str">
        <x:v>FlyingEye</x:v>
      </x:c>
      <x:c r="G2271" s="410" t="n">
        <x:v>44</x:v>
      </x:c>
    </x:row>
    <x:row r="2272">
      <x:c r="A2272" t="str">
        <x:v>Stage01</x:v>
      </x:c>
      <x:c r="B2272" t="str">
        <x:v>WAVE_51</x:v>
      </x:c>
      <x:c r="C2272" s="409" t="n">
        <x:v>509.51</x:v>
      </x:c>
      <x:c r="D2272" s="410" t="n">
        <x:v>97</x:v>
      </x:c>
      <x:c r="E2272" t="str">
        <x:v>LEFT_07</x:v>
      </x:c>
      <x:c r="F2272" t="str">
        <x:v>GoblinRanged</x:v>
      </x:c>
      <x:c r="G2272" s="410" t="n">
        <x:v>43</x:v>
      </x:c>
    </x:row>
    <x:row r="2273">
      <x:c r="A2273" t="str">
        <x:v>Stage01</x:v>
      </x:c>
      <x:c r="B2273" t="str">
        <x:v>WAVE_51</x:v>
      </x:c>
      <x:c r="C2273" s="409" t="n">
        <x:v>509.6</x:v>
      </x:c>
      <x:c r="D2273" s="410" t="n">
        <x:v>98</x:v>
      </x:c>
      <x:c r="E2273" t="str">
        <x:v>TOP_01</x:v>
      </x:c>
      <x:c r="F2273" t="str">
        <x:v>GoblinMelee</x:v>
      </x:c>
      <x:c r="G2273" s="410" t="n">
        <x:v>44</x:v>
      </x:c>
    </x:row>
    <x:row r="2274">
      <x:c r="A2274" t="str">
        <x:v>Stage01</x:v>
      </x:c>
      <x:c r="B2274" t="str">
        <x:v>WAVE_52</x:v>
      </x:c>
      <x:c r="C2274" s="409" t="n">
        <x:v>511</x:v>
      </x:c>
      <x:c r="D2274" s="410" t="n">
        <x:v>1</x:v>
      </x:c>
      <x:c r="E2274" t="str">
        <x:v>TOP_04</x:v>
      </x:c>
      <x:c r="F2274" t="str">
        <x:v>GoblinMelee</x:v>
      </x:c>
      <x:c r="G2274" s="410" t="n">
        <x:v>45</x:v>
      </x:c>
    </x:row>
    <x:row r="2275">
      <x:c r="A2275" t="str">
        <x:v>Stage01</x:v>
      </x:c>
      <x:c r="B2275" t="str">
        <x:v>WAVE_52</x:v>
      </x:c>
      <x:c r="C2275" s="409" t="n">
        <x:v>511.09</x:v>
      </x:c>
      <x:c r="D2275" s="410" t="n">
        <x:v>2</x:v>
      </x:c>
      <x:c r="E2275" t="str">
        <x:v>RIGHT_05</x:v>
      </x:c>
      <x:c r="F2275" t="str">
        <x:v>GoblinRanged</x:v>
      </x:c>
      <x:c r="G2275" s="410" t="n">
        <x:v>44</x:v>
      </x:c>
    </x:row>
    <x:row r="2276">
      <x:c r="A2276" t="str">
        <x:v>Stage01</x:v>
      </x:c>
      <x:c r="B2276" t="str">
        <x:v>WAVE_52</x:v>
      </x:c>
      <x:c r="C2276" s="409" t="n">
        <x:v>511.17</x:v>
      </x:c>
      <x:c r="D2276" s="410" t="n">
        <x:v>3</x:v>
      </x:c>
      <x:c r="E2276" t="str">
        <x:v>BOTTOM_06</x:v>
      </x:c>
      <x:c r="F2276" t="str">
        <x:v>GoblinMelee</x:v>
      </x:c>
      <x:c r="G2276" s="410" t="n">
        <x:v>45</x:v>
      </x:c>
    </x:row>
    <x:row r="2277">
      <x:c r="A2277" t="str">
        <x:v>Stage01</x:v>
      </x:c>
      <x:c r="B2277" t="str">
        <x:v>WAVE_52</x:v>
      </x:c>
      <x:c r="C2277" s="409" t="n">
        <x:v>511.26</x:v>
      </x:c>
      <x:c r="D2277" s="410" t="n">
        <x:v>4</x:v>
      </x:c>
      <x:c r="E2277" t="str">
        <x:v>LEFT_07</x:v>
      </x:c>
      <x:c r="F2277" t="str">
        <x:v>ShieldSkeleton</x:v>
      </x:c>
      <x:c r="G2277" s="410" t="n">
        <x:v>45</x:v>
      </x:c>
    </x:row>
    <x:row r="2278">
      <x:c r="A2278" t="str">
        <x:v>Stage01</x:v>
      </x:c>
      <x:c r="B2278" t="str">
        <x:v>WAVE_52</x:v>
      </x:c>
      <x:c r="C2278" s="409" t="n">
        <x:v>511.34</x:v>
      </x:c>
      <x:c r="D2278" s="410" t="n">
        <x:v>5</x:v>
      </x:c>
      <x:c r="E2278" t="str">
        <x:v>TOP_01</x:v>
      </x:c>
      <x:c r="F2278" t="str">
        <x:v>GoblinMelee</x:v>
      </x:c>
      <x:c r="G2278" s="410" t="n">
        <x:v>45</x:v>
      </x:c>
    </x:row>
    <x:row r="2279">
      <x:c r="A2279" t="str">
        <x:v>Stage01</x:v>
      </x:c>
      <x:c r="B2279" t="str">
        <x:v>WAVE_52</x:v>
      </x:c>
      <x:c r="C2279" s="409" t="n">
        <x:v>511.43</x:v>
      </x:c>
      <x:c r="D2279" s="410" t="n">
        <x:v>6</x:v>
      </x:c>
      <x:c r="E2279" t="str">
        <x:v>RIGHT_02</x:v>
      </x:c>
      <x:c r="F2279" t="str">
        <x:v>GoblinRanged</x:v>
      </x:c>
      <x:c r="G2279" s="410" t="n">
        <x:v>44</x:v>
      </x:c>
    </x:row>
    <x:row r="2280">
      <x:c r="A2280" t="str">
        <x:v>Stage01</x:v>
      </x:c>
      <x:c r="B2280" t="str">
        <x:v>WAVE_52</x:v>
      </x:c>
      <x:c r="C2280" s="409" t="n">
        <x:v>511.52</x:v>
      </x:c>
      <x:c r="D2280" s="410" t="n">
        <x:v>7</x:v>
      </x:c>
      <x:c r="E2280" t="str">
        <x:v>BOTTOM_03</x:v>
      </x:c>
      <x:c r="F2280" t="str">
        <x:v>GoblinMelee</x:v>
      </x:c>
      <x:c r="G2280" s="410" t="n">
        <x:v>45</x:v>
      </x:c>
    </x:row>
    <x:row r="2281">
      <x:c r="A2281" t="str">
        <x:v>Stage01</x:v>
      </x:c>
      <x:c r="B2281" t="str">
        <x:v>WAVE_52</x:v>
      </x:c>
      <x:c r="C2281" s="409" t="n">
        <x:v>511.6</x:v>
      </x:c>
      <x:c r="D2281" s="410" t="n">
        <x:v>8</x:v>
      </x:c>
      <x:c r="E2281" t="str">
        <x:v>LEFT_04</x:v>
      </x:c>
      <x:c r="F2281" t="str">
        <x:v>GoblinMelee</x:v>
      </x:c>
      <x:c r="G2281" s="410" t="n">
        <x:v>45</x:v>
      </x:c>
    </x:row>
    <x:row r="2282">
      <x:c r="A2282" t="str">
        <x:v>Stage01</x:v>
      </x:c>
      <x:c r="B2282" t="str">
        <x:v>WAVE_52</x:v>
      </x:c>
      <x:c r="C2282" s="409" t="n">
        <x:v>511.69</x:v>
      </x:c>
      <x:c r="D2282" s="410" t="n">
        <x:v>9</x:v>
      </x:c>
      <x:c r="E2282" t="str">
        <x:v>TOP_06</x:v>
      </x:c>
      <x:c r="F2282" t="str">
        <x:v>GoblinRanged</x:v>
      </x:c>
      <x:c r="G2282" s="410" t="n">
        <x:v>45</x:v>
      </x:c>
    </x:row>
    <x:row r="2283">
      <x:c r="A2283" t="str">
        <x:v>Stage01</x:v>
      </x:c>
      <x:c r="B2283" t="str">
        <x:v>WAVE_52</x:v>
      </x:c>
      <x:c r="C2283" s="409" t="n">
        <x:v>511.77</x:v>
      </x:c>
      <x:c r="D2283" s="410" t="n">
        <x:v>10</x:v>
      </x:c>
      <x:c r="E2283" t="str">
        <x:v>RIGHT_07</x:v>
      </x:c>
      <x:c r="F2283" t="str">
        <x:v>GoblinMelee</x:v>
      </x:c>
      <x:c r="G2283" s="410" t="n">
        <x:v>44</x:v>
      </x:c>
    </x:row>
    <x:row r="2284">
      <x:c r="A2284" t="str">
        <x:v>Stage01</x:v>
      </x:c>
      <x:c r="B2284" t="str">
        <x:v>WAVE_52</x:v>
      </x:c>
      <x:c r="C2284" s="409" t="n">
        <x:v>511.86</x:v>
      </x:c>
      <x:c r="D2284" s="410" t="n">
        <x:v>11</x:v>
      </x:c>
      <x:c r="E2284" t="str">
        <x:v>BOTTOM_08</x:v>
      </x:c>
      <x:c r="F2284" t="str">
        <x:v>ShieldSkeleton</x:v>
      </x:c>
      <x:c r="G2284" s="410" t="n">
        <x:v>45</x:v>
      </x:c>
    </x:row>
    <x:row r="2285">
      <x:c r="A2285" t="str">
        <x:v>Stage01</x:v>
      </x:c>
      <x:c r="B2285" t="str">
        <x:v>WAVE_52</x:v>
      </x:c>
      <x:c r="C2285" s="409" t="n">
        <x:v>511.95</x:v>
      </x:c>
      <x:c r="D2285" s="410" t="n">
        <x:v>12</x:v>
      </x:c>
      <x:c r="E2285" t="str">
        <x:v>LEFT_01</x:v>
      </x:c>
      <x:c r="F2285" t="str">
        <x:v>GoblinMelee</x:v>
      </x:c>
      <x:c r="G2285" s="410" t="n">
        <x:v>45</x:v>
      </x:c>
    </x:row>
    <x:row r="2286">
      <x:c r="A2286" t="str">
        <x:v>Stage01</x:v>
      </x:c>
      <x:c r="B2286" t="str">
        <x:v>WAVE_52</x:v>
      </x:c>
      <x:c r="C2286" s="409" t="n">
        <x:v>512.03</x:v>
      </x:c>
      <x:c r="D2286" s="410" t="n">
        <x:v>13</x:v>
      </x:c>
      <x:c r="E2286" t="str">
        <x:v>TOP_03</x:v>
      </x:c>
      <x:c r="F2286" t="str">
        <x:v>GoblinRanged</x:v>
      </x:c>
      <x:c r="G2286" s="410" t="n">
        <x:v>45</x:v>
      </x:c>
    </x:row>
    <x:row r="2287">
      <x:c r="A2287" t="str">
        <x:v>Stage01</x:v>
      </x:c>
      <x:c r="B2287" t="str">
        <x:v>WAVE_52</x:v>
      </x:c>
      <x:c r="C2287" s="409" t="n">
        <x:v>512.12</x:v>
      </x:c>
      <x:c r="D2287" s="410" t="n">
        <x:v>14</x:v>
      </x:c>
      <x:c r="E2287" t="str">
        <x:v>RIGHT_04</x:v>
      </x:c>
      <x:c r="F2287" t="str">
        <x:v>FlyingEye</x:v>
      </x:c>
      <x:c r="G2287" s="410" t="n">
        <x:v>44</x:v>
      </x:c>
    </x:row>
    <x:row r="2288">
      <x:c r="A2288" t="str">
        <x:v>Stage01</x:v>
      </x:c>
      <x:c r="B2288" t="str">
        <x:v>WAVE_52</x:v>
      </x:c>
      <x:c r="C2288" s="409" t="n">
        <x:v>512.2</x:v>
      </x:c>
      <x:c r="D2288" s="410" t="n">
        <x:v>15</x:v>
      </x:c>
      <x:c r="E2288" t="str">
        <x:v>BOTTOM_05</x:v>
      </x:c>
      <x:c r="F2288" t="str">
        <x:v>GoblinMelee</x:v>
      </x:c>
      <x:c r="G2288" s="410" t="n">
        <x:v>45</x:v>
      </x:c>
    </x:row>
    <x:row r="2289">
      <x:c r="A2289" t="str">
        <x:v>Stage01</x:v>
      </x:c>
      <x:c r="B2289" t="str">
        <x:v>WAVE_52</x:v>
      </x:c>
      <x:c r="C2289" s="409" t="n">
        <x:v>512.29</x:v>
      </x:c>
      <x:c r="D2289" s="410" t="n">
        <x:v>16</x:v>
      </x:c>
      <x:c r="E2289" t="str">
        <x:v>LEFT_06</x:v>
      </x:c>
      <x:c r="F2289" t="str">
        <x:v>GoblinRanged</x:v>
      </x:c>
      <x:c r="G2289" s="410" t="n">
        <x:v>45</x:v>
      </x:c>
    </x:row>
    <x:row r="2290">
      <x:c r="A2290" t="str">
        <x:v>Stage01</x:v>
      </x:c>
      <x:c r="B2290" t="str">
        <x:v>WAVE_52</x:v>
      </x:c>
      <x:c r="C2290" s="409" t="n">
        <x:v>512.38</x:v>
      </x:c>
      <x:c r="D2290" s="410" t="n">
        <x:v>17</x:v>
      </x:c>
      <x:c r="E2290" t="str">
        <x:v>TOP_08</x:v>
      </x:c>
      <x:c r="F2290" t="str">
        <x:v>GoblinMelee</x:v>
      </x:c>
      <x:c r="G2290" s="410" t="n">
        <x:v>44</x:v>
      </x:c>
    </x:row>
    <x:row r="2291">
      <x:c r="A2291" t="str">
        <x:v>Stage01</x:v>
      </x:c>
      <x:c r="B2291" t="str">
        <x:v>WAVE_52</x:v>
      </x:c>
      <x:c r="C2291" s="409" t="n">
        <x:v>512.46</x:v>
      </x:c>
      <x:c r="D2291" s="410" t="n">
        <x:v>18</x:v>
      </x:c>
      <x:c r="E2291" t="str">
        <x:v>RIGHT_01</x:v>
      </x:c>
      <x:c r="F2291" t="str">
        <x:v>ShieldSkeleton</x:v>
      </x:c>
      <x:c r="G2291" s="410" t="n">
        <x:v>45</x:v>
      </x:c>
    </x:row>
    <x:row r="2292">
      <x:c r="A2292" t="str">
        <x:v>Stage01</x:v>
      </x:c>
      <x:c r="B2292" t="str">
        <x:v>WAVE_52</x:v>
      </x:c>
      <x:c r="C2292" s="409" t="n">
        <x:v>512.55</x:v>
      </x:c>
      <x:c r="D2292" s="410" t="n">
        <x:v>19</x:v>
      </x:c>
      <x:c r="E2292" t="str">
        <x:v>BOTTOM_02</x:v>
      </x:c>
      <x:c r="F2292" t="str">
        <x:v>GoblinMelee</x:v>
      </x:c>
      <x:c r="G2292" s="410" t="n">
        <x:v>45</x:v>
      </x:c>
    </x:row>
    <x:row r="2293">
      <x:c r="A2293" t="str">
        <x:v>Stage01</x:v>
      </x:c>
      <x:c r="B2293" t="str">
        <x:v>WAVE_52</x:v>
      </x:c>
      <x:c r="C2293" s="409" t="n">
        <x:v>512.63</x:v>
      </x:c>
      <x:c r="D2293" s="410" t="n">
        <x:v>20</x:v>
      </x:c>
      <x:c r="E2293" t="str">
        <x:v>LEFT_03</x:v>
      </x:c>
      <x:c r="F2293" t="str">
        <x:v>GoblinRanged</x:v>
      </x:c>
      <x:c r="G2293" s="410" t="n">
        <x:v>45</x:v>
      </x:c>
    </x:row>
    <x:row r="2294">
      <x:c r="A2294" t="str">
        <x:v>Stage01</x:v>
      </x:c>
      <x:c r="B2294" t="str">
        <x:v>WAVE_52</x:v>
      </x:c>
      <x:c r="C2294" s="409" t="n">
        <x:v>512.72</x:v>
      </x:c>
      <x:c r="D2294" s="410" t="n">
        <x:v>21</x:v>
      </x:c>
      <x:c r="E2294" t="str">
        <x:v>TOP_05</x:v>
      </x:c>
      <x:c r="F2294" t="str">
        <x:v>GoblinMelee</x:v>
      </x:c>
      <x:c r="G2294" s="410" t="n">
        <x:v>44</x:v>
      </x:c>
    </x:row>
    <x:row r="2295">
      <x:c r="A2295" t="str">
        <x:v>Stage01</x:v>
      </x:c>
      <x:c r="B2295" t="str">
        <x:v>WAVE_52</x:v>
      </x:c>
      <x:c r="C2295" s="409" t="n">
        <x:v>512.81</x:v>
      </x:c>
      <x:c r="D2295" s="410" t="n">
        <x:v>22</x:v>
      </x:c>
      <x:c r="E2295" t="str">
        <x:v>RIGHT_06</x:v>
      </x:c>
      <x:c r="F2295" t="str">
        <x:v>GoblinMelee</x:v>
      </x:c>
      <x:c r="G2295" s="410" t="n">
        <x:v>45</x:v>
      </x:c>
    </x:row>
    <x:row r="2296">
      <x:c r="A2296" t="str">
        <x:v>Stage01</x:v>
      </x:c>
      <x:c r="B2296" t="str">
        <x:v>WAVE_52</x:v>
      </x:c>
      <x:c r="C2296" s="409" t="n">
        <x:v>512.89</x:v>
      </x:c>
      <x:c r="D2296" s="410" t="n">
        <x:v>23</x:v>
      </x:c>
      <x:c r="E2296" t="str">
        <x:v>BOTTOM_07</x:v>
      </x:c>
      <x:c r="F2296" t="str">
        <x:v>GoblinRanged</x:v>
      </x:c>
      <x:c r="G2296" s="410" t="n">
        <x:v>45</x:v>
      </x:c>
    </x:row>
    <x:row r="2297">
      <x:c r="A2297" t="str">
        <x:v>Stage01</x:v>
      </x:c>
      <x:c r="B2297" t="str">
        <x:v>WAVE_52</x:v>
      </x:c>
      <x:c r="C2297" s="409" t="n">
        <x:v>512.98</x:v>
      </x:c>
      <x:c r="D2297" s="410" t="n">
        <x:v>24</x:v>
      </x:c>
      <x:c r="E2297" t="str">
        <x:v>LEFT_08</x:v>
      </x:c>
      <x:c r="F2297" t="str">
        <x:v>GoblinMelee</x:v>
      </x:c>
      <x:c r="G2297" s="410" t="n">
        <x:v>45</x:v>
      </x:c>
    </x:row>
    <x:row r="2298">
      <x:c r="A2298" t="str">
        <x:v>Stage01</x:v>
      </x:c>
      <x:c r="B2298" t="str">
        <x:v>WAVE_52</x:v>
      </x:c>
      <x:c r="C2298" s="409" t="n">
        <x:v>513.06</x:v>
      </x:c>
      <x:c r="D2298" s="410" t="n">
        <x:v>25</x:v>
      </x:c>
      <x:c r="E2298" t="str">
        <x:v>TOP_02</x:v>
      </x:c>
      <x:c r="F2298" t="str">
        <x:v>ShieldSkeleton</x:v>
      </x:c>
      <x:c r="G2298" s="410" t="n">
        <x:v>44</x:v>
      </x:c>
    </x:row>
    <x:row r="2299">
      <x:c r="A2299" t="str">
        <x:v>Stage01</x:v>
      </x:c>
      <x:c r="B2299" t="str">
        <x:v>WAVE_52</x:v>
      </x:c>
      <x:c r="C2299" s="409" t="n">
        <x:v>513.15</x:v>
      </x:c>
      <x:c r="D2299" s="410" t="n">
        <x:v>26</x:v>
      </x:c>
      <x:c r="E2299" t="str">
        <x:v>RIGHT_03</x:v>
      </x:c>
      <x:c r="F2299" t="str">
        <x:v>GoblinMelee</x:v>
      </x:c>
      <x:c r="G2299" s="410" t="n">
        <x:v>45</x:v>
      </x:c>
    </x:row>
    <x:row r="2300">
      <x:c r="A2300" t="str">
        <x:v>Stage01</x:v>
      </x:c>
      <x:c r="B2300" t="str">
        <x:v>WAVE_52</x:v>
      </x:c>
      <x:c r="C2300" s="409" t="n">
        <x:v>513.24</x:v>
      </x:c>
      <x:c r="D2300" s="410" t="n">
        <x:v>27</x:v>
      </x:c>
      <x:c r="E2300" t="str">
        <x:v>BOTTOM_04</x:v>
      </x:c>
      <x:c r="F2300" t="str">
        <x:v>GoblinRanged</x:v>
      </x:c>
      <x:c r="G2300" s="410" t="n">
        <x:v>45</x:v>
      </x:c>
    </x:row>
    <x:row r="2301">
      <x:c r="A2301" t="str">
        <x:v>Stage01</x:v>
      </x:c>
      <x:c r="B2301" t="str">
        <x:v>WAVE_52</x:v>
      </x:c>
      <x:c r="C2301" s="409" t="n">
        <x:v>513.32</x:v>
      </x:c>
      <x:c r="D2301" s="410" t="n">
        <x:v>28</x:v>
      </x:c>
      <x:c r="E2301" t="str">
        <x:v>LEFT_05</x:v>
      </x:c>
      <x:c r="F2301" t="str">
        <x:v>FlyingEye</x:v>
      </x:c>
      <x:c r="G2301" s="410" t="n">
        <x:v>45</x:v>
      </x:c>
    </x:row>
    <x:row r="2302">
      <x:c r="A2302" t="str">
        <x:v>Stage01</x:v>
      </x:c>
      <x:c r="B2302" t="str">
        <x:v>WAVE_52</x:v>
      </x:c>
      <x:c r="C2302" s="409" t="n">
        <x:v>513.41</x:v>
      </x:c>
      <x:c r="D2302" s="410" t="n">
        <x:v>29</x:v>
      </x:c>
      <x:c r="E2302" t="str">
        <x:v>TOP_07</x:v>
      </x:c>
      <x:c r="F2302" t="str">
        <x:v>GoblinMelee</x:v>
      </x:c>
      <x:c r="G2302" s="410" t="n">
        <x:v>44</x:v>
      </x:c>
    </x:row>
    <x:row r="2303">
      <x:c r="A2303" t="str">
        <x:v>Stage01</x:v>
      </x:c>
      <x:c r="B2303" t="str">
        <x:v>WAVE_52</x:v>
      </x:c>
      <x:c r="C2303" s="409" t="n">
        <x:v>513.49</x:v>
      </x:c>
      <x:c r="D2303" s="410" t="n">
        <x:v>30</x:v>
      </x:c>
      <x:c r="E2303" t="str">
        <x:v>RIGHT_08</x:v>
      </x:c>
      <x:c r="F2303" t="str">
        <x:v>GoblinRanged</x:v>
      </x:c>
      <x:c r="G2303" s="410" t="n">
        <x:v>45</x:v>
      </x:c>
    </x:row>
    <x:row r="2304">
      <x:c r="A2304" t="str">
        <x:v>Stage01</x:v>
      </x:c>
      <x:c r="B2304" t="str">
        <x:v>WAVE_52</x:v>
      </x:c>
      <x:c r="C2304" s="409" t="n">
        <x:v>513.58</x:v>
      </x:c>
      <x:c r="D2304" s="410" t="n">
        <x:v>31</x:v>
      </x:c>
      <x:c r="E2304" t="str">
        <x:v>BOTTOM_01</x:v>
      </x:c>
      <x:c r="F2304" t="str">
        <x:v>GoblinMelee</x:v>
      </x:c>
      <x:c r="G2304" s="410" t="n">
        <x:v>45</x:v>
      </x:c>
    </x:row>
    <x:row r="2305">
      <x:c r="A2305" t="str">
        <x:v>Stage01</x:v>
      </x:c>
      <x:c r="B2305" t="str">
        <x:v>WAVE_52</x:v>
      </x:c>
      <x:c r="C2305" s="409" t="n">
        <x:v>513.67</x:v>
      </x:c>
      <x:c r="D2305" s="410" t="n">
        <x:v>32</x:v>
      </x:c>
      <x:c r="E2305" t="str">
        <x:v>LEFT_02</x:v>
      </x:c>
      <x:c r="F2305" t="str">
        <x:v>ShieldSkeleton</x:v>
      </x:c>
      <x:c r="G2305" s="410" t="n">
        <x:v>44</x:v>
      </x:c>
    </x:row>
    <x:row r="2306">
      <x:c r="A2306" t="str">
        <x:v>Stage01</x:v>
      </x:c>
      <x:c r="B2306" t="str">
        <x:v>WAVE_52</x:v>
      </x:c>
      <x:c r="C2306" s="409" t="n">
        <x:v>513.75</x:v>
      </x:c>
      <x:c r="D2306" s="410" t="n">
        <x:v>33</x:v>
      </x:c>
      <x:c r="E2306" t="str">
        <x:v>TOP_04</x:v>
      </x:c>
      <x:c r="F2306" t="str">
        <x:v>GoblinMelee</x:v>
      </x:c>
      <x:c r="G2306" s="410" t="n">
        <x:v>45</x:v>
      </x:c>
    </x:row>
    <x:row r="2307">
      <x:c r="A2307" t="str">
        <x:v>Stage01</x:v>
      </x:c>
      <x:c r="B2307" t="str">
        <x:v>WAVE_52</x:v>
      </x:c>
      <x:c r="C2307" s="409" t="n">
        <x:v>513.84</x:v>
      </x:c>
      <x:c r="D2307" s="410" t="n">
        <x:v>34</x:v>
      </x:c>
      <x:c r="E2307" t="str">
        <x:v>RIGHT_05</x:v>
      </x:c>
      <x:c r="F2307" t="str">
        <x:v>GoblinRanged</x:v>
      </x:c>
      <x:c r="G2307" s="410" t="n">
        <x:v>45</x:v>
      </x:c>
    </x:row>
    <x:row r="2308">
      <x:c r="A2308" t="str">
        <x:v>Stage01</x:v>
      </x:c>
      <x:c r="B2308" t="str">
        <x:v>WAVE_52</x:v>
      </x:c>
      <x:c r="C2308" s="409" t="n">
        <x:v>513.92</x:v>
      </x:c>
      <x:c r="D2308" s="410" t="n">
        <x:v>35</x:v>
      </x:c>
      <x:c r="E2308" t="str">
        <x:v>BOTTOM_06</x:v>
      </x:c>
      <x:c r="F2308" t="str">
        <x:v>GoblinMelee</x:v>
      </x:c>
      <x:c r="G2308" s="410" t="n">
        <x:v>45</x:v>
      </x:c>
    </x:row>
    <x:row r="2309">
      <x:c r="A2309" t="str">
        <x:v>Stage01</x:v>
      </x:c>
      <x:c r="B2309" t="str">
        <x:v>WAVE_52</x:v>
      </x:c>
      <x:c r="C2309" s="409" t="n">
        <x:v>514.01</x:v>
      </x:c>
      <x:c r="D2309" s="410" t="n">
        <x:v>36</x:v>
      </x:c>
      <x:c r="E2309" t="str">
        <x:v>LEFT_07</x:v>
      </x:c>
      <x:c r="F2309" t="str">
        <x:v>GoblinMelee</x:v>
      </x:c>
      <x:c r="G2309" s="410" t="n">
        <x:v>44</x:v>
      </x:c>
    </x:row>
    <x:row r="2310">
      <x:c r="A2310" t="str">
        <x:v>Stage01</x:v>
      </x:c>
      <x:c r="B2310" t="str">
        <x:v>WAVE_52</x:v>
      </x:c>
      <x:c r="C2310" s="409" t="n">
        <x:v>514.1</x:v>
      </x:c>
      <x:c r="D2310" s="410" t="n">
        <x:v>37</x:v>
      </x:c>
      <x:c r="E2310" t="str">
        <x:v>TOP_01</x:v>
      </x:c>
      <x:c r="F2310" t="str">
        <x:v>GoblinRanged</x:v>
      </x:c>
      <x:c r="G2310" s="410" t="n">
        <x:v>45</x:v>
      </x:c>
    </x:row>
    <x:row r="2311">
      <x:c r="A2311" t="str">
        <x:v>Stage01</x:v>
      </x:c>
      <x:c r="B2311" t="str">
        <x:v>WAVE_52</x:v>
      </x:c>
      <x:c r="C2311" s="409" t="n">
        <x:v>514.18</x:v>
      </x:c>
      <x:c r="D2311" s="410" t="n">
        <x:v>38</x:v>
      </x:c>
      <x:c r="E2311" t="str">
        <x:v>RIGHT_02</x:v>
      </x:c>
      <x:c r="F2311" t="str">
        <x:v>GoblinMelee</x:v>
      </x:c>
      <x:c r="G2311" s="410" t="n">
        <x:v>45</x:v>
      </x:c>
    </x:row>
    <x:row r="2312">
      <x:c r="A2312" t="str">
        <x:v>Stage01</x:v>
      </x:c>
      <x:c r="B2312" t="str">
        <x:v>WAVE_52</x:v>
      </x:c>
      <x:c r="C2312" s="409" t="n">
        <x:v>514.27</x:v>
      </x:c>
      <x:c r="D2312" s="410" t="n">
        <x:v>39</x:v>
      </x:c>
      <x:c r="E2312" t="str">
        <x:v>BOTTOM_03</x:v>
      </x:c>
      <x:c r="F2312" t="str">
        <x:v>ShieldSkeleton</x:v>
      </x:c>
      <x:c r="G2312" s="410" t="n">
        <x:v>45</x:v>
      </x:c>
    </x:row>
    <x:row r="2313">
      <x:c r="A2313" t="str">
        <x:v>Stage01</x:v>
      </x:c>
      <x:c r="B2313" t="str">
        <x:v>WAVE_52</x:v>
      </x:c>
      <x:c r="C2313" s="409" t="n">
        <x:v>514.35</x:v>
      </x:c>
      <x:c r="D2313" s="410" t="n">
        <x:v>40</x:v>
      </x:c>
      <x:c r="E2313" t="str">
        <x:v>LEFT_04</x:v>
      </x:c>
      <x:c r="F2313" t="str">
        <x:v>GoblinMelee</x:v>
      </x:c>
      <x:c r="G2313" s="410" t="n">
        <x:v>44</x:v>
      </x:c>
    </x:row>
    <x:row r="2314">
      <x:c r="A2314" t="str">
        <x:v>Stage01</x:v>
      </x:c>
      <x:c r="B2314" t="str">
        <x:v>WAVE_52</x:v>
      </x:c>
      <x:c r="C2314" s="409" t="n">
        <x:v>514.44</x:v>
      </x:c>
      <x:c r="D2314" s="410" t="n">
        <x:v>41</x:v>
      </x:c>
      <x:c r="E2314" t="str">
        <x:v>TOP_06</x:v>
      </x:c>
      <x:c r="F2314" t="str">
        <x:v>GoblinRanged</x:v>
      </x:c>
      <x:c r="G2314" s="410" t="n">
        <x:v>45</x:v>
      </x:c>
    </x:row>
    <x:row r="2315">
      <x:c r="A2315" t="str">
        <x:v>Stage01</x:v>
      </x:c>
      <x:c r="B2315" t="str">
        <x:v>WAVE_52</x:v>
      </x:c>
      <x:c r="C2315" s="409" t="n">
        <x:v>514.53</x:v>
      </x:c>
      <x:c r="D2315" s="410" t="n">
        <x:v>42</x:v>
      </x:c>
      <x:c r="E2315" t="str">
        <x:v>RIGHT_07</x:v>
      </x:c>
      <x:c r="F2315" t="str">
        <x:v>FlyingEye</x:v>
      </x:c>
      <x:c r="G2315" s="410" t="n">
        <x:v>45</x:v>
      </x:c>
    </x:row>
    <x:row r="2316">
      <x:c r="A2316" t="str">
        <x:v>Stage01</x:v>
      </x:c>
      <x:c r="B2316" t="str">
        <x:v>WAVE_52</x:v>
      </x:c>
      <x:c r="C2316" s="409" t="n">
        <x:v>514.61</x:v>
      </x:c>
      <x:c r="D2316" s="410" t="n">
        <x:v>43</x:v>
      </x:c>
      <x:c r="E2316" t="str">
        <x:v>BOTTOM_08</x:v>
      </x:c>
      <x:c r="F2316" t="str">
        <x:v>GoblinMelee</x:v>
      </x:c>
      <x:c r="G2316" s="410" t="n">
        <x:v>45</x:v>
      </x:c>
    </x:row>
    <x:row r="2317">
      <x:c r="A2317" t="str">
        <x:v>Stage01</x:v>
      </x:c>
      <x:c r="B2317" t="str">
        <x:v>WAVE_52</x:v>
      </x:c>
      <x:c r="C2317" s="409" t="n">
        <x:v>514.7</x:v>
      </x:c>
      <x:c r="D2317" s="410" t="n">
        <x:v>44</x:v>
      </x:c>
      <x:c r="E2317" t="str">
        <x:v>LEFT_01</x:v>
      </x:c>
      <x:c r="F2317" t="str">
        <x:v>GoblinRanged</x:v>
      </x:c>
      <x:c r="G2317" s="410" t="n">
        <x:v>44</x:v>
      </x:c>
    </x:row>
    <x:row r="2318">
      <x:c r="A2318" t="str">
        <x:v>Stage01</x:v>
      </x:c>
      <x:c r="B2318" t="str">
        <x:v>WAVE_52</x:v>
      </x:c>
      <x:c r="C2318" s="409" t="n">
        <x:v>514.78</x:v>
      </x:c>
      <x:c r="D2318" s="410" t="n">
        <x:v>45</x:v>
      </x:c>
      <x:c r="E2318" t="str">
        <x:v>TOP_03</x:v>
      </x:c>
      <x:c r="F2318" t="str">
        <x:v>GoblinMelee</x:v>
      </x:c>
      <x:c r="G2318" s="410" t="n">
        <x:v>45</x:v>
      </x:c>
    </x:row>
    <x:row r="2319">
      <x:c r="A2319" t="str">
        <x:v>Stage01</x:v>
      </x:c>
      <x:c r="B2319" t="str">
        <x:v>WAVE_52</x:v>
      </x:c>
      <x:c r="C2319" s="409" t="n">
        <x:v>514.87</x:v>
      </x:c>
      <x:c r="D2319" s="410" t="n">
        <x:v>46</x:v>
      </x:c>
      <x:c r="E2319" t="str">
        <x:v>RIGHT_04</x:v>
      </x:c>
      <x:c r="F2319" t="str">
        <x:v>GoblinMelee</x:v>
      </x:c>
      <x:c r="G2319" s="410" t="n">
        <x:v>45</x:v>
      </x:c>
    </x:row>
    <x:row r="2320">
      <x:c r="A2320" t="str">
        <x:v>Stage01</x:v>
      </x:c>
      <x:c r="B2320" t="str">
        <x:v>WAVE_52</x:v>
      </x:c>
      <x:c r="C2320" s="409" t="n">
        <x:v>514.96</x:v>
      </x:c>
      <x:c r="D2320" s="410" t="n">
        <x:v>47</x:v>
      </x:c>
      <x:c r="E2320" t="str">
        <x:v>BOTTOM_05</x:v>
      </x:c>
      <x:c r="F2320" t="str">
        <x:v>ShieldSkeleton</x:v>
      </x:c>
      <x:c r="G2320" s="410" t="n">
        <x:v>44</x:v>
      </x:c>
    </x:row>
    <x:row r="2321">
      <x:c r="A2321" t="str">
        <x:v>Stage01</x:v>
      </x:c>
      <x:c r="B2321" t="str">
        <x:v>WAVE_52</x:v>
      </x:c>
      <x:c r="C2321" s="409" t="n">
        <x:v>515.04</x:v>
      </x:c>
      <x:c r="D2321" s="410" t="n">
        <x:v>48</x:v>
      </x:c>
      <x:c r="E2321" t="str">
        <x:v>LEFT_06</x:v>
      </x:c>
      <x:c r="F2321" t="str">
        <x:v>GoblinRanged</x:v>
      </x:c>
      <x:c r="G2321" s="410" t="n">
        <x:v>45</x:v>
      </x:c>
    </x:row>
    <x:row r="2322">
      <x:c r="A2322" t="str">
        <x:v>Stage01</x:v>
      </x:c>
      <x:c r="B2322" t="str">
        <x:v>WAVE_52</x:v>
      </x:c>
      <x:c r="C2322" s="409" t="n">
        <x:v>515.13</x:v>
      </x:c>
      <x:c r="D2322" s="410" t="n">
        <x:v>49</x:v>
      </x:c>
      <x:c r="E2322" t="str">
        <x:v>TOP_08</x:v>
      </x:c>
      <x:c r="F2322" t="str">
        <x:v>GoblinMelee</x:v>
      </x:c>
      <x:c r="G2322" s="410" t="n">
        <x:v>45</x:v>
      </x:c>
    </x:row>
    <x:row r="2323">
      <x:c r="A2323" t="str">
        <x:v>Stage01</x:v>
      </x:c>
      <x:c r="B2323" t="str">
        <x:v>WAVE_52</x:v>
      </x:c>
      <x:c r="C2323" s="409" t="n">
        <x:v>515.21</x:v>
      </x:c>
      <x:c r="D2323" s="410" t="n">
        <x:v>50</x:v>
      </x:c>
      <x:c r="E2323" t="str">
        <x:v>RIGHT_01</x:v>
      </x:c>
      <x:c r="F2323" t="str">
        <x:v>GoblinMelee</x:v>
      </x:c>
      <x:c r="G2323" s="410" t="n">
        <x:v>45</x:v>
      </x:c>
    </x:row>
    <x:row r="2324">
      <x:c r="A2324" t="str">
        <x:v>Stage01</x:v>
      </x:c>
      <x:c r="B2324" t="str">
        <x:v>WAVE_52</x:v>
      </x:c>
      <x:c r="C2324" s="409" t="n">
        <x:v>515.3</x:v>
      </x:c>
      <x:c r="D2324" s="410" t="n">
        <x:v>51</x:v>
      </x:c>
      <x:c r="E2324" t="str">
        <x:v>BOTTOM_02</x:v>
      </x:c>
      <x:c r="F2324" t="str">
        <x:v>GoblinRanged</x:v>
      </x:c>
      <x:c r="G2324" s="410" t="n">
        <x:v>44</x:v>
      </x:c>
    </x:row>
    <x:row r="2325">
      <x:c r="A2325" t="str">
        <x:v>Stage01</x:v>
      </x:c>
      <x:c r="B2325" t="str">
        <x:v>WAVE_52</x:v>
      </x:c>
      <x:c r="C2325" s="409" t="n">
        <x:v>515.39</x:v>
      </x:c>
      <x:c r="D2325" s="410" t="n">
        <x:v>52</x:v>
      </x:c>
      <x:c r="E2325" t="str">
        <x:v>LEFT_03</x:v>
      </x:c>
      <x:c r="F2325" t="str">
        <x:v>GoblinMelee</x:v>
      </x:c>
      <x:c r="G2325" s="410" t="n">
        <x:v>45</x:v>
      </x:c>
    </x:row>
    <x:row r="2326">
      <x:c r="A2326" t="str">
        <x:v>Stage01</x:v>
      </x:c>
      <x:c r="B2326" t="str">
        <x:v>WAVE_52</x:v>
      </x:c>
      <x:c r="C2326" s="409" t="n">
        <x:v>515.47</x:v>
      </x:c>
      <x:c r="D2326" s="410" t="n">
        <x:v>53</x:v>
      </x:c>
      <x:c r="E2326" t="str">
        <x:v>TOP_05</x:v>
      </x:c>
      <x:c r="F2326" t="str">
        <x:v>GoblinMelee</x:v>
      </x:c>
      <x:c r="G2326" s="410" t="n">
        <x:v>45</x:v>
      </x:c>
    </x:row>
    <x:row r="2327">
      <x:c r="A2327" t="str">
        <x:v>Stage01</x:v>
      </x:c>
      <x:c r="B2327" t="str">
        <x:v>WAVE_52</x:v>
      </x:c>
      <x:c r="C2327" s="409" t="n">
        <x:v>515.56</x:v>
      </x:c>
      <x:c r="D2327" s="410" t="n">
        <x:v>54</x:v>
      </x:c>
      <x:c r="E2327" t="str">
        <x:v>RIGHT_06</x:v>
      </x:c>
      <x:c r="F2327" t="str">
        <x:v>GoblinRanged</x:v>
      </x:c>
      <x:c r="G2327" s="410" t="n">
        <x:v>45</x:v>
      </x:c>
    </x:row>
    <x:row r="2328">
      <x:c r="A2328" t="str">
        <x:v>Stage01</x:v>
      </x:c>
      <x:c r="B2328" t="str">
        <x:v>WAVE_52</x:v>
      </x:c>
      <x:c r="C2328" s="409" t="n">
        <x:v>515.64</x:v>
      </x:c>
      <x:c r="D2328" s="410" t="n">
        <x:v>55</x:v>
      </x:c>
      <x:c r="E2328" t="str">
        <x:v>BOTTOM_07</x:v>
      </x:c>
      <x:c r="F2328" t="str">
        <x:v>ShieldSkeleton</x:v>
      </x:c>
      <x:c r="G2328" s="410" t="n">
        <x:v>44</x:v>
      </x:c>
    </x:row>
    <x:row r="2329">
      <x:c r="A2329" t="str">
        <x:v>Stage01</x:v>
      </x:c>
      <x:c r="B2329" t="str">
        <x:v>WAVE_52</x:v>
      </x:c>
      <x:c r="C2329" s="409" t="n">
        <x:v>515.73</x:v>
      </x:c>
      <x:c r="D2329" s="410" t="n">
        <x:v>56</x:v>
      </x:c>
      <x:c r="E2329" t="str">
        <x:v>LEFT_08</x:v>
      </x:c>
      <x:c r="F2329" t="str">
        <x:v>FlyingEye</x:v>
      </x:c>
      <x:c r="G2329" s="410" t="n">
        <x:v>45</x:v>
      </x:c>
    </x:row>
    <x:row r="2330">
      <x:c r="A2330" t="str">
        <x:v>Stage01</x:v>
      </x:c>
      <x:c r="B2330" t="str">
        <x:v>WAVE_52</x:v>
      </x:c>
      <x:c r="C2330" s="409" t="n">
        <x:v>515.82</x:v>
      </x:c>
      <x:c r="D2330" s="410" t="n">
        <x:v>57</x:v>
      </x:c>
      <x:c r="E2330" t="str">
        <x:v>TOP_02</x:v>
      </x:c>
      <x:c r="F2330" t="str">
        <x:v>GoblinMelee</x:v>
      </x:c>
      <x:c r="G2330" s="410" t="n">
        <x:v>45</x:v>
      </x:c>
    </x:row>
    <x:row r="2331">
      <x:c r="A2331" t="str">
        <x:v>Stage01</x:v>
      </x:c>
      <x:c r="B2331" t="str">
        <x:v>WAVE_52</x:v>
      </x:c>
      <x:c r="C2331" s="409" t="n">
        <x:v>515.9</x:v>
      </x:c>
      <x:c r="D2331" s="410" t="n">
        <x:v>58</x:v>
      </x:c>
      <x:c r="E2331" t="str">
        <x:v>RIGHT_03</x:v>
      </x:c>
      <x:c r="F2331" t="str">
        <x:v>GoblinRanged</x:v>
      </x:c>
      <x:c r="G2331" s="410" t="n">
        <x:v>44</x:v>
      </x:c>
    </x:row>
    <x:row r="2332">
      <x:c r="A2332" t="str">
        <x:v>Stage01</x:v>
      </x:c>
      <x:c r="B2332" t="str">
        <x:v>WAVE_52</x:v>
      </x:c>
      <x:c r="C2332" s="409" t="n">
        <x:v>515.99</x:v>
      </x:c>
      <x:c r="D2332" s="410" t="n">
        <x:v>59</x:v>
      </x:c>
      <x:c r="E2332" t="str">
        <x:v>BOTTOM_04</x:v>
      </x:c>
      <x:c r="F2332" t="str">
        <x:v>GoblinMelee</x:v>
      </x:c>
      <x:c r="G2332" s="410" t="n">
        <x:v>45</x:v>
      </x:c>
    </x:row>
    <x:row r="2333">
      <x:c r="A2333" t="str">
        <x:v>Stage01</x:v>
      </x:c>
      <x:c r="B2333" t="str">
        <x:v>WAVE_52</x:v>
      </x:c>
      <x:c r="C2333" s="409" t="n">
        <x:v>516.07</x:v>
      </x:c>
      <x:c r="D2333" s="410" t="n">
        <x:v>60</x:v>
      </x:c>
      <x:c r="E2333" t="str">
        <x:v>LEFT_05</x:v>
      </x:c>
      <x:c r="F2333" t="str">
        <x:v>GoblinMelee</x:v>
      </x:c>
      <x:c r="G2333" s="410" t="n">
        <x:v>45</x:v>
      </x:c>
    </x:row>
    <x:row r="2334">
      <x:c r="A2334" t="str">
        <x:v>Stage01</x:v>
      </x:c>
      <x:c r="B2334" t="str">
        <x:v>WAVE_52</x:v>
      </x:c>
      <x:c r="C2334" s="409" t="n">
        <x:v>516.16</x:v>
      </x:c>
      <x:c r="D2334" s="410" t="n">
        <x:v>61</x:v>
      </x:c>
      <x:c r="E2334" t="str">
        <x:v>TOP_07</x:v>
      </x:c>
      <x:c r="F2334" t="str">
        <x:v>GoblinRanged</x:v>
      </x:c>
      <x:c r="G2334" s="410" t="n">
        <x:v>45</x:v>
      </x:c>
    </x:row>
    <x:row r="2335">
      <x:c r="A2335" t="str">
        <x:v>Stage01</x:v>
      </x:c>
      <x:c r="B2335" t="str">
        <x:v>WAVE_52</x:v>
      </x:c>
      <x:c r="C2335" s="409" t="n">
        <x:v>516.25</x:v>
      </x:c>
      <x:c r="D2335" s="410" t="n">
        <x:v>62</x:v>
      </x:c>
      <x:c r="E2335" t="str">
        <x:v>RIGHT_08</x:v>
      </x:c>
      <x:c r="F2335" t="str">
        <x:v>GoblinMelee</x:v>
      </x:c>
      <x:c r="G2335" s="410" t="n">
        <x:v>44</x:v>
      </x:c>
    </x:row>
    <x:row r="2336">
      <x:c r="A2336" t="str">
        <x:v>Stage01</x:v>
      </x:c>
      <x:c r="B2336" t="str">
        <x:v>WAVE_52</x:v>
      </x:c>
      <x:c r="C2336" s="409" t="n">
        <x:v>516.33</x:v>
      </x:c>
      <x:c r="D2336" s="410" t="n">
        <x:v>63</x:v>
      </x:c>
      <x:c r="E2336" t="str">
        <x:v>BOTTOM_01</x:v>
      </x:c>
      <x:c r="F2336" t="str">
        <x:v>ShieldSkeleton</x:v>
      </x:c>
      <x:c r="G2336" s="410" t="n">
        <x:v>45</x:v>
      </x:c>
    </x:row>
    <x:row r="2337">
      <x:c r="A2337" t="str">
        <x:v>Stage01</x:v>
      </x:c>
      <x:c r="B2337" t="str">
        <x:v>WAVE_52</x:v>
      </x:c>
      <x:c r="C2337" s="409" t="n">
        <x:v>516.42</x:v>
      </x:c>
      <x:c r="D2337" s="410" t="n">
        <x:v>64</x:v>
      </x:c>
      <x:c r="E2337" t="str">
        <x:v>LEFT_02</x:v>
      </x:c>
      <x:c r="F2337" t="str">
        <x:v>GoblinMelee</x:v>
      </x:c>
      <x:c r="G2337" s="410" t="n">
        <x:v>45</x:v>
      </x:c>
    </x:row>
    <x:row r="2338">
      <x:c r="A2338" t="str">
        <x:v>Stage01</x:v>
      </x:c>
      <x:c r="B2338" t="str">
        <x:v>WAVE_52</x:v>
      </x:c>
      <x:c r="C2338" s="409" t="n">
        <x:v>516.5</x:v>
      </x:c>
      <x:c r="D2338" s="410" t="n">
        <x:v>65</x:v>
      </x:c>
      <x:c r="E2338" t="str">
        <x:v>TOP_04</x:v>
      </x:c>
      <x:c r="F2338" t="str">
        <x:v>GoblinRanged</x:v>
      </x:c>
      <x:c r="G2338" s="410" t="n">
        <x:v>45</x:v>
      </x:c>
    </x:row>
    <x:row r="2339">
      <x:c r="A2339" t="str">
        <x:v>Stage01</x:v>
      </x:c>
      <x:c r="B2339" t="str">
        <x:v>WAVE_52</x:v>
      </x:c>
      <x:c r="C2339" s="409" t="n">
        <x:v>516.59</x:v>
      </x:c>
      <x:c r="D2339" s="410" t="n">
        <x:v>66</x:v>
      </x:c>
      <x:c r="E2339" t="str">
        <x:v>RIGHT_05</x:v>
      </x:c>
      <x:c r="F2339" t="str">
        <x:v>GoblinMelee</x:v>
      </x:c>
      <x:c r="G2339" s="410" t="n">
        <x:v>44</x:v>
      </x:c>
    </x:row>
    <x:row r="2340">
      <x:c r="A2340" t="str">
        <x:v>Stage01</x:v>
      </x:c>
      <x:c r="B2340" t="str">
        <x:v>WAVE_52</x:v>
      </x:c>
      <x:c r="C2340" s="409" t="n">
        <x:v>516.68</x:v>
      </x:c>
      <x:c r="D2340" s="410" t="n">
        <x:v>67</x:v>
      </x:c>
      <x:c r="E2340" t="str">
        <x:v>BOTTOM_06</x:v>
      </x:c>
      <x:c r="F2340" t="str">
        <x:v>GoblinMelee</x:v>
      </x:c>
      <x:c r="G2340" s="410" t="n">
        <x:v>45</x:v>
      </x:c>
    </x:row>
    <x:row r="2341">
      <x:c r="A2341" t="str">
        <x:v>Stage01</x:v>
      </x:c>
      <x:c r="B2341" t="str">
        <x:v>WAVE_52</x:v>
      </x:c>
      <x:c r="C2341" s="409" t="n">
        <x:v>516.76</x:v>
      </x:c>
      <x:c r="D2341" s="410" t="n">
        <x:v>68</x:v>
      </x:c>
      <x:c r="E2341" t="str">
        <x:v>LEFT_07</x:v>
      </x:c>
      <x:c r="F2341" t="str">
        <x:v>GoblinRanged</x:v>
      </x:c>
      <x:c r="G2341" s="410" t="n">
        <x:v>45</x:v>
      </x:c>
    </x:row>
    <x:row r="2342">
      <x:c r="A2342" t="str">
        <x:v>Stage01</x:v>
      </x:c>
      <x:c r="B2342" t="str">
        <x:v>WAVE_52</x:v>
      </x:c>
      <x:c r="C2342" s="409" t="n">
        <x:v>516.85</x:v>
      </x:c>
      <x:c r="D2342" s="410" t="n">
        <x:v>69</x:v>
      </x:c>
      <x:c r="E2342" t="str">
        <x:v>TOP_01</x:v>
      </x:c>
      <x:c r="F2342" t="str">
        <x:v>FlyingEye</x:v>
      </x:c>
      <x:c r="G2342" s="410" t="n">
        <x:v>45</x:v>
      </x:c>
    </x:row>
    <x:row r="2343">
      <x:c r="A2343" t="str">
        <x:v>Stage01</x:v>
      </x:c>
      <x:c r="B2343" t="str">
        <x:v>WAVE_52</x:v>
      </x:c>
      <x:c r="C2343" s="409" t="n">
        <x:v>516.93</x:v>
      </x:c>
      <x:c r="D2343" s="410" t="n">
        <x:v>70</x:v>
      </x:c>
      <x:c r="E2343" t="str">
        <x:v>RIGHT_02</x:v>
      </x:c>
      <x:c r="F2343" t="str">
        <x:v>ShieldSkeleton</x:v>
      </x:c>
      <x:c r="G2343" s="410" t="n">
        <x:v>44</x:v>
      </x:c>
    </x:row>
    <x:row r="2344">
      <x:c r="A2344" t="str">
        <x:v>Stage01</x:v>
      </x:c>
      <x:c r="B2344" t="str">
        <x:v>WAVE_52</x:v>
      </x:c>
      <x:c r="C2344" s="409" t="n">
        <x:v>517.02</x:v>
      </x:c>
      <x:c r="D2344" s="410" t="n">
        <x:v>71</x:v>
      </x:c>
      <x:c r="E2344" t="str">
        <x:v>BOTTOM_03</x:v>
      </x:c>
      <x:c r="F2344" t="str">
        <x:v>GoblinMelee</x:v>
      </x:c>
      <x:c r="G2344" s="410" t="n">
        <x:v>45</x:v>
      </x:c>
    </x:row>
    <x:row r="2345">
      <x:c r="A2345" t="str">
        <x:v>Stage01</x:v>
      </x:c>
      <x:c r="B2345" t="str">
        <x:v>WAVE_52</x:v>
      </x:c>
      <x:c r="C2345" s="409" t="n">
        <x:v>517.11</x:v>
      </x:c>
      <x:c r="D2345" s="410" t="n">
        <x:v>72</x:v>
      </x:c>
      <x:c r="E2345" t="str">
        <x:v>LEFT_04</x:v>
      </x:c>
      <x:c r="F2345" t="str">
        <x:v>GoblinRanged</x:v>
      </x:c>
      <x:c r="G2345" s="410" t="n">
        <x:v>45</x:v>
      </x:c>
    </x:row>
    <x:row r="2346">
      <x:c r="A2346" t="str">
        <x:v>Stage01</x:v>
      </x:c>
      <x:c r="B2346" t="str">
        <x:v>WAVE_52</x:v>
      </x:c>
      <x:c r="C2346" s="409" t="n">
        <x:v>517.19</x:v>
      </x:c>
      <x:c r="D2346" s="410" t="n">
        <x:v>73</x:v>
      </x:c>
      <x:c r="E2346" t="str">
        <x:v>TOP_06</x:v>
      </x:c>
      <x:c r="F2346" t="str">
        <x:v>GoblinMelee</x:v>
      </x:c>
      <x:c r="G2346" s="410" t="n">
        <x:v>44</x:v>
      </x:c>
    </x:row>
    <x:row r="2347">
      <x:c r="A2347" t="str">
        <x:v>Stage01</x:v>
      </x:c>
      <x:c r="B2347" t="str">
        <x:v>WAVE_52</x:v>
      </x:c>
      <x:c r="C2347" s="409" t="n">
        <x:v>517.28</x:v>
      </x:c>
      <x:c r="D2347" s="410" t="n">
        <x:v>74</x:v>
      </x:c>
      <x:c r="E2347" t="str">
        <x:v>RIGHT_07</x:v>
      </x:c>
      <x:c r="F2347" t="str">
        <x:v>GoblinMelee</x:v>
      </x:c>
      <x:c r="G2347" s="410" t="n">
        <x:v>45</x:v>
      </x:c>
    </x:row>
    <x:row r="2348">
      <x:c r="A2348" t="str">
        <x:v>Stage01</x:v>
      </x:c>
      <x:c r="B2348" t="str">
        <x:v>WAVE_52</x:v>
      </x:c>
      <x:c r="C2348" s="409" t="n">
        <x:v>517.36</x:v>
      </x:c>
      <x:c r="D2348" s="410" t="n">
        <x:v>75</x:v>
      </x:c>
      <x:c r="E2348" t="str">
        <x:v>BOTTOM_08</x:v>
      </x:c>
      <x:c r="F2348" t="str">
        <x:v>GoblinRanged</x:v>
      </x:c>
      <x:c r="G2348" s="410" t="n">
        <x:v>45</x:v>
      </x:c>
    </x:row>
    <x:row r="2349">
      <x:c r="A2349" t="str">
        <x:v>Stage01</x:v>
      </x:c>
      <x:c r="B2349" t="str">
        <x:v>WAVE_52</x:v>
      </x:c>
      <x:c r="C2349" s="409" t="n">
        <x:v>517.45</x:v>
      </x:c>
      <x:c r="D2349" s="410" t="n">
        <x:v>76</x:v>
      </x:c>
      <x:c r="E2349" t="str">
        <x:v>LEFT_01</x:v>
      </x:c>
      <x:c r="F2349" t="str">
        <x:v>GoblinMelee</x:v>
      </x:c>
      <x:c r="G2349" s="410" t="n">
        <x:v>45</x:v>
      </x:c>
    </x:row>
    <x:row r="2350">
      <x:c r="A2350" t="str">
        <x:v>Stage01</x:v>
      </x:c>
      <x:c r="B2350" t="str">
        <x:v>WAVE_52</x:v>
      </x:c>
      <x:c r="C2350" s="409" t="n">
        <x:v>517.54</x:v>
      </x:c>
      <x:c r="D2350" s="410" t="n">
        <x:v>77</x:v>
      </x:c>
      <x:c r="E2350" t="str">
        <x:v>TOP_03</x:v>
      </x:c>
      <x:c r="F2350" t="str">
        <x:v>ShieldSkeleton</x:v>
      </x:c>
      <x:c r="G2350" s="410" t="n">
        <x:v>44</x:v>
      </x:c>
    </x:row>
    <x:row r="2351">
      <x:c r="A2351" t="str">
        <x:v>Stage01</x:v>
      </x:c>
      <x:c r="B2351" t="str">
        <x:v>WAVE_52</x:v>
      </x:c>
      <x:c r="C2351" s="409" t="n">
        <x:v>517.62</x:v>
      </x:c>
      <x:c r="D2351" s="410" t="n">
        <x:v>78</x:v>
      </x:c>
      <x:c r="E2351" t="str">
        <x:v>RIGHT_04</x:v>
      </x:c>
      <x:c r="F2351" t="str">
        <x:v>GoblinMelee</x:v>
      </x:c>
      <x:c r="G2351" s="410" t="n">
        <x:v>45</x:v>
      </x:c>
    </x:row>
    <x:row r="2352">
      <x:c r="A2352" t="str">
        <x:v>Stage01</x:v>
      </x:c>
      <x:c r="B2352" t="str">
        <x:v>WAVE_52</x:v>
      </x:c>
      <x:c r="C2352" s="409" t="n">
        <x:v>517.71</x:v>
      </x:c>
      <x:c r="D2352" s="410" t="n">
        <x:v>79</x:v>
      </x:c>
      <x:c r="E2352" t="str">
        <x:v>BOTTOM_05</x:v>
      </x:c>
      <x:c r="F2352" t="str">
        <x:v>GoblinRanged</x:v>
      </x:c>
      <x:c r="G2352" s="410" t="n">
        <x:v>45</x:v>
      </x:c>
    </x:row>
    <x:row r="2353">
      <x:c r="A2353" t="str">
        <x:v>Stage01</x:v>
      </x:c>
      <x:c r="B2353" t="str">
        <x:v>WAVE_52</x:v>
      </x:c>
      <x:c r="C2353" s="409" t="n">
        <x:v>517.79</x:v>
      </x:c>
      <x:c r="D2353" s="410" t="n">
        <x:v>80</x:v>
      </x:c>
      <x:c r="E2353" t="str">
        <x:v>LEFT_06</x:v>
      </x:c>
      <x:c r="F2353" t="str">
        <x:v>GoblinMelee</x:v>
      </x:c>
      <x:c r="G2353" s="410" t="n">
        <x:v>45</x:v>
      </x:c>
    </x:row>
    <x:row r="2354">
      <x:c r="A2354" t="str">
        <x:v>Stage01</x:v>
      </x:c>
      <x:c r="B2354" t="str">
        <x:v>WAVE_52</x:v>
      </x:c>
      <x:c r="C2354" s="409" t="n">
        <x:v>517.88</x:v>
      </x:c>
      <x:c r="D2354" s="410" t="n">
        <x:v>81</x:v>
      </x:c>
      <x:c r="E2354" t="str">
        <x:v>TOP_08</x:v>
      </x:c>
      <x:c r="F2354" t="str">
        <x:v>GoblinMelee</x:v>
      </x:c>
      <x:c r="G2354" s="410" t="n">
        <x:v>44</x:v>
      </x:c>
    </x:row>
    <x:row r="2355">
      <x:c r="A2355" t="str">
        <x:v>Stage01</x:v>
      </x:c>
      <x:c r="B2355" t="str">
        <x:v>WAVE_52</x:v>
      </x:c>
      <x:c r="C2355" s="409" t="n">
        <x:v>517.97</x:v>
      </x:c>
      <x:c r="D2355" s="410" t="n">
        <x:v>82</x:v>
      </x:c>
      <x:c r="E2355" t="str">
        <x:v>RIGHT_01</x:v>
      </x:c>
      <x:c r="F2355" t="str">
        <x:v>GoblinRanged</x:v>
      </x:c>
      <x:c r="G2355" s="410" t="n">
        <x:v>45</x:v>
      </x:c>
    </x:row>
    <x:row r="2356">
      <x:c r="A2356" t="str">
        <x:v>Stage01</x:v>
      </x:c>
      <x:c r="B2356" t="str">
        <x:v>WAVE_52</x:v>
      </x:c>
      <x:c r="C2356" s="409" t="n">
        <x:v>518.05</x:v>
      </x:c>
      <x:c r="D2356" s="410" t="n">
        <x:v>83</x:v>
      </x:c>
      <x:c r="E2356" t="str">
        <x:v>BOTTOM_02</x:v>
      </x:c>
      <x:c r="F2356" t="str">
        <x:v>FlyingEye</x:v>
      </x:c>
      <x:c r="G2356" s="410" t="n">
        <x:v>45</x:v>
      </x:c>
    </x:row>
    <x:row r="2357">
      <x:c r="A2357" t="str">
        <x:v>Stage01</x:v>
      </x:c>
      <x:c r="B2357" t="str">
        <x:v>WAVE_52</x:v>
      </x:c>
      <x:c r="C2357" s="409" t="n">
        <x:v>518.14</x:v>
      </x:c>
      <x:c r="D2357" s="410" t="n">
        <x:v>84</x:v>
      </x:c>
      <x:c r="E2357" t="str">
        <x:v>LEFT_03</x:v>
      </x:c>
      <x:c r="F2357" t="str">
        <x:v>ShieldSkeleton</x:v>
      </x:c>
      <x:c r="G2357" s="410" t="n">
        <x:v>45</x:v>
      </x:c>
    </x:row>
    <x:row r="2358">
      <x:c r="A2358" t="str">
        <x:v>Stage01</x:v>
      </x:c>
      <x:c r="B2358" t="str">
        <x:v>WAVE_52</x:v>
      </x:c>
      <x:c r="C2358" s="409" t="n">
        <x:v>518.22</x:v>
      </x:c>
      <x:c r="D2358" s="410" t="n">
        <x:v>85</x:v>
      </x:c>
      <x:c r="E2358" t="str">
        <x:v>TOP_05</x:v>
      </x:c>
      <x:c r="F2358" t="str">
        <x:v>GoblinMelee</x:v>
      </x:c>
      <x:c r="G2358" s="410" t="n">
        <x:v>44</x:v>
      </x:c>
    </x:row>
    <x:row r="2359">
      <x:c r="A2359" t="str">
        <x:v>Stage01</x:v>
      </x:c>
      <x:c r="B2359" t="str">
        <x:v>WAVE_52</x:v>
      </x:c>
      <x:c r="C2359" s="409" t="n">
        <x:v>518.31</x:v>
      </x:c>
      <x:c r="D2359" s="410" t="n">
        <x:v>86</x:v>
      </x:c>
      <x:c r="E2359" t="str">
        <x:v>RIGHT_06</x:v>
      </x:c>
      <x:c r="F2359" t="str">
        <x:v>GoblinRanged</x:v>
      </x:c>
      <x:c r="G2359" s="410" t="n">
        <x:v>45</x:v>
      </x:c>
    </x:row>
    <x:row r="2360">
      <x:c r="A2360" t="str">
        <x:v>Stage01</x:v>
      </x:c>
      <x:c r="B2360" t="str">
        <x:v>WAVE_52</x:v>
      </x:c>
      <x:c r="C2360" s="409" t="n">
        <x:v>518.4</x:v>
      </x:c>
      <x:c r="D2360" s="410" t="n">
        <x:v>87</x:v>
      </x:c>
      <x:c r="E2360" t="str">
        <x:v>BOTTOM_07</x:v>
      </x:c>
      <x:c r="F2360" t="str">
        <x:v>GoblinMelee</x:v>
      </x:c>
      <x:c r="G2360" s="410" t="n">
        <x:v>45</x:v>
      </x:c>
    </x:row>
    <x:row r="2361">
      <x:c r="A2361" t="str">
        <x:v>Stage01</x:v>
      </x:c>
      <x:c r="B2361" t="str">
        <x:v>WAVE_52</x:v>
      </x:c>
      <x:c r="C2361" s="409" t="n">
        <x:v>518.48</x:v>
      </x:c>
      <x:c r="D2361" s="410" t="n">
        <x:v>88</x:v>
      </x:c>
      <x:c r="E2361" t="str">
        <x:v>LEFT_08</x:v>
      </x:c>
      <x:c r="F2361" t="str">
        <x:v>GoblinMelee</x:v>
      </x:c>
      <x:c r="G2361" s="410" t="n">
        <x:v>44</x:v>
      </x:c>
    </x:row>
    <x:row r="2362">
      <x:c r="A2362" t="str">
        <x:v>Stage01</x:v>
      </x:c>
      <x:c r="B2362" t="str">
        <x:v>WAVE_52</x:v>
      </x:c>
      <x:c r="C2362" s="409" t="n">
        <x:v>518.57</x:v>
      </x:c>
      <x:c r="D2362" s="410" t="n">
        <x:v>89</x:v>
      </x:c>
      <x:c r="E2362" t="str">
        <x:v>TOP_02</x:v>
      </x:c>
      <x:c r="F2362" t="str">
        <x:v>GoblinRanged</x:v>
      </x:c>
      <x:c r="G2362" s="410" t="n">
        <x:v>45</x:v>
      </x:c>
    </x:row>
    <x:row r="2363">
      <x:c r="A2363" t="str">
        <x:v>Stage01</x:v>
      </x:c>
      <x:c r="B2363" t="str">
        <x:v>WAVE_52</x:v>
      </x:c>
      <x:c r="C2363" s="409" t="n">
        <x:v>518.65</x:v>
      </x:c>
      <x:c r="D2363" s="410" t="n">
        <x:v>90</x:v>
      </x:c>
      <x:c r="E2363" t="str">
        <x:v>RIGHT_03</x:v>
      </x:c>
      <x:c r="F2363" t="str">
        <x:v>GoblinMelee</x:v>
      </x:c>
      <x:c r="G2363" s="410" t="n">
        <x:v>45</x:v>
      </x:c>
    </x:row>
    <x:row r="2364">
      <x:c r="A2364" t="str">
        <x:v>Stage01</x:v>
      </x:c>
      <x:c r="B2364" t="str">
        <x:v>WAVE_52</x:v>
      </x:c>
      <x:c r="C2364" s="409" t="n">
        <x:v>518.74</x:v>
      </x:c>
      <x:c r="D2364" s="410" t="n">
        <x:v>91</x:v>
      </x:c>
      <x:c r="E2364" t="str">
        <x:v>BOTTOM_04</x:v>
      </x:c>
      <x:c r="F2364" t="str">
        <x:v>ShieldSkeleton</x:v>
      </x:c>
      <x:c r="G2364" s="410" t="n">
        <x:v>45</x:v>
      </x:c>
    </x:row>
    <x:row r="2365">
      <x:c r="A2365" t="str">
        <x:v>Stage01</x:v>
      </x:c>
      <x:c r="B2365" t="str">
        <x:v>WAVE_52</x:v>
      </x:c>
      <x:c r="C2365" s="409" t="n">
        <x:v>518.83</x:v>
      </x:c>
      <x:c r="D2365" s="410" t="n">
        <x:v>92</x:v>
      </x:c>
      <x:c r="E2365" t="str">
        <x:v>LEFT_05</x:v>
      </x:c>
      <x:c r="F2365" t="str">
        <x:v>GoblinMelee</x:v>
      </x:c>
      <x:c r="G2365" s="410" t="n">
        <x:v>44</x:v>
      </x:c>
    </x:row>
    <x:row r="2366">
      <x:c r="A2366" t="str">
        <x:v>Stage01</x:v>
      </x:c>
      <x:c r="B2366" t="str">
        <x:v>WAVE_52</x:v>
      </x:c>
      <x:c r="C2366" s="409" t="n">
        <x:v>518.91</x:v>
      </x:c>
      <x:c r="D2366" s="410" t="n">
        <x:v>93</x:v>
      </x:c>
      <x:c r="E2366" t="str">
        <x:v>TOP_07</x:v>
      </x:c>
      <x:c r="F2366" t="str">
        <x:v>GoblinRanged</x:v>
      </x:c>
      <x:c r="G2366" s="410" t="n">
        <x:v>45</x:v>
      </x:c>
    </x:row>
    <x:row r="2367">
      <x:c r="A2367" t="str">
        <x:v>Stage01</x:v>
      </x:c>
      <x:c r="B2367" t="str">
        <x:v>WAVE_52</x:v>
      </x:c>
      <x:c r="C2367" s="409" t="n">
        <x:v>519</x:v>
      </x:c>
      <x:c r="D2367" s="410" t="n">
        <x:v>94</x:v>
      </x:c>
      <x:c r="E2367" t="str">
        <x:v>RIGHT_08</x:v>
      </x:c>
      <x:c r="F2367" t="str">
        <x:v>GoblinMelee</x:v>
      </x:c>
      <x:c r="G2367" s="410" t="n">
        <x:v>45</x:v>
      </x:c>
    </x:row>
    <x:row r="2368">
      <x:c r="A2368" t="str">
        <x:v>Stage01</x:v>
      </x:c>
      <x:c r="B2368" t="str">
        <x:v>WAVE_52</x:v>
      </x:c>
      <x:c r="C2368" s="409" t="n">
        <x:v>519.08</x:v>
      </x:c>
      <x:c r="D2368" s="410" t="n">
        <x:v>95</x:v>
      </x:c>
      <x:c r="E2368" t="str">
        <x:v>BOTTOM_01</x:v>
      </x:c>
      <x:c r="F2368" t="str">
        <x:v>GoblinMelee</x:v>
      </x:c>
      <x:c r="G2368" s="410" t="n">
        <x:v>45</x:v>
      </x:c>
    </x:row>
    <x:row r="2369">
      <x:c r="A2369" t="str">
        <x:v>Stage01</x:v>
      </x:c>
      <x:c r="B2369" t="str">
        <x:v>WAVE_52</x:v>
      </x:c>
      <x:c r="C2369" s="409" t="n">
        <x:v>519.17</x:v>
      </x:c>
      <x:c r="D2369" s="410" t="n">
        <x:v>96</x:v>
      </x:c>
      <x:c r="E2369" t="str">
        <x:v>LEFT_02</x:v>
      </x:c>
      <x:c r="F2369" t="str">
        <x:v>GoblinRanged</x:v>
      </x:c>
      <x:c r="G2369" s="410" t="n">
        <x:v>44</x:v>
      </x:c>
    </x:row>
    <x:row r="2370">
      <x:c r="A2370" t="str">
        <x:v>Stage01</x:v>
      </x:c>
      <x:c r="B2370" t="str">
        <x:v>WAVE_52</x:v>
      </x:c>
      <x:c r="C2370" s="409" t="n">
        <x:v>519.26</x:v>
      </x:c>
      <x:c r="D2370" s="410" t="n">
        <x:v>97</x:v>
      </x:c>
      <x:c r="E2370" t="str">
        <x:v>TOP_04</x:v>
      </x:c>
      <x:c r="F2370" t="str">
        <x:v>FlyingEye</x:v>
      </x:c>
      <x:c r="G2370" s="410" t="n">
        <x:v>45</x:v>
      </x:c>
    </x:row>
    <x:row r="2371">
      <x:c r="A2371" t="str">
        <x:v>Stage01</x:v>
      </x:c>
      <x:c r="B2371" t="str">
        <x:v>WAVE_52</x:v>
      </x:c>
      <x:c r="C2371" s="409" t="n">
        <x:v>519.34</x:v>
      </x:c>
      <x:c r="D2371" s="410" t="n">
        <x:v>98</x:v>
      </x:c>
      <x:c r="E2371" t="str">
        <x:v>RIGHT_05</x:v>
      </x:c>
      <x:c r="F2371" t="str">
        <x:v>ShieldSkeleton</x:v>
      </x:c>
      <x:c r="G2371" s="410" t="n">
        <x:v>45</x:v>
      </x:c>
    </x:row>
    <x:row r="2372">
      <x:c r="A2372" t="str">
        <x:v>Stage01</x:v>
      </x:c>
      <x:c r="B2372" t="str">
        <x:v>WAVE_52</x:v>
      </x:c>
      <x:c r="C2372" s="409" t="n">
        <x:v>519.43</x:v>
      </x:c>
      <x:c r="D2372" s="410" t="n">
        <x:v>99</x:v>
      </x:c>
      <x:c r="E2372" t="str">
        <x:v>BOTTOM_06</x:v>
      </x:c>
      <x:c r="F2372" t="str">
        <x:v>GoblinMelee</x:v>
      </x:c>
      <x:c r="G2372" s="410" t="n">
        <x:v>45</x:v>
      </x:c>
    </x:row>
    <x:row r="2373">
      <x:c r="A2373" t="str">
        <x:v>Stage01</x:v>
      </x:c>
      <x:c r="B2373" t="str">
        <x:v>WAVE_52</x:v>
      </x:c>
      <x:c r="C2373" s="409" t="n">
        <x:v>519.51</x:v>
      </x:c>
      <x:c r="D2373" s="410" t="n">
        <x:v>100</x:v>
      </x:c>
      <x:c r="E2373" t="str">
        <x:v>LEFT_07</x:v>
      </x:c>
      <x:c r="F2373" t="str">
        <x:v>GoblinRanged</x:v>
      </x:c>
      <x:c r="G2373" s="410" t="n">
        <x:v>44</x:v>
      </x:c>
    </x:row>
    <x:row r="2374">
      <x:c r="A2374" t="str">
        <x:v>Stage01</x:v>
      </x:c>
      <x:c r="B2374" t="str">
        <x:v>WAVE_52</x:v>
      </x:c>
      <x:c r="C2374" s="409" t="n">
        <x:v>519.6</x:v>
      </x:c>
      <x:c r="D2374" s="410" t="n">
        <x:v>101</x:v>
      </x:c>
      <x:c r="E2374" t="str">
        <x:v>TOP_01</x:v>
      </x:c>
      <x:c r="F2374" t="str">
        <x:v>GoblinMelee</x:v>
      </x:c>
      <x:c r="G2374" s="410" t="n">
        <x:v>45</x:v>
      </x:c>
    </x:row>
    <x:row r="2375">
      <x:c r="A2375" t="str">
        <x:v>Stage01</x:v>
      </x:c>
      <x:c r="B2375" t="str">
        <x:v>WAVE_53</x:v>
      </x:c>
      <x:c r="C2375" s="409" t="n">
        <x:v>521</x:v>
      </x:c>
      <x:c r="D2375" s="410" t="n">
        <x:v>1</x:v>
      </x:c>
      <x:c r="E2375" t="str">
        <x:v>TOP_04</x:v>
      </x:c>
      <x:c r="F2375" t="str">
        <x:v>GoblinMelee</x:v>
      </x:c>
      <x:c r="G2375" s="410" t="n">
        <x:v>46</x:v>
      </x:c>
    </x:row>
    <x:row r="2376">
      <x:c r="A2376" t="str">
        <x:v>Stage01</x:v>
      </x:c>
      <x:c r="B2376" t="str">
        <x:v>WAVE_53</x:v>
      </x:c>
      <x:c r="C2376" s="409" t="n">
        <x:v>521.08</x:v>
      </x:c>
      <x:c r="D2376" s="410" t="n">
        <x:v>2</x:v>
      </x:c>
      <x:c r="E2376" t="str">
        <x:v>RIGHT_05</x:v>
      </x:c>
      <x:c r="F2376" t="str">
        <x:v>GoblinRanged</x:v>
      </x:c>
      <x:c r="G2376" s="410" t="n">
        <x:v>46</x:v>
      </x:c>
    </x:row>
    <x:row r="2377">
      <x:c r="A2377" t="str">
        <x:v>Stage01</x:v>
      </x:c>
      <x:c r="B2377" t="str">
        <x:v>WAVE_53</x:v>
      </x:c>
      <x:c r="C2377" s="409" t="n">
        <x:v>521.17</x:v>
      </x:c>
      <x:c r="D2377" s="410" t="n">
        <x:v>3</x:v>
      </x:c>
      <x:c r="E2377" t="str">
        <x:v>BOTTOM_06</x:v>
      </x:c>
      <x:c r="F2377" t="str">
        <x:v>GoblinMelee</x:v>
      </x:c>
      <x:c r="G2377" s="410" t="n">
        <x:v>45</x:v>
      </x:c>
    </x:row>
    <x:row r="2378">
      <x:c r="A2378" t="str">
        <x:v>Stage01</x:v>
      </x:c>
      <x:c r="B2378" t="str">
        <x:v>WAVE_53</x:v>
      </x:c>
      <x:c r="C2378" s="409" t="n">
        <x:v>521.25</x:v>
      </x:c>
      <x:c r="D2378" s="410" t="n">
        <x:v>4</x:v>
      </x:c>
      <x:c r="E2378" t="str">
        <x:v>LEFT_07</x:v>
      </x:c>
      <x:c r="F2378" t="str">
        <x:v>ShieldSkeleton</x:v>
      </x:c>
      <x:c r="G2378" s="410" t="n">
        <x:v>46</x:v>
      </x:c>
    </x:row>
    <x:row r="2379">
      <x:c r="A2379" t="str">
        <x:v>Stage01</x:v>
      </x:c>
      <x:c r="B2379" t="str">
        <x:v>WAVE_53</x:v>
      </x:c>
      <x:c r="C2379" s="409" t="n">
        <x:v>521.33</x:v>
      </x:c>
      <x:c r="D2379" s="410" t="n">
        <x:v>5</x:v>
      </x:c>
      <x:c r="E2379" t="str">
        <x:v>TOP_01</x:v>
      </x:c>
      <x:c r="F2379" t="str">
        <x:v>GoblinMelee</x:v>
      </x:c>
      <x:c r="G2379" s="410" t="n">
        <x:v>46</x:v>
      </x:c>
    </x:row>
    <x:row r="2380">
      <x:c r="A2380" t="str">
        <x:v>Stage01</x:v>
      </x:c>
      <x:c r="B2380" t="str">
        <x:v>WAVE_53</x:v>
      </x:c>
      <x:c r="C2380" s="409" t="n">
        <x:v>521.42</x:v>
      </x:c>
      <x:c r="D2380" s="410" t="n">
        <x:v>6</x:v>
      </x:c>
      <x:c r="E2380" t="str">
        <x:v>RIGHT_02</x:v>
      </x:c>
      <x:c r="F2380" t="str">
        <x:v>GoblinRanged</x:v>
      </x:c>
      <x:c r="G2380" s="410" t="n">
        <x:v>46</x:v>
      </x:c>
    </x:row>
    <x:row r="2381">
      <x:c r="A2381" t="str">
        <x:v>Stage01</x:v>
      </x:c>
      <x:c r="B2381" t="str">
        <x:v>WAVE_53</x:v>
      </x:c>
      <x:c r="C2381" s="409" t="n">
        <x:v>521.5</x:v>
      </x:c>
      <x:c r="D2381" s="410" t="n">
        <x:v>7</x:v>
      </x:c>
      <x:c r="E2381" t="str">
        <x:v>BOTTOM_03</x:v>
      </x:c>
      <x:c r="F2381" t="str">
        <x:v>GoblinMelee</x:v>
      </x:c>
      <x:c r="G2381" s="410" t="n">
        <x:v>45</x:v>
      </x:c>
    </x:row>
    <x:row r="2382">
      <x:c r="A2382" t="str">
        <x:v>Stage01</x:v>
      </x:c>
      <x:c r="B2382" t="str">
        <x:v>WAVE_53</x:v>
      </x:c>
      <x:c r="C2382" s="409" t="n">
        <x:v>521.58</x:v>
      </x:c>
      <x:c r="D2382" s="410" t="n">
        <x:v>8</x:v>
      </x:c>
      <x:c r="E2382" t="str">
        <x:v>LEFT_04</x:v>
      </x:c>
      <x:c r="F2382" t="str">
        <x:v>GoblinMelee</x:v>
      </x:c>
      <x:c r="G2382" s="410" t="n">
        <x:v>46</x:v>
      </x:c>
    </x:row>
    <x:row r="2383">
      <x:c r="A2383" t="str">
        <x:v>Stage01</x:v>
      </x:c>
      <x:c r="B2383" t="str">
        <x:v>WAVE_53</x:v>
      </x:c>
      <x:c r="C2383" s="409" t="n">
        <x:v>521.67</x:v>
      </x:c>
      <x:c r="D2383" s="410" t="n">
        <x:v>9</x:v>
      </x:c>
      <x:c r="E2383" t="str">
        <x:v>TOP_06</x:v>
      </x:c>
      <x:c r="F2383" t="str">
        <x:v>GoblinRanged</x:v>
      </x:c>
      <x:c r="G2383" s="410" t="n">
        <x:v>46</x:v>
      </x:c>
    </x:row>
    <x:row r="2384">
      <x:c r="A2384" t="str">
        <x:v>Stage01</x:v>
      </x:c>
      <x:c r="B2384" t="str">
        <x:v>WAVE_53</x:v>
      </x:c>
      <x:c r="C2384" s="409" t="n">
        <x:v>521.75</x:v>
      </x:c>
      <x:c r="D2384" s="410" t="n">
        <x:v>10</x:v>
      </x:c>
      <x:c r="E2384" t="str">
        <x:v>RIGHT_07</x:v>
      </x:c>
      <x:c r="F2384" t="str">
        <x:v>GoblinMelee</x:v>
      </x:c>
      <x:c r="G2384" s="410" t="n">
        <x:v>46</x:v>
      </x:c>
    </x:row>
    <x:row r="2385">
      <x:c r="A2385" t="str">
        <x:v>Stage01</x:v>
      </x:c>
      <x:c r="B2385" t="str">
        <x:v>WAVE_53</x:v>
      </x:c>
      <x:c r="C2385" s="409" t="n">
        <x:v>521.83</x:v>
      </x:c>
      <x:c r="D2385" s="410" t="n">
        <x:v>11</x:v>
      </x:c>
      <x:c r="E2385" t="str">
        <x:v>BOTTOM_08</x:v>
      </x:c>
      <x:c r="F2385" t="str">
        <x:v>ShieldSkeleton</x:v>
      </x:c>
      <x:c r="G2385" s="410" t="n">
        <x:v>45</x:v>
      </x:c>
    </x:row>
    <x:row r="2386">
      <x:c r="A2386" t="str">
        <x:v>Stage01</x:v>
      </x:c>
      <x:c r="B2386" t="str">
        <x:v>WAVE_53</x:v>
      </x:c>
      <x:c r="C2386" s="409" t="n">
        <x:v>521.92</x:v>
      </x:c>
      <x:c r="D2386" s="410" t="n">
        <x:v>12</x:v>
      </x:c>
      <x:c r="E2386" t="str">
        <x:v>LEFT_01</x:v>
      </x:c>
      <x:c r="F2386" t="str">
        <x:v>GoblinMelee</x:v>
      </x:c>
      <x:c r="G2386" s="410" t="n">
        <x:v>46</x:v>
      </x:c>
    </x:row>
    <x:row r="2387">
      <x:c r="A2387" t="str">
        <x:v>Stage01</x:v>
      </x:c>
      <x:c r="B2387" t="str">
        <x:v>WAVE_53</x:v>
      </x:c>
      <x:c r="C2387" s="409" t="n">
        <x:v>522</x:v>
      </x:c>
      <x:c r="D2387" s="410" t="n">
        <x:v>13</x:v>
      </x:c>
      <x:c r="E2387" t="str">
        <x:v>TOP_03</x:v>
      </x:c>
      <x:c r="F2387" t="str">
        <x:v>GoblinRanged</x:v>
      </x:c>
      <x:c r="G2387" s="410" t="n">
        <x:v>46</x:v>
      </x:c>
    </x:row>
    <x:row r="2388">
      <x:c r="A2388" t="str">
        <x:v>Stage01</x:v>
      </x:c>
      <x:c r="B2388" t="str">
        <x:v>WAVE_53</x:v>
      </x:c>
      <x:c r="C2388" s="409" t="n">
        <x:v>522.09</x:v>
      </x:c>
      <x:c r="D2388" s="410" t="n">
        <x:v>14</x:v>
      </x:c>
      <x:c r="E2388" t="str">
        <x:v>RIGHT_04</x:v>
      </x:c>
      <x:c r="F2388" t="str">
        <x:v>FlyingEye</x:v>
      </x:c>
      <x:c r="G2388" s="410" t="n">
        <x:v>46</x:v>
      </x:c>
    </x:row>
    <x:row r="2389">
      <x:c r="A2389" t="str">
        <x:v>Stage01</x:v>
      </x:c>
      <x:c r="B2389" t="str">
        <x:v>WAVE_53</x:v>
      </x:c>
      <x:c r="C2389" s="409" t="n">
        <x:v>522.17</x:v>
      </x:c>
      <x:c r="D2389" s="410" t="n">
        <x:v>15</x:v>
      </x:c>
      <x:c r="E2389" t="str">
        <x:v>BOTTOM_05</x:v>
      </x:c>
      <x:c r="F2389" t="str">
        <x:v>GoblinMelee</x:v>
      </x:c>
      <x:c r="G2389" s="410" t="n">
        <x:v>45</x:v>
      </x:c>
    </x:row>
    <x:row r="2390">
      <x:c r="A2390" t="str">
        <x:v>Stage01</x:v>
      </x:c>
      <x:c r="B2390" t="str">
        <x:v>WAVE_53</x:v>
      </x:c>
      <x:c r="C2390" s="409" t="n">
        <x:v>522.25</x:v>
      </x:c>
      <x:c r="D2390" s="410" t="n">
        <x:v>16</x:v>
      </x:c>
      <x:c r="E2390" t="str">
        <x:v>LEFT_06</x:v>
      </x:c>
      <x:c r="F2390" t="str">
        <x:v>GoblinRanged</x:v>
      </x:c>
      <x:c r="G2390" s="410" t="n">
        <x:v>46</x:v>
      </x:c>
    </x:row>
    <x:row r="2391">
      <x:c r="A2391" t="str">
        <x:v>Stage01</x:v>
      </x:c>
      <x:c r="B2391" t="str">
        <x:v>WAVE_53</x:v>
      </x:c>
      <x:c r="C2391" s="409" t="n">
        <x:v>522.34</x:v>
      </x:c>
      <x:c r="D2391" s="410" t="n">
        <x:v>17</x:v>
      </x:c>
      <x:c r="E2391" t="str">
        <x:v>TOP_08</x:v>
      </x:c>
      <x:c r="F2391" t="str">
        <x:v>GoblinMelee</x:v>
      </x:c>
      <x:c r="G2391" s="410" t="n">
        <x:v>46</x:v>
      </x:c>
    </x:row>
    <x:row r="2392">
      <x:c r="A2392" t="str">
        <x:v>Stage01</x:v>
      </x:c>
      <x:c r="B2392" t="str">
        <x:v>WAVE_53</x:v>
      </x:c>
      <x:c r="C2392" s="409" t="n">
        <x:v>522.42</x:v>
      </x:c>
      <x:c r="D2392" s="410" t="n">
        <x:v>18</x:v>
      </x:c>
      <x:c r="E2392" t="str">
        <x:v>RIGHT_01</x:v>
      </x:c>
      <x:c r="F2392" t="str">
        <x:v>ShieldSkeleton</x:v>
      </x:c>
      <x:c r="G2392" s="410" t="n">
        <x:v>46</x:v>
      </x:c>
    </x:row>
    <x:row r="2393">
      <x:c r="A2393" t="str">
        <x:v>Stage01</x:v>
      </x:c>
      <x:c r="B2393" t="str">
        <x:v>WAVE_53</x:v>
      </x:c>
      <x:c r="C2393" s="409" t="n">
        <x:v>522.5</x:v>
      </x:c>
      <x:c r="D2393" s="410" t="n">
        <x:v>19</x:v>
      </x:c>
      <x:c r="E2393" t="str">
        <x:v>BOTTOM_02</x:v>
      </x:c>
      <x:c r="F2393" t="str">
        <x:v>GoblinMelee</x:v>
      </x:c>
      <x:c r="G2393" s="410" t="n">
        <x:v>45</x:v>
      </x:c>
    </x:row>
    <x:row r="2394">
      <x:c r="A2394" t="str">
        <x:v>Stage01</x:v>
      </x:c>
      <x:c r="B2394" t="str">
        <x:v>WAVE_53</x:v>
      </x:c>
      <x:c r="C2394" s="409" t="n">
        <x:v>522.59</x:v>
      </x:c>
      <x:c r="D2394" s="410" t="n">
        <x:v>20</x:v>
      </x:c>
      <x:c r="E2394" t="str">
        <x:v>LEFT_03</x:v>
      </x:c>
      <x:c r="F2394" t="str">
        <x:v>GoblinRanged</x:v>
      </x:c>
      <x:c r="G2394" s="410" t="n">
        <x:v>46</x:v>
      </x:c>
    </x:row>
    <x:row r="2395">
      <x:c r="A2395" t="str">
        <x:v>Stage01</x:v>
      </x:c>
      <x:c r="B2395" t="str">
        <x:v>WAVE_53</x:v>
      </x:c>
      <x:c r="C2395" s="409" t="n">
        <x:v>522.67</x:v>
      </x:c>
      <x:c r="D2395" s="410" t="n">
        <x:v>21</x:v>
      </x:c>
      <x:c r="E2395" t="str">
        <x:v>TOP_05</x:v>
      </x:c>
      <x:c r="F2395" t="str">
        <x:v>GoblinMelee</x:v>
      </x:c>
      <x:c r="G2395" s="410" t="n">
        <x:v>46</x:v>
      </x:c>
    </x:row>
    <x:row r="2396">
      <x:c r="A2396" t="str">
        <x:v>Stage01</x:v>
      </x:c>
      <x:c r="B2396" t="str">
        <x:v>WAVE_53</x:v>
      </x:c>
      <x:c r="C2396" s="409" t="n">
        <x:v>522.75</x:v>
      </x:c>
      <x:c r="D2396" s="410" t="n">
        <x:v>22</x:v>
      </x:c>
      <x:c r="E2396" t="str">
        <x:v>RIGHT_06</x:v>
      </x:c>
      <x:c r="F2396" t="str">
        <x:v>GoblinMelee</x:v>
      </x:c>
      <x:c r="G2396" s="410" t="n">
        <x:v>46</x:v>
      </x:c>
    </x:row>
    <x:row r="2397">
      <x:c r="A2397" t="str">
        <x:v>Stage01</x:v>
      </x:c>
      <x:c r="B2397" t="str">
        <x:v>WAVE_53</x:v>
      </x:c>
      <x:c r="C2397" s="409" t="n">
        <x:v>522.84</x:v>
      </x:c>
      <x:c r="D2397" s="410" t="n">
        <x:v>23</x:v>
      </x:c>
      <x:c r="E2397" t="str">
        <x:v>BOTTOM_07</x:v>
      </x:c>
      <x:c r="F2397" t="str">
        <x:v>GoblinRanged</x:v>
      </x:c>
      <x:c r="G2397" s="410" t="n">
        <x:v>45</x:v>
      </x:c>
    </x:row>
    <x:row r="2398">
      <x:c r="A2398" t="str">
        <x:v>Stage01</x:v>
      </x:c>
      <x:c r="B2398" t="str">
        <x:v>WAVE_53</x:v>
      </x:c>
      <x:c r="C2398" s="409" t="n">
        <x:v>522.92</x:v>
      </x:c>
      <x:c r="D2398" s="410" t="n">
        <x:v>24</x:v>
      </x:c>
      <x:c r="E2398" t="str">
        <x:v>LEFT_08</x:v>
      </x:c>
      <x:c r="F2398" t="str">
        <x:v>GoblinMelee</x:v>
      </x:c>
      <x:c r="G2398" s="410" t="n">
        <x:v>46</x:v>
      </x:c>
    </x:row>
    <x:row r="2399">
      <x:c r="A2399" t="str">
        <x:v>Stage01</x:v>
      </x:c>
      <x:c r="B2399" t="str">
        <x:v>WAVE_53</x:v>
      </x:c>
      <x:c r="C2399" s="409" t="n">
        <x:v>523</x:v>
      </x:c>
      <x:c r="D2399" s="410" t="n">
        <x:v>25</x:v>
      </x:c>
      <x:c r="E2399" t="str">
        <x:v>TOP_02</x:v>
      </x:c>
      <x:c r="F2399" t="str">
        <x:v>GoblinMelee</x:v>
      </x:c>
      <x:c r="G2399" s="410" t="n">
        <x:v>46</x:v>
      </x:c>
    </x:row>
    <x:row r="2400">
      <x:c r="A2400" t="str">
        <x:v>Stage01</x:v>
      </x:c>
      <x:c r="B2400" t="str">
        <x:v>WAVE_53</x:v>
      </x:c>
      <x:c r="C2400" s="409" t="n">
        <x:v>523.09</x:v>
      </x:c>
      <x:c r="D2400" s="410" t="n">
        <x:v>26</x:v>
      </x:c>
      <x:c r="E2400" t="str">
        <x:v>RIGHT_03</x:v>
      </x:c>
      <x:c r="F2400" t="str">
        <x:v>GoblinRanged</x:v>
      </x:c>
      <x:c r="G2400" s="410" t="n">
        <x:v>46</x:v>
      </x:c>
    </x:row>
    <x:row r="2401">
      <x:c r="A2401" t="str">
        <x:v>Stage01</x:v>
      </x:c>
      <x:c r="B2401" t="str">
        <x:v>WAVE_53</x:v>
      </x:c>
      <x:c r="C2401" s="409" t="n">
        <x:v>523.17</x:v>
      </x:c>
      <x:c r="D2401" s="410" t="n">
        <x:v>27</x:v>
      </x:c>
      <x:c r="E2401" t="str">
        <x:v>BOTTOM_04</x:v>
      </x:c>
      <x:c r="F2401" t="str">
        <x:v>ShieldSkeleton</x:v>
      </x:c>
      <x:c r="G2401" s="410" t="n">
        <x:v>46</x:v>
      </x:c>
    </x:row>
    <x:row r="2402">
      <x:c r="A2402" t="str">
        <x:v>Stage01</x:v>
      </x:c>
      <x:c r="B2402" t="str">
        <x:v>WAVE_53</x:v>
      </x:c>
      <x:c r="C2402" s="409" t="n">
        <x:v>523.25</x:v>
      </x:c>
      <x:c r="D2402" s="410" t="n">
        <x:v>28</x:v>
      </x:c>
      <x:c r="E2402" t="str">
        <x:v>LEFT_05</x:v>
      </x:c>
      <x:c r="F2402" t="str">
        <x:v>FlyingEye</x:v>
      </x:c>
      <x:c r="G2402" s="410" t="n">
        <x:v>45</x:v>
      </x:c>
    </x:row>
    <x:row r="2403">
      <x:c r="A2403" t="str">
        <x:v>Stage01</x:v>
      </x:c>
      <x:c r="B2403" t="str">
        <x:v>WAVE_53</x:v>
      </x:c>
      <x:c r="C2403" s="409" t="n">
        <x:v>523.34</x:v>
      </x:c>
      <x:c r="D2403" s="410" t="n">
        <x:v>29</x:v>
      </x:c>
      <x:c r="E2403" t="str">
        <x:v>TOP_07</x:v>
      </x:c>
      <x:c r="F2403" t="str">
        <x:v>GoblinMelee</x:v>
      </x:c>
      <x:c r="G2403" s="410" t="n">
        <x:v>46</x:v>
      </x:c>
    </x:row>
    <x:row r="2404">
      <x:c r="A2404" t="str">
        <x:v>Stage01</x:v>
      </x:c>
      <x:c r="B2404" t="str">
        <x:v>WAVE_53</x:v>
      </x:c>
      <x:c r="C2404" s="409" t="n">
        <x:v>523.42</x:v>
      </x:c>
      <x:c r="D2404" s="410" t="n">
        <x:v>30</x:v>
      </x:c>
      <x:c r="E2404" t="str">
        <x:v>RIGHT_08</x:v>
      </x:c>
      <x:c r="F2404" t="str">
        <x:v>GoblinRanged</x:v>
      </x:c>
      <x:c r="G2404" s="410" t="n">
        <x:v>46</x:v>
      </x:c>
    </x:row>
    <x:row r="2405">
      <x:c r="A2405" t="str">
        <x:v>Stage01</x:v>
      </x:c>
      <x:c r="B2405" t="str">
        <x:v>WAVE_53</x:v>
      </x:c>
      <x:c r="C2405" s="409" t="n">
        <x:v>523.5</x:v>
      </x:c>
      <x:c r="D2405" s="410" t="n">
        <x:v>31</x:v>
      </x:c>
      <x:c r="E2405" t="str">
        <x:v>BOTTOM_01</x:v>
      </x:c>
      <x:c r="F2405" t="str">
        <x:v>GoblinMelee</x:v>
      </x:c>
      <x:c r="G2405" s="410" t="n">
        <x:v>46</x:v>
      </x:c>
    </x:row>
    <x:row r="2406">
      <x:c r="A2406" t="str">
        <x:v>Stage01</x:v>
      </x:c>
      <x:c r="B2406" t="str">
        <x:v>WAVE_53</x:v>
      </x:c>
      <x:c r="C2406" s="409" t="n">
        <x:v>523.59</x:v>
      </x:c>
      <x:c r="D2406" s="410" t="n">
        <x:v>32</x:v>
      </x:c>
      <x:c r="E2406" t="str">
        <x:v>LEFT_02</x:v>
      </x:c>
      <x:c r="F2406" t="str">
        <x:v>GoblinMelee</x:v>
      </x:c>
      <x:c r="G2406" s="410" t="n">
        <x:v>45</x:v>
      </x:c>
    </x:row>
    <x:row r="2407">
      <x:c r="A2407" t="str">
        <x:v>Stage01</x:v>
      </x:c>
      <x:c r="B2407" t="str">
        <x:v>WAVE_53</x:v>
      </x:c>
      <x:c r="C2407" s="409" t="n">
        <x:v>523.67</x:v>
      </x:c>
      <x:c r="D2407" s="410" t="n">
        <x:v>33</x:v>
      </x:c>
      <x:c r="E2407" t="str">
        <x:v>TOP_04</x:v>
      </x:c>
      <x:c r="F2407" t="str">
        <x:v>GoblinRanged</x:v>
      </x:c>
      <x:c r="G2407" s="410" t="n">
        <x:v>46</x:v>
      </x:c>
    </x:row>
    <x:row r="2408">
      <x:c r="A2408" t="str">
        <x:v>Stage01</x:v>
      </x:c>
      <x:c r="B2408" t="str">
        <x:v>WAVE_53</x:v>
      </x:c>
      <x:c r="C2408" s="409" t="n">
        <x:v>523.76</x:v>
      </x:c>
      <x:c r="D2408" s="410" t="n">
        <x:v>34</x:v>
      </x:c>
      <x:c r="E2408" t="str">
        <x:v>RIGHT_05</x:v>
      </x:c>
      <x:c r="F2408" t="str">
        <x:v>GoblinMelee</x:v>
      </x:c>
      <x:c r="G2408" s="410" t="n">
        <x:v>46</x:v>
      </x:c>
    </x:row>
    <x:row r="2409">
      <x:c r="A2409" t="str">
        <x:v>Stage01</x:v>
      </x:c>
      <x:c r="B2409" t="str">
        <x:v>WAVE_53</x:v>
      </x:c>
      <x:c r="C2409" s="409" t="n">
        <x:v>523.84</x:v>
      </x:c>
      <x:c r="D2409" s="410" t="n">
        <x:v>35</x:v>
      </x:c>
      <x:c r="E2409" t="str">
        <x:v>BOTTOM_06</x:v>
      </x:c>
      <x:c r="F2409" t="str">
        <x:v>ShieldSkeleton</x:v>
      </x:c>
      <x:c r="G2409" s="410" t="n">
        <x:v>46</x:v>
      </x:c>
    </x:row>
    <x:row r="2410">
      <x:c r="A2410" t="str">
        <x:v>Stage01</x:v>
      </x:c>
      <x:c r="B2410" t="str">
        <x:v>WAVE_53</x:v>
      </x:c>
      <x:c r="C2410" s="409" t="n">
        <x:v>523.92</x:v>
      </x:c>
      <x:c r="D2410" s="410" t="n">
        <x:v>36</x:v>
      </x:c>
      <x:c r="E2410" t="str">
        <x:v>LEFT_07</x:v>
      </x:c>
      <x:c r="F2410" t="str">
        <x:v>GoblinMelee</x:v>
      </x:c>
      <x:c r="G2410" s="410" t="n">
        <x:v>45</x:v>
      </x:c>
    </x:row>
    <x:row r="2411">
      <x:c r="A2411" t="str">
        <x:v>Stage01</x:v>
      </x:c>
      <x:c r="B2411" t="str">
        <x:v>WAVE_53</x:v>
      </x:c>
      <x:c r="C2411" s="409" t="n">
        <x:v>524.01</x:v>
      </x:c>
      <x:c r="D2411" s="410" t="n">
        <x:v>37</x:v>
      </x:c>
      <x:c r="E2411" t="str">
        <x:v>TOP_01</x:v>
      </x:c>
      <x:c r="F2411" t="str">
        <x:v>GoblinRanged</x:v>
      </x:c>
      <x:c r="G2411" s="410" t="n">
        <x:v>46</x:v>
      </x:c>
    </x:row>
    <x:row r="2412">
      <x:c r="A2412" t="str">
        <x:v>Stage01</x:v>
      </x:c>
      <x:c r="B2412" t="str">
        <x:v>WAVE_53</x:v>
      </x:c>
      <x:c r="C2412" s="409" t="n">
        <x:v>524.09</x:v>
      </x:c>
      <x:c r="D2412" s="410" t="n">
        <x:v>38</x:v>
      </x:c>
      <x:c r="E2412" t="str">
        <x:v>RIGHT_02</x:v>
      </x:c>
      <x:c r="F2412" t="str">
        <x:v>GoblinMelee</x:v>
      </x:c>
      <x:c r="G2412" s="410" t="n">
        <x:v>46</x:v>
      </x:c>
    </x:row>
    <x:row r="2413">
      <x:c r="A2413" t="str">
        <x:v>Stage01</x:v>
      </x:c>
      <x:c r="B2413" t="str">
        <x:v>WAVE_53</x:v>
      </x:c>
      <x:c r="C2413" s="409" t="n">
        <x:v>524.17</x:v>
      </x:c>
      <x:c r="D2413" s="410" t="n">
        <x:v>39</x:v>
      </x:c>
      <x:c r="E2413" t="str">
        <x:v>BOTTOM_03</x:v>
      </x:c>
      <x:c r="F2413" t="str">
        <x:v>GoblinMelee</x:v>
      </x:c>
      <x:c r="G2413" s="410" t="n">
        <x:v>46</x:v>
      </x:c>
    </x:row>
    <x:row r="2414">
      <x:c r="A2414" t="str">
        <x:v>Stage01</x:v>
      </x:c>
      <x:c r="B2414" t="str">
        <x:v>WAVE_53</x:v>
      </x:c>
      <x:c r="C2414" s="409" t="n">
        <x:v>524.26</x:v>
      </x:c>
      <x:c r="D2414" s="410" t="n">
        <x:v>40</x:v>
      </x:c>
      <x:c r="E2414" t="str">
        <x:v>LEFT_04</x:v>
      </x:c>
      <x:c r="F2414" t="str">
        <x:v>GoblinRanged</x:v>
      </x:c>
      <x:c r="G2414" s="410" t="n">
        <x:v>45</x:v>
      </x:c>
    </x:row>
    <x:row r="2415">
      <x:c r="A2415" t="str">
        <x:v>Stage01</x:v>
      </x:c>
      <x:c r="B2415" t="str">
        <x:v>WAVE_53</x:v>
      </x:c>
      <x:c r="C2415" s="409" t="n">
        <x:v>524.34</x:v>
      </x:c>
      <x:c r="D2415" s="410" t="n">
        <x:v>41</x:v>
      </x:c>
      <x:c r="E2415" t="str">
        <x:v>TOP_06</x:v>
      </x:c>
      <x:c r="F2415" t="str">
        <x:v>FlyingEye</x:v>
      </x:c>
      <x:c r="G2415" s="410" t="n">
        <x:v>46</x:v>
      </x:c>
    </x:row>
    <x:row r="2416">
      <x:c r="A2416" t="str">
        <x:v>Stage01</x:v>
      </x:c>
      <x:c r="B2416" t="str">
        <x:v>WAVE_53</x:v>
      </x:c>
      <x:c r="C2416" s="409" t="n">
        <x:v>524.42</x:v>
      </x:c>
      <x:c r="D2416" s="410" t="n">
        <x:v>42</x:v>
      </x:c>
      <x:c r="E2416" t="str">
        <x:v>RIGHT_07</x:v>
      </x:c>
      <x:c r="F2416" t="str">
        <x:v>ShieldSkeleton</x:v>
      </x:c>
      <x:c r="G2416" s="410" t="n">
        <x:v>46</x:v>
      </x:c>
    </x:row>
    <x:row r="2417">
      <x:c r="A2417" t="str">
        <x:v>Stage01</x:v>
      </x:c>
      <x:c r="B2417" t="str">
        <x:v>WAVE_53</x:v>
      </x:c>
      <x:c r="C2417" s="409" t="n">
        <x:v>524.51</x:v>
      </x:c>
      <x:c r="D2417" s="410" t="n">
        <x:v>43</x:v>
      </x:c>
      <x:c r="E2417" t="str">
        <x:v>BOTTOM_08</x:v>
      </x:c>
      <x:c r="F2417" t="str">
        <x:v>GoblinMelee</x:v>
      </x:c>
      <x:c r="G2417" s="410" t="n">
        <x:v>46</x:v>
      </x:c>
    </x:row>
    <x:row r="2418">
      <x:c r="A2418" t="str">
        <x:v>Stage01</x:v>
      </x:c>
      <x:c r="B2418" t="str">
        <x:v>WAVE_53</x:v>
      </x:c>
      <x:c r="C2418" s="409" t="n">
        <x:v>524.59</x:v>
      </x:c>
      <x:c r="D2418" s="410" t="n">
        <x:v>44</x:v>
      </x:c>
      <x:c r="E2418" t="str">
        <x:v>LEFT_01</x:v>
      </x:c>
      <x:c r="F2418" t="str">
        <x:v>GoblinRanged</x:v>
      </x:c>
      <x:c r="G2418" s="410" t="n">
        <x:v>45</x:v>
      </x:c>
    </x:row>
    <x:row r="2419">
      <x:c r="A2419" t="str">
        <x:v>Stage01</x:v>
      </x:c>
      <x:c r="B2419" t="str">
        <x:v>WAVE_53</x:v>
      </x:c>
      <x:c r="C2419" s="409" t="n">
        <x:v>524.67</x:v>
      </x:c>
      <x:c r="D2419" s="410" t="n">
        <x:v>45</x:v>
      </x:c>
      <x:c r="E2419" t="str">
        <x:v>TOP_03</x:v>
      </x:c>
      <x:c r="F2419" t="str">
        <x:v>GoblinMelee</x:v>
      </x:c>
      <x:c r="G2419" s="410" t="n">
        <x:v>46</x:v>
      </x:c>
    </x:row>
    <x:row r="2420">
      <x:c r="A2420" t="str">
        <x:v>Stage01</x:v>
      </x:c>
      <x:c r="B2420" t="str">
        <x:v>WAVE_53</x:v>
      </x:c>
      <x:c r="C2420" s="409" t="n">
        <x:v>524.76</x:v>
      </x:c>
      <x:c r="D2420" s="410" t="n">
        <x:v>46</x:v>
      </x:c>
      <x:c r="E2420" t="str">
        <x:v>RIGHT_04</x:v>
      </x:c>
      <x:c r="F2420" t="str">
        <x:v>GoblinMelee</x:v>
      </x:c>
      <x:c r="G2420" s="410" t="n">
        <x:v>46</x:v>
      </x:c>
    </x:row>
    <x:row r="2421">
      <x:c r="A2421" t="str">
        <x:v>Stage01</x:v>
      </x:c>
      <x:c r="B2421" t="str">
        <x:v>WAVE_53</x:v>
      </x:c>
      <x:c r="C2421" s="409" t="n">
        <x:v>524.84</x:v>
      </x:c>
      <x:c r="D2421" s="410" t="n">
        <x:v>47</x:v>
      </x:c>
      <x:c r="E2421" t="str">
        <x:v>BOTTOM_05</x:v>
      </x:c>
      <x:c r="F2421" t="str">
        <x:v>GoblinRanged</x:v>
      </x:c>
      <x:c r="G2421" s="410" t="n">
        <x:v>46</x:v>
      </x:c>
    </x:row>
    <x:row r="2422">
      <x:c r="A2422" t="str">
        <x:v>Stage01</x:v>
      </x:c>
      <x:c r="B2422" t="str">
        <x:v>WAVE_53</x:v>
      </x:c>
      <x:c r="C2422" s="409" t="n">
        <x:v>524.92</x:v>
      </x:c>
      <x:c r="D2422" s="410" t="n">
        <x:v>48</x:v>
      </x:c>
      <x:c r="E2422" t="str">
        <x:v>LEFT_06</x:v>
      </x:c>
      <x:c r="F2422" t="str">
        <x:v>GoblinMelee</x:v>
      </x:c>
      <x:c r="G2422" s="410" t="n">
        <x:v>45</x:v>
      </x:c>
    </x:row>
    <x:row r="2423">
      <x:c r="A2423" t="str">
        <x:v>Stage01</x:v>
      </x:c>
      <x:c r="B2423" t="str">
        <x:v>WAVE_53</x:v>
      </x:c>
      <x:c r="C2423" s="409" t="n">
        <x:v>525.01</x:v>
      </x:c>
      <x:c r="D2423" s="410" t="n">
        <x:v>49</x:v>
      </x:c>
      <x:c r="E2423" t="str">
        <x:v>TOP_08</x:v>
      </x:c>
      <x:c r="F2423" t="str">
        <x:v>ShieldSkeleton</x:v>
      </x:c>
      <x:c r="G2423" s="410" t="n">
        <x:v>46</x:v>
      </x:c>
    </x:row>
    <x:row r="2424">
      <x:c r="A2424" t="str">
        <x:v>Stage01</x:v>
      </x:c>
      <x:c r="B2424" t="str">
        <x:v>WAVE_53</x:v>
      </x:c>
      <x:c r="C2424" s="409" t="n">
        <x:v>525.09</x:v>
      </x:c>
      <x:c r="D2424" s="410" t="n">
        <x:v>50</x:v>
      </x:c>
      <x:c r="E2424" t="str">
        <x:v>RIGHT_01</x:v>
      </x:c>
      <x:c r="F2424" t="str">
        <x:v>GoblinMelee</x:v>
      </x:c>
      <x:c r="G2424" s="410" t="n">
        <x:v>46</x:v>
      </x:c>
    </x:row>
    <x:row r="2425">
      <x:c r="A2425" t="str">
        <x:v>Stage01</x:v>
      </x:c>
      <x:c r="B2425" t="str">
        <x:v>WAVE_53</x:v>
      </x:c>
      <x:c r="C2425" s="409" t="n">
        <x:v>525.17</x:v>
      </x:c>
      <x:c r="D2425" s="410" t="n">
        <x:v>51</x:v>
      </x:c>
      <x:c r="E2425" t="str">
        <x:v>BOTTOM_02</x:v>
      </x:c>
      <x:c r="F2425" t="str">
        <x:v>GoblinRanged</x:v>
      </x:c>
      <x:c r="G2425" s="410" t="n">
        <x:v>46</x:v>
      </x:c>
    </x:row>
    <x:row r="2426">
      <x:c r="A2426" t="str">
        <x:v>Stage01</x:v>
      </x:c>
      <x:c r="B2426" t="str">
        <x:v>WAVE_53</x:v>
      </x:c>
      <x:c r="C2426" s="409" t="n">
        <x:v>525.26</x:v>
      </x:c>
      <x:c r="D2426" s="410" t="n">
        <x:v>52</x:v>
      </x:c>
      <x:c r="E2426" t="str">
        <x:v>LEFT_03</x:v>
      </x:c>
      <x:c r="F2426" t="str">
        <x:v>GoblinMelee</x:v>
      </x:c>
      <x:c r="G2426" s="410" t="n">
        <x:v>45</x:v>
      </x:c>
    </x:row>
    <x:row r="2427">
      <x:c r="A2427" t="str">
        <x:v>Stage01</x:v>
      </x:c>
      <x:c r="B2427" t="str">
        <x:v>WAVE_53</x:v>
      </x:c>
      <x:c r="C2427" s="409" t="n">
        <x:v>525.34</x:v>
      </x:c>
      <x:c r="D2427" s="410" t="n">
        <x:v>53</x:v>
      </x:c>
      <x:c r="E2427" t="str">
        <x:v>TOP_05</x:v>
      </x:c>
      <x:c r="F2427" t="str">
        <x:v>GoblinMelee</x:v>
      </x:c>
      <x:c r="G2427" s="410" t="n">
        <x:v>46</x:v>
      </x:c>
    </x:row>
    <x:row r="2428">
      <x:c r="A2428" t="str">
        <x:v>Stage01</x:v>
      </x:c>
      <x:c r="B2428" t="str">
        <x:v>WAVE_53</x:v>
      </x:c>
      <x:c r="C2428" s="409" t="n">
        <x:v>525.43</x:v>
      </x:c>
      <x:c r="D2428" s="410" t="n">
        <x:v>54</x:v>
      </x:c>
      <x:c r="E2428" t="str">
        <x:v>RIGHT_06</x:v>
      </x:c>
      <x:c r="F2428" t="str">
        <x:v>GoblinRanged</x:v>
      </x:c>
      <x:c r="G2428" s="410" t="n">
        <x:v>46</x:v>
      </x:c>
    </x:row>
    <x:row r="2429">
      <x:c r="A2429" t="str">
        <x:v>Stage01</x:v>
      </x:c>
      <x:c r="B2429" t="str">
        <x:v>WAVE_53</x:v>
      </x:c>
      <x:c r="C2429" s="409" t="n">
        <x:v>525.51</x:v>
      </x:c>
      <x:c r="D2429" s="410" t="n">
        <x:v>55</x:v>
      </x:c>
      <x:c r="E2429" t="str">
        <x:v>BOTTOM_07</x:v>
      </x:c>
      <x:c r="F2429" t="str">
        <x:v>FlyingEye</x:v>
      </x:c>
      <x:c r="G2429" s="410" t="n">
        <x:v>46</x:v>
      </x:c>
    </x:row>
    <x:row r="2430">
      <x:c r="A2430" t="str">
        <x:v>Stage01</x:v>
      </x:c>
      <x:c r="B2430" t="str">
        <x:v>WAVE_53</x:v>
      </x:c>
      <x:c r="C2430" s="409" t="n">
        <x:v>525.59</x:v>
      </x:c>
      <x:c r="D2430" s="410" t="n">
        <x:v>56</x:v>
      </x:c>
      <x:c r="E2430" t="str">
        <x:v>LEFT_08</x:v>
      </x:c>
      <x:c r="F2430" t="str">
        <x:v>ShieldSkeleton</x:v>
      </x:c>
      <x:c r="G2430" s="410" t="n">
        <x:v>46</x:v>
      </x:c>
    </x:row>
    <x:row r="2431">
      <x:c r="A2431" t="str">
        <x:v>Stage01</x:v>
      </x:c>
      <x:c r="B2431" t="str">
        <x:v>WAVE_53</x:v>
      </x:c>
      <x:c r="C2431" s="409" t="n">
        <x:v>525.68</x:v>
      </x:c>
      <x:c r="D2431" s="410" t="n">
        <x:v>57</x:v>
      </x:c>
      <x:c r="E2431" t="str">
        <x:v>TOP_02</x:v>
      </x:c>
      <x:c r="F2431" t="str">
        <x:v>GoblinMelee</x:v>
      </x:c>
      <x:c r="G2431" s="410" t="n">
        <x:v>45</x:v>
      </x:c>
    </x:row>
    <x:row r="2432">
      <x:c r="A2432" t="str">
        <x:v>Stage01</x:v>
      </x:c>
      <x:c r="B2432" t="str">
        <x:v>WAVE_53</x:v>
      </x:c>
      <x:c r="C2432" s="409" t="n">
        <x:v>525.76</x:v>
      </x:c>
      <x:c r="D2432" s="410" t="n">
        <x:v>58</x:v>
      </x:c>
      <x:c r="E2432" t="str">
        <x:v>RIGHT_03</x:v>
      </x:c>
      <x:c r="F2432" t="str">
        <x:v>GoblinRanged</x:v>
      </x:c>
      <x:c r="G2432" s="410" t="n">
        <x:v>46</x:v>
      </x:c>
    </x:row>
    <x:row r="2433">
      <x:c r="A2433" t="str">
        <x:v>Stage01</x:v>
      </x:c>
      <x:c r="B2433" t="str">
        <x:v>WAVE_53</x:v>
      </x:c>
      <x:c r="C2433" s="409" t="n">
        <x:v>525.84</x:v>
      </x:c>
      <x:c r="D2433" s="410" t="n">
        <x:v>59</x:v>
      </x:c>
      <x:c r="E2433" t="str">
        <x:v>BOTTOM_04</x:v>
      </x:c>
      <x:c r="F2433" t="str">
        <x:v>GoblinMelee</x:v>
      </x:c>
      <x:c r="G2433" s="410" t="n">
        <x:v>46</x:v>
      </x:c>
    </x:row>
    <x:row r="2434">
      <x:c r="A2434" t="str">
        <x:v>Stage01</x:v>
      </x:c>
      <x:c r="B2434" t="str">
        <x:v>WAVE_53</x:v>
      </x:c>
      <x:c r="C2434" s="409" t="n">
        <x:v>525.93</x:v>
      </x:c>
      <x:c r="D2434" s="410" t="n">
        <x:v>60</x:v>
      </x:c>
      <x:c r="E2434" t="str">
        <x:v>LEFT_05</x:v>
      </x:c>
      <x:c r="F2434" t="str">
        <x:v>GoblinMelee</x:v>
      </x:c>
      <x:c r="G2434" s="410" t="n">
        <x:v>46</x:v>
      </x:c>
    </x:row>
    <x:row r="2435">
      <x:c r="A2435" t="str">
        <x:v>Stage01</x:v>
      </x:c>
      <x:c r="B2435" t="str">
        <x:v>WAVE_53</x:v>
      </x:c>
      <x:c r="C2435" s="409" t="n">
        <x:v>526.01</x:v>
      </x:c>
      <x:c r="D2435" s="410" t="n">
        <x:v>61</x:v>
      </x:c>
      <x:c r="E2435" t="str">
        <x:v>TOP_07</x:v>
      </x:c>
      <x:c r="F2435" t="str">
        <x:v>GoblinRanged</x:v>
      </x:c>
      <x:c r="G2435" s="410" t="n">
        <x:v>45</x:v>
      </x:c>
    </x:row>
    <x:row r="2436">
      <x:c r="A2436" t="str">
        <x:v>Stage01</x:v>
      </x:c>
      <x:c r="B2436" t="str">
        <x:v>WAVE_53</x:v>
      </x:c>
      <x:c r="C2436" s="409" t="n">
        <x:v>526.09</x:v>
      </x:c>
      <x:c r="D2436" s="410" t="n">
        <x:v>62</x:v>
      </x:c>
      <x:c r="E2436" t="str">
        <x:v>RIGHT_08</x:v>
      </x:c>
      <x:c r="F2436" t="str">
        <x:v>GoblinMelee</x:v>
      </x:c>
      <x:c r="G2436" s="410" t="n">
        <x:v>46</x:v>
      </x:c>
    </x:row>
    <x:row r="2437">
      <x:c r="A2437" t="str">
        <x:v>Stage01</x:v>
      </x:c>
      <x:c r="B2437" t="str">
        <x:v>WAVE_53</x:v>
      </x:c>
      <x:c r="C2437" s="409" t="n">
        <x:v>526.18</x:v>
      </x:c>
      <x:c r="D2437" s="410" t="n">
        <x:v>63</x:v>
      </x:c>
      <x:c r="E2437" t="str">
        <x:v>BOTTOM_01</x:v>
      </x:c>
      <x:c r="F2437" t="str">
        <x:v>ShieldSkeleton</x:v>
      </x:c>
      <x:c r="G2437" s="410" t="n">
        <x:v>46</x:v>
      </x:c>
    </x:row>
    <x:row r="2438">
      <x:c r="A2438" t="str">
        <x:v>Stage01</x:v>
      </x:c>
      <x:c r="B2438" t="str">
        <x:v>WAVE_53</x:v>
      </x:c>
      <x:c r="C2438" s="409" t="n">
        <x:v>526.26</x:v>
      </x:c>
      <x:c r="D2438" s="410" t="n">
        <x:v>64</x:v>
      </x:c>
      <x:c r="E2438" t="str">
        <x:v>LEFT_02</x:v>
      </x:c>
      <x:c r="F2438" t="str">
        <x:v>GoblinMelee</x:v>
      </x:c>
      <x:c r="G2438" s="410" t="n">
        <x:v>46</x:v>
      </x:c>
    </x:row>
    <x:row r="2439">
      <x:c r="A2439" t="str">
        <x:v>Stage01</x:v>
      </x:c>
      <x:c r="B2439" t="str">
        <x:v>WAVE_53</x:v>
      </x:c>
      <x:c r="C2439" s="409" t="n">
        <x:v>526.34</x:v>
      </x:c>
      <x:c r="D2439" s="410" t="n">
        <x:v>65</x:v>
      </x:c>
      <x:c r="E2439" t="str">
        <x:v>TOP_04</x:v>
      </x:c>
      <x:c r="F2439" t="str">
        <x:v>GoblinRanged</x:v>
      </x:c>
      <x:c r="G2439" s="410" t="n">
        <x:v>45</x:v>
      </x:c>
    </x:row>
    <x:row r="2440">
      <x:c r="A2440" t="str">
        <x:v>Stage01</x:v>
      </x:c>
      <x:c r="B2440" t="str">
        <x:v>WAVE_53</x:v>
      </x:c>
      <x:c r="C2440" s="409" t="n">
        <x:v>526.43</x:v>
      </x:c>
      <x:c r="D2440" s="410" t="n">
        <x:v>66</x:v>
      </x:c>
      <x:c r="E2440" t="str">
        <x:v>RIGHT_05</x:v>
      </x:c>
      <x:c r="F2440" t="str">
        <x:v>GoblinMelee</x:v>
      </x:c>
      <x:c r="G2440" s="410" t="n">
        <x:v>46</x:v>
      </x:c>
    </x:row>
    <x:row r="2441">
      <x:c r="A2441" t="str">
        <x:v>Stage01</x:v>
      </x:c>
      <x:c r="B2441" t="str">
        <x:v>WAVE_53</x:v>
      </x:c>
      <x:c r="C2441" s="409" t="n">
        <x:v>526.51</x:v>
      </x:c>
      <x:c r="D2441" s="410" t="n">
        <x:v>67</x:v>
      </x:c>
      <x:c r="E2441" t="str">
        <x:v>BOTTOM_06</x:v>
      </x:c>
      <x:c r="F2441" t="str">
        <x:v>GoblinMelee</x:v>
      </x:c>
      <x:c r="G2441" s="410" t="n">
        <x:v>46</x:v>
      </x:c>
    </x:row>
    <x:row r="2442">
      <x:c r="A2442" t="str">
        <x:v>Stage01</x:v>
      </x:c>
      <x:c r="B2442" t="str">
        <x:v>WAVE_53</x:v>
      </x:c>
      <x:c r="C2442" s="409" t="n">
        <x:v>526.59</x:v>
      </x:c>
      <x:c r="D2442" s="410" t="n">
        <x:v>68</x:v>
      </x:c>
      <x:c r="E2442" t="str">
        <x:v>LEFT_07</x:v>
      </x:c>
      <x:c r="F2442" t="str">
        <x:v>GoblinRanged</x:v>
      </x:c>
      <x:c r="G2442" s="410" t="n">
        <x:v>46</x:v>
      </x:c>
    </x:row>
    <x:row r="2443">
      <x:c r="A2443" t="str">
        <x:v>Stage01</x:v>
      </x:c>
      <x:c r="B2443" t="str">
        <x:v>WAVE_53</x:v>
      </x:c>
      <x:c r="C2443" s="409" t="n">
        <x:v>526.68</x:v>
      </x:c>
      <x:c r="D2443" s="410" t="n">
        <x:v>69</x:v>
      </x:c>
      <x:c r="E2443" t="str">
        <x:v>TOP_01</x:v>
      </x:c>
      <x:c r="F2443" t="str">
        <x:v>FlyingEye</x:v>
      </x:c>
      <x:c r="G2443" s="410" t="n">
        <x:v>45</x:v>
      </x:c>
    </x:row>
    <x:row r="2444">
      <x:c r="A2444" t="str">
        <x:v>Stage01</x:v>
      </x:c>
      <x:c r="B2444" t="str">
        <x:v>WAVE_53</x:v>
      </x:c>
      <x:c r="C2444" s="409" t="n">
        <x:v>526.76</x:v>
      </x:c>
      <x:c r="D2444" s="410" t="n">
        <x:v>70</x:v>
      </x:c>
      <x:c r="E2444" t="str">
        <x:v>RIGHT_02</x:v>
      </x:c>
      <x:c r="F2444" t="str">
        <x:v>ShieldSkeleton</x:v>
      </x:c>
      <x:c r="G2444" s="410" t="n">
        <x:v>46</x:v>
      </x:c>
    </x:row>
    <x:row r="2445">
      <x:c r="A2445" t="str">
        <x:v>Stage01</x:v>
      </x:c>
      <x:c r="B2445" t="str">
        <x:v>WAVE_53</x:v>
      </x:c>
      <x:c r="C2445" s="409" t="n">
        <x:v>526.84</x:v>
      </x:c>
      <x:c r="D2445" s="410" t="n">
        <x:v>71</x:v>
      </x:c>
      <x:c r="E2445" t="str">
        <x:v>BOTTOM_03</x:v>
      </x:c>
      <x:c r="F2445" t="str">
        <x:v>GoblinMelee</x:v>
      </x:c>
      <x:c r="G2445" s="410" t="n">
        <x:v>46</x:v>
      </x:c>
    </x:row>
    <x:row r="2446">
      <x:c r="A2446" t="str">
        <x:v>Stage01</x:v>
      </x:c>
      <x:c r="B2446" t="str">
        <x:v>WAVE_53</x:v>
      </x:c>
      <x:c r="C2446" s="409" t="n">
        <x:v>526.93</x:v>
      </x:c>
      <x:c r="D2446" s="410" t="n">
        <x:v>72</x:v>
      </x:c>
      <x:c r="E2446" t="str">
        <x:v>LEFT_04</x:v>
      </x:c>
      <x:c r="F2446" t="str">
        <x:v>GoblinRanged</x:v>
      </x:c>
      <x:c r="G2446" s="410" t="n">
        <x:v>46</x:v>
      </x:c>
    </x:row>
    <x:row r="2447">
      <x:c r="A2447" t="str">
        <x:v>Stage01</x:v>
      </x:c>
      <x:c r="B2447" t="str">
        <x:v>WAVE_53</x:v>
      </x:c>
      <x:c r="C2447" s="409" t="n">
        <x:v>527.01</x:v>
      </x:c>
      <x:c r="D2447" s="410" t="n">
        <x:v>73</x:v>
      </x:c>
      <x:c r="E2447" t="str">
        <x:v>TOP_06</x:v>
      </x:c>
      <x:c r="F2447" t="str">
        <x:v>GoblinMelee</x:v>
      </x:c>
      <x:c r="G2447" s="410" t="n">
        <x:v>45</x:v>
      </x:c>
    </x:row>
    <x:row r="2448">
      <x:c r="A2448" t="str">
        <x:v>Stage01</x:v>
      </x:c>
      <x:c r="B2448" t="str">
        <x:v>WAVE_53</x:v>
      </x:c>
      <x:c r="C2448" s="409" t="n">
        <x:v>527.1</x:v>
      </x:c>
      <x:c r="D2448" s="410" t="n">
        <x:v>74</x:v>
      </x:c>
      <x:c r="E2448" t="str">
        <x:v>RIGHT_07</x:v>
      </x:c>
      <x:c r="F2448" t="str">
        <x:v>GoblinMelee</x:v>
      </x:c>
      <x:c r="G2448" s="410" t="n">
        <x:v>46</x:v>
      </x:c>
    </x:row>
    <x:row r="2449">
      <x:c r="A2449" t="str">
        <x:v>Stage01</x:v>
      </x:c>
      <x:c r="B2449" t="str">
        <x:v>WAVE_53</x:v>
      </x:c>
      <x:c r="C2449" s="409" t="n">
        <x:v>527.18</x:v>
      </x:c>
      <x:c r="D2449" s="410" t="n">
        <x:v>75</x:v>
      </x:c>
      <x:c r="E2449" t="str">
        <x:v>BOTTOM_08</x:v>
      </x:c>
      <x:c r="F2449" t="str">
        <x:v>GoblinRanged</x:v>
      </x:c>
      <x:c r="G2449" s="410" t="n">
        <x:v>46</x:v>
      </x:c>
    </x:row>
    <x:row r="2450">
      <x:c r="A2450" t="str">
        <x:v>Stage01</x:v>
      </x:c>
      <x:c r="B2450" t="str">
        <x:v>WAVE_53</x:v>
      </x:c>
      <x:c r="C2450" s="409" t="n">
        <x:v>527.26</x:v>
      </x:c>
      <x:c r="D2450" s="410" t="n">
        <x:v>76</x:v>
      </x:c>
      <x:c r="E2450" t="str">
        <x:v>LEFT_01</x:v>
      </x:c>
      <x:c r="F2450" t="str">
        <x:v>GoblinMelee</x:v>
      </x:c>
      <x:c r="G2450" s="410" t="n">
        <x:v>46</x:v>
      </x:c>
    </x:row>
    <x:row r="2451">
      <x:c r="A2451" t="str">
        <x:v>Stage01</x:v>
      </x:c>
      <x:c r="B2451" t="str">
        <x:v>WAVE_53</x:v>
      </x:c>
      <x:c r="C2451" s="409" t="n">
        <x:v>527.35</x:v>
      </x:c>
      <x:c r="D2451" s="410" t="n">
        <x:v>77</x:v>
      </x:c>
      <x:c r="E2451" t="str">
        <x:v>TOP_03</x:v>
      </x:c>
      <x:c r="F2451" t="str">
        <x:v>GoblinMelee</x:v>
      </x:c>
      <x:c r="G2451" s="410" t="n">
        <x:v>45</x:v>
      </x:c>
    </x:row>
    <x:row r="2452">
      <x:c r="A2452" t="str">
        <x:v>Stage01</x:v>
      </x:c>
      <x:c r="B2452" t="str">
        <x:v>WAVE_53</x:v>
      </x:c>
      <x:c r="C2452" s="409" t="n">
        <x:v>527.43</x:v>
      </x:c>
      <x:c r="D2452" s="410" t="n">
        <x:v>78</x:v>
      </x:c>
      <x:c r="E2452" t="str">
        <x:v>RIGHT_04</x:v>
      </x:c>
      <x:c r="F2452" t="str">
        <x:v>GoblinRanged</x:v>
      </x:c>
      <x:c r="G2452" s="410" t="n">
        <x:v>46</x:v>
      </x:c>
    </x:row>
    <x:row r="2453">
      <x:c r="A2453" t="str">
        <x:v>Stage01</x:v>
      </x:c>
      <x:c r="B2453" t="str">
        <x:v>WAVE_53</x:v>
      </x:c>
      <x:c r="C2453" s="409" t="n">
        <x:v>527.51</x:v>
      </x:c>
      <x:c r="D2453" s="410" t="n">
        <x:v>79</x:v>
      </x:c>
      <x:c r="E2453" t="str">
        <x:v>BOTTOM_05</x:v>
      </x:c>
      <x:c r="F2453" t="str">
        <x:v>ShieldSkeleton</x:v>
      </x:c>
      <x:c r="G2453" s="410" t="n">
        <x:v>46</x:v>
      </x:c>
    </x:row>
    <x:row r="2454">
      <x:c r="A2454" t="str">
        <x:v>Stage01</x:v>
      </x:c>
      <x:c r="B2454" t="str">
        <x:v>WAVE_53</x:v>
      </x:c>
      <x:c r="C2454" s="409" t="n">
        <x:v>527.6</x:v>
      </x:c>
      <x:c r="D2454" s="410" t="n">
        <x:v>80</x:v>
      </x:c>
      <x:c r="E2454" t="str">
        <x:v>LEFT_06</x:v>
      </x:c>
      <x:c r="F2454" t="str">
        <x:v>GoblinMelee</x:v>
      </x:c>
      <x:c r="G2454" s="410" t="n">
        <x:v>46</x:v>
      </x:c>
    </x:row>
    <x:row r="2455">
      <x:c r="A2455" t="str">
        <x:v>Stage01</x:v>
      </x:c>
      <x:c r="B2455" t="str">
        <x:v>WAVE_53</x:v>
      </x:c>
      <x:c r="C2455" s="409" t="n">
        <x:v>527.68</x:v>
      </x:c>
      <x:c r="D2455" s="410" t="n">
        <x:v>81</x:v>
      </x:c>
      <x:c r="E2455" t="str">
        <x:v>TOP_08</x:v>
      </x:c>
      <x:c r="F2455" t="str">
        <x:v>GoblinMelee</x:v>
      </x:c>
      <x:c r="G2455" s="410" t="n">
        <x:v>46</x:v>
      </x:c>
    </x:row>
    <x:row r="2456">
      <x:c r="A2456" t="str">
        <x:v>Stage01</x:v>
      </x:c>
      <x:c r="B2456" t="str">
        <x:v>WAVE_53</x:v>
      </x:c>
      <x:c r="C2456" s="409" t="n">
        <x:v>527.76</x:v>
      </x:c>
      <x:c r="D2456" s="410" t="n">
        <x:v>82</x:v>
      </x:c>
      <x:c r="E2456" t="str">
        <x:v>RIGHT_01</x:v>
      </x:c>
      <x:c r="F2456" t="str">
        <x:v>GoblinRanged</x:v>
      </x:c>
      <x:c r="G2456" s="410" t="n">
        <x:v>45</x:v>
      </x:c>
    </x:row>
    <x:row r="2457">
      <x:c r="A2457" t="str">
        <x:v>Stage01</x:v>
      </x:c>
      <x:c r="B2457" t="str">
        <x:v>WAVE_53</x:v>
      </x:c>
      <x:c r="C2457" s="409" t="n">
        <x:v>527.85</x:v>
      </x:c>
      <x:c r="D2457" s="410" t="n">
        <x:v>83</x:v>
      </x:c>
      <x:c r="E2457" t="str">
        <x:v>BOTTOM_02</x:v>
      </x:c>
      <x:c r="F2457" t="str">
        <x:v>FlyingEye</x:v>
      </x:c>
      <x:c r="G2457" s="410" t="n">
        <x:v>46</x:v>
      </x:c>
    </x:row>
    <x:row r="2458">
      <x:c r="A2458" t="str">
        <x:v>Stage01</x:v>
      </x:c>
      <x:c r="B2458" t="str">
        <x:v>WAVE_53</x:v>
      </x:c>
      <x:c r="C2458" s="409" t="n">
        <x:v>527.93</x:v>
      </x:c>
      <x:c r="D2458" s="410" t="n">
        <x:v>84</x:v>
      </x:c>
      <x:c r="E2458" t="str">
        <x:v>LEFT_03</x:v>
      </x:c>
      <x:c r="F2458" t="str">
        <x:v>GoblinMelee</x:v>
      </x:c>
      <x:c r="G2458" s="410" t="n">
        <x:v>46</x:v>
      </x:c>
    </x:row>
    <x:row r="2459">
      <x:c r="A2459" t="str">
        <x:v>Stage01</x:v>
      </x:c>
      <x:c r="B2459" t="str">
        <x:v>WAVE_53</x:v>
      </x:c>
      <x:c r="C2459" s="409" t="n">
        <x:v>528.01</x:v>
      </x:c>
      <x:c r="D2459" s="410" t="n">
        <x:v>85</x:v>
      </x:c>
      <x:c r="E2459" t="str">
        <x:v>TOP_05</x:v>
      </x:c>
      <x:c r="F2459" t="str">
        <x:v>GoblinRanged</x:v>
      </x:c>
      <x:c r="G2459" s="410" t="n">
        <x:v>46</x:v>
      </x:c>
    </x:row>
    <x:row r="2460">
      <x:c r="A2460" t="str">
        <x:v>Stage01</x:v>
      </x:c>
      <x:c r="B2460" t="str">
        <x:v>WAVE_53</x:v>
      </x:c>
      <x:c r="C2460" s="409" t="n">
        <x:v>528.1</x:v>
      </x:c>
      <x:c r="D2460" s="410" t="n">
        <x:v>86</x:v>
      </x:c>
      <x:c r="E2460" t="str">
        <x:v>RIGHT_06</x:v>
      </x:c>
      <x:c r="F2460" t="str">
        <x:v>GoblinMelee</x:v>
      </x:c>
      <x:c r="G2460" s="410" t="n">
        <x:v>45</x:v>
      </x:c>
    </x:row>
    <x:row r="2461">
      <x:c r="A2461" t="str">
        <x:v>Stage01</x:v>
      </x:c>
      <x:c r="B2461" t="str">
        <x:v>WAVE_53</x:v>
      </x:c>
      <x:c r="C2461" s="409" t="n">
        <x:v>528.18</x:v>
      </x:c>
      <x:c r="D2461" s="410" t="n">
        <x:v>87</x:v>
      </x:c>
      <x:c r="E2461" t="str">
        <x:v>BOTTOM_07</x:v>
      </x:c>
      <x:c r="F2461" t="str">
        <x:v>ShieldSkeleton</x:v>
      </x:c>
      <x:c r="G2461" s="410" t="n">
        <x:v>46</x:v>
      </x:c>
    </x:row>
    <x:row r="2462">
      <x:c r="A2462" t="str">
        <x:v>Stage01</x:v>
      </x:c>
      <x:c r="B2462" t="str">
        <x:v>WAVE_53</x:v>
      </x:c>
      <x:c r="C2462" s="409" t="n">
        <x:v>528.26</x:v>
      </x:c>
      <x:c r="D2462" s="410" t="n">
        <x:v>88</x:v>
      </x:c>
      <x:c r="E2462" t="str">
        <x:v>LEFT_08</x:v>
      </x:c>
      <x:c r="F2462" t="str">
        <x:v>GoblinMelee</x:v>
      </x:c>
      <x:c r="G2462" s="410" t="n">
        <x:v>46</x:v>
      </x:c>
    </x:row>
    <x:row r="2463">
      <x:c r="A2463" t="str">
        <x:v>Stage01</x:v>
      </x:c>
      <x:c r="B2463" t="str">
        <x:v>WAVE_53</x:v>
      </x:c>
      <x:c r="C2463" s="409" t="n">
        <x:v>528.35</x:v>
      </x:c>
      <x:c r="D2463" s="410" t="n">
        <x:v>89</x:v>
      </x:c>
      <x:c r="E2463" t="str">
        <x:v>TOP_02</x:v>
      </x:c>
      <x:c r="F2463" t="str">
        <x:v>GoblinRanged</x:v>
      </x:c>
      <x:c r="G2463" s="410" t="n">
        <x:v>46</x:v>
      </x:c>
    </x:row>
    <x:row r="2464">
      <x:c r="A2464" t="str">
        <x:v>Stage01</x:v>
      </x:c>
      <x:c r="B2464" t="str">
        <x:v>WAVE_53</x:v>
      </x:c>
      <x:c r="C2464" s="409" t="n">
        <x:v>528.43</x:v>
      </x:c>
      <x:c r="D2464" s="410" t="n">
        <x:v>90</x:v>
      </x:c>
      <x:c r="E2464" t="str">
        <x:v>RIGHT_03</x:v>
      </x:c>
      <x:c r="F2464" t="str">
        <x:v>GoblinMelee</x:v>
      </x:c>
      <x:c r="G2464" s="410" t="n">
        <x:v>45</x:v>
      </x:c>
    </x:row>
    <x:row r="2465">
      <x:c r="A2465" t="str">
        <x:v>Stage01</x:v>
      </x:c>
      <x:c r="B2465" t="str">
        <x:v>WAVE_53</x:v>
      </x:c>
      <x:c r="C2465" s="409" t="n">
        <x:v>528.51</x:v>
      </x:c>
      <x:c r="D2465" s="410" t="n">
        <x:v>91</x:v>
      </x:c>
      <x:c r="E2465" t="str">
        <x:v>BOTTOM_04</x:v>
      </x:c>
      <x:c r="F2465" t="str">
        <x:v>GoblinMelee</x:v>
      </x:c>
      <x:c r="G2465" s="410" t="n">
        <x:v>46</x:v>
      </x:c>
    </x:row>
    <x:row r="2466">
      <x:c r="A2466" t="str">
        <x:v>Stage01</x:v>
      </x:c>
      <x:c r="B2466" t="str">
        <x:v>WAVE_53</x:v>
      </x:c>
      <x:c r="C2466" s="409" t="n">
        <x:v>528.6</x:v>
      </x:c>
      <x:c r="D2466" s="410" t="n">
        <x:v>92</x:v>
      </x:c>
      <x:c r="E2466" t="str">
        <x:v>LEFT_05</x:v>
      </x:c>
      <x:c r="F2466" t="str">
        <x:v>GoblinRanged</x:v>
      </x:c>
      <x:c r="G2466" s="410" t="n">
        <x:v>46</x:v>
      </x:c>
    </x:row>
    <x:row r="2467">
      <x:c r="A2467" t="str">
        <x:v>Stage01</x:v>
      </x:c>
      <x:c r="B2467" t="str">
        <x:v>WAVE_53</x:v>
      </x:c>
      <x:c r="C2467" s="409" t="n">
        <x:v>528.68</x:v>
      </x:c>
      <x:c r="D2467" s="410" t="n">
        <x:v>93</x:v>
      </x:c>
      <x:c r="E2467" t="str">
        <x:v>TOP_07</x:v>
      </x:c>
      <x:c r="F2467" t="str">
        <x:v>GoblinMelee</x:v>
      </x:c>
      <x:c r="G2467" s="410" t="n">
        <x:v>46</x:v>
      </x:c>
    </x:row>
    <x:row r="2468">
      <x:c r="A2468" t="str">
        <x:v>Stage01</x:v>
      </x:c>
      <x:c r="B2468" t="str">
        <x:v>WAVE_53</x:v>
      </x:c>
      <x:c r="C2468" s="409" t="n">
        <x:v>528.77</x:v>
      </x:c>
      <x:c r="D2468" s="410" t="n">
        <x:v>94</x:v>
      </x:c>
      <x:c r="E2468" t="str">
        <x:v>RIGHT_08</x:v>
      </x:c>
      <x:c r="F2468" t="str">
        <x:v>ShieldSkeleton</x:v>
      </x:c>
      <x:c r="G2468" s="410" t="n">
        <x:v>45</x:v>
      </x:c>
    </x:row>
    <x:row r="2469">
      <x:c r="A2469" t="str">
        <x:v>Stage01</x:v>
      </x:c>
      <x:c r="B2469" t="str">
        <x:v>WAVE_53</x:v>
      </x:c>
      <x:c r="C2469" s="409" t="n">
        <x:v>528.85</x:v>
      </x:c>
      <x:c r="D2469" s="410" t="n">
        <x:v>95</x:v>
      </x:c>
      <x:c r="E2469" t="str">
        <x:v>BOTTOM_01</x:v>
      </x:c>
      <x:c r="F2469" t="str">
        <x:v>GoblinMelee</x:v>
      </x:c>
      <x:c r="G2469" s="410" t="n">
        <x:v>46</x:v>
      </x:c>
    </x:row>
    <x:row r="2470">
      <x:c r="A2470" t="str">
        <x:v>Stage01</x:v>
      </x:c>
      <x:c r="B2470" t="str">
        <x:v>WAVE_53</x:v>
      </x:c>
      <x:c r="C2470" s="409" t="n">
        <x:v>528.93</x:v>
      </x:c>
      <x:c r="D2470" s="410" t="n">
        <x:v>96</x:v>
      </x:c>
      <x:c r="E2470" t="str">
        <x:v>LEFT_02</x:v>
      </x:c>
      <x:c r="F2470" t="str">
        <x:v>GoblinRanged</x:v>
      </x:c>
      <x:c r="G2470" s="410" t="n">
        <x:v>46</x:v>
      </x:c>
    </x:row>
    <x:row r="2471">
      <x:c r="A2471" t="str">
        <x:v>Stage01</x:v>
      </x:c>
      <x:c r="B2471" t="str">
        <x:v>WAVE_53</x:v>
      </x:c>
      <x:c r="C2471" s="409" t="n">
        <x:v>529.02</x:v>
      </x:c>
      <x:c r="D2471" s="410" t="n">
        <x:v>97</x:v>
      </x:c>
      <x:c r="E2471" t="str">
        <x:v>TOP_04</x:v>
      </x:c>
      <x:c r="F2471" t="str">
        <x:v>FlyingEye</x:v>
      </x:c>
      <x:c r="G2471" s="410" t="n">
        <x:v>46</x:v>
      </x:c>
    </x:row>
    <x:row r="2472">
      <x:c r="A2472" t="str">
        <x:v>Stage01</x:v>
      </x:c>
      <x:c r="B2472" t="str">
        <x:v>WAVE_53</x:v>
      </x:c>
      <x:c r="C2472" s="409" t="n">
        <x:v>529.1</x:v>
      </x:c>
      <x:c r="D2472" s="410" t="n">
        <x:v>98</x:v>
      </x:c>
      <x:c r="E2472" t="str">
        <x:v>RIGHT_05</x:v>
      </x:c>
      <x:c r="F2472" t="str">
        <x:v>GoblinMelee</x:v>
      </x:c>
      <x:c r="G2472" s="410" t="n">
        <x:v>45</x:v>
      </x:c>
    </x:row>
    <x:row r="2473">
      <x:c r="A2473" t="str">
        <x:v>Stage01</x:v>
      </x:c>
      <x:c r="B2473" t="str">
        <x:v>WAVE_53</x:v>
      </x:c>
      <x:c r="C2473" s="409" t="n">
        <x:v>529.18</x:v>
      </x:c>
      <x:c r="D2473" s="410" t="n">
        <x:v>99</x:v>
      </x:c>
      <x:c r="E2473" t="str">
        <x:v>BOTTOM_06</x:v>
      </x:c>
      <x:c r="F2473" t="str">
        <x:v>GoblinRanged</x:v>
      </x:c>
      <x:c r="G2473" s="410" t="n">
        <x:v>46</x:v>
      </x:c>
    </x:row>
    <x:row r="2474">
      <x:c r="A2474" t="str">
        <x:v>Stage01</x:v>
      </x:c>
      <x:c r="B2474" t="str">
        <x:v>WAVE_53</x:v>
      </x:c>
      <x:c r="C2474" s="409" t="n">
        <x:v>529.27</x:v>
      </x:c>
      <x:c r="D2474" s="410" t="n">
        <x:v>100</x:v>
      </x:c>
      <x:c r="E2474" t="str">
        <x:v>LEFT_07</x:v>
      </x:c>
      <x:c r="F2474" t="str">
        <x:v>GoblinMelee</x:v>
      </x:c>
      <x:c r="G2474" s="410" t="n">
        <x:v>46</x:v>
      </x:c>
    </x:row>
    <x:row r="2475">
      <x:c r="A2475" t="str">
        <x:v>Stage01</x:v>
      </x:c>
      <x:c r="B2475" t="str">
        <x:v>WAVE_53</x:v>
      </x:c>
      <x:c r="C2475" s="409" t="n">
        <x:v>529.35</x:v>
      </x:c>
      <x:c r="D2475" s="410" t="n">
        <x:v>101</x:v>
      </x:c>
      <x:c r="E2475" t="str">
        <x:v>TOP_01</x:v>
      </x:c>
      <x:c r="F2475" t="str">
        <x:v>ShieldSkeleton</x:v>
      </x:c>
      <x:c r="G2475" s="410" t="n">
        <x:v>46</x:v>
      </x:c>
    </x:row>
    <x:row r="2476">
      <x:c r="A2476" t="str">
        <x:v>Stage01</x:v>
      </x:c>
      <x:c r="B2476" t="str">
        <x:v>WAVE_53</x:v>
      </x:c>
      <x:c r="C2476" s="409" t="n">
        <x:v>529.43</x:v>
      </x:c>
      <x:c r="D2476" s="410" t="n">
        <x:v>102</x:v>
      </x:c>
      <x:c r="E2476" t="str">
        <x:v>RIGHT_02</x:v>
      </x:c>
      <x:c r="F2476" t="str">
        <x:v>GoblinMelee</x:v>
      </x:c>
      <x:c r="G2476" s="410" t="n">
        <x:v>45</x:v>
      </x:c>
    </x:row>
    <x:row r="2477">
      <x:c r="A2477" t="str">
        <x:v>Stage01</x:v>
      </x:c>
      <x:c r="B2477" t="str">
        <x:v>WAVE_53</x:v>
      </x:c>
      <x:c r="C2477" s="409" t="n">
        <x:v>529.52</x:v>
      </x:c>
      <x:c r="D2477" s="410" t="n">
        <x:v>103</x:v>
      </x:c>
      <x:c r="E2477" t="str">
        <x:v>BOTTOM_03</x:v>
      </x:c>
      <x:c r="F2477" t="str">
        <x:v>GoblinRanged</x:v>
      </x:c>
      <x:c r="G2477" s="410" t="n">
        <x:v>46</x:v>
      </x:c>
    </x:row>
    <x:row r="2478">
      <x:c r="A2478" t="str">
        <x:v>Stage01</x:v>
      </x:c>
      <x:c r="B2478" t="str">
        <x:v>WAVE_53</x:v>
      </x:c>
      <x:c r="C2478" s="409" t="n">
        <x:v>529.6</x:v>
      </x:c>
      <x:c r="D2478" s="410" t="n">
        <x:v>104</x:v>
      </x:c>
      <x:c r="E2478" t="str">
        <x:v>LEFT_04</x:v>
      </x:c>
      <x:c r="F2478" t="str">
        <x:v>GoblinMelee</x:v>
      </x:c>
      <x:c r="G2478" s="410" t="n">
        <x:v>46</x:v>
      </x:c>
    </x:row>
    <x:row r="2479">
      <x:c r="A2479" t="str">
        <x:v>Stage01</x:v>
      </x:c>
      <x:c r="B2479" t="str">
        <x:v>WAVE_54</x:v>
      </x:c>
      <x:c r="C2479" s="409" t="n">
        <x:v>531</x:v>
      </x:c>
      <x:c r="D2479" s="410" t="n">
        <x:v>1</x:v>
      </x:c>
      <x:c r="E2479" t="str">
        <x:v>LEFT_07</x:v>
      </x:c>
      <x:c r="F2479" t="str">
        <x:v>GoblinMelee</x:v>
      </x:c>
      <x:c r="G2479" s="410" t="n">
        <x:v>46</x:v>
      </x:c>
    </x:row>
    <x:row r="2480">
      <x:c r="A2480" t="str">
        <x:v>Stage01</x:v>
      </x:c>
      <x:c r="B2480" t="str">
        <x:v>WAVE_54</x:v>
      </x:c>
      <x:c r="C2480" s="409" t="n">
        <x:v>531.08</x:v>
      </x:c>
      <x:c r="D2480" s="410" t="n">
        <x:v>2</x:v>
      </x:c>
      <x:c r="E2480" t="str">
        <x:v>TOP_01</x:v>
      </x:c>
      <x:c r="F2480" t="str">
        <x:v>GoblinRanged</x:v>
      </x:c>
      <x:c r="G2480" s="410" t="n">
        <x:v>46</x:v>
      </x:c>
    </x:row>
    <x:row r="2481">
      <x:c r="A2481" t="str">
        <x:v>Stage01</x:v>
      </x:c>
      <x:c r="B2481" t="str">
        <x:v>WAVE_54</x:v>
      </x:c>
      <x:c r="C2481" s="409" t="n">
        <x:v>531.16</x:v>
      </x:c>
      <x:c r="D2481" s="410" t="n">
        <x:v>3</x:v>
      </x:c>
      <x:c r="E2481" t="str">
        <x:v>RIGHT_02</x:v>
      </x:c>
      <x:c r="F2481" t="str">
        <x:v>GoblinMelee</x:v>
      </x:c>
      <x:c r="G2481" s="410" t="n">
        <x:v>45</x:v>
      </x:c>
    </x:row>
    <x:row r="2482">
      <x:c r="A2482" t="str">
        <x:v>Stage01</x:v>
      </x:c>
      <x:c r="B2482" t="str">
        <x:v>WAVE_54</x:v>
      </x:c>
      <x:c r="C2482" s="409" t="n">
        <x:v>531.24</x:v>
      </x:c>
      <x:c r="D2482" s="410" t="n">
        <x:v>4</x:v>
      </x:c>
      <x:c r="E2482" t="str">
        <x:v>BOTTOM_03</x:v>
      </x:c>
      <x:c r="F2482" t="str">
        <x:v>ShieldSkeleton</x:v>
      </x:c>
      <x:c r="G2482" s="410" t="n">
        <x:v>46</x:v>
      </x:c>
    </x:row>
    <x:row r="2483">
      <x:c r="A2483" t="str">
        <x:v>Stage01</x:v>
      </x:c>
      <x:c r="B2483" t="str">
        <x:v>WAVE_54</x:v>
      </x:c>
      <x:c r="C2483" s="409" t="n">
        <x:v>531.32</x:v>
      </x:c>
      <x:c r="D2483" s="410" t="n">
        <x:v>5</x:v>
      </x:c>
      <x:c r="E2483" t="str">
        <x:v>LEFT_04</x:v>
      </x:c>
      <x:c r="F2483" t="str">
        <x:v>GoblinMelee</x:v>
      </x:c>
      <x:c r="G2483" s="410" t="n">
        <x:v>46</x:v>
      </x:c>
    </x:row>
    <x:row r="2484">
      <x:c r="A2484" t="str">
        <x:v>Stage01</x:v>
      </x:c>
      <x:c r="B2484" t="str">
        <x:v>WAVE_54</x:v>
      </x:c>
      <x:c r="C2484" s="409" t="n">
        <x:v>531.41</x:v>
      </x:c>
      <x:c r="D2484" s="410" t="n">
        <x:v>6</x:v>
      </x:c>
      <x:c r="E2484" t="str">
        <x:v>TOP_06</x:v>
      </x:c>
      <x:c r="F2484" t="str">
        <x:v>GoblinRanged</x:v>
      </x:c>
      <x:c r="G2484" s="410" t="n">
        <x:v>46</x:v>
      </x:c>
    </x:row>
    <x:row r="2485">
      <x:c r="A2485" t="str">
        <x:v>Stage01</x:v>
      </x:c>
      <x:c r="B2485" t="str">
        <x:v>WAVE_54</x:v>
      </x:c>
      <x:c r="C2485" s="409" t="n">
        <x:v>531.49</x:v>
      </x:c>
      <x:c r="D2485" s="410" t="n">
        <x:v>7</x:v>
      </x:c>
      <x:c r="E2485" t="str">
        <x:v>RIGHT_07</x:v>
      </x:c>
      <x:c r="F2485" t="str">
        <x:v>GoblinMelee</x:v>
      </x:c>
      <x:c r="G2485" s="410" t="n">
        <x:v>46</x:v>
      </x:c>
    </x:row>
    <x:row r="2486">
      <x:c r="A2486" t="str">
        <x:v>Stage01</x:v>
      </x:c>
      <x:c r="B2486" t="str">
        <x:v>WAVE_54</x:v>
      </x:c>
      <x:c r="C2486" s="409" t="n">
        <x:v>531.57</x:v>
      </x:c>
      <x:c r="D2486" s="410" t="n">
        <x:v>8</x:v>
      </x:c>
      <x:c r="E2486" t="str">
        <x:v>BOTTOM_08</x:v>
      </x:c>
      <x:c r="F2486" t="str">
        <x:v>GoblinMelee</x:v>
      </x:c>
      <x:c r="G2486" s="410" t="n">
        <x:v>45</x:v>
      </x:c>
    </x:row>
    <x:row r="2487">
      <x:c r="A2487" t="str">
        <x:v>Stage01</x:v>
      </x:c>
      <x:c r="B2487" t="str">
        <x:v>WAVE_54</x:v>
      </x:c>
      <x:c r="C2487" s="409" t="n">
        <x:v>531.65</x:v>
      </x:c>
      <x:c r="D2487" s="410" t="n">
        <x:v>9</x:v>
      </x:c>
      <x:c r="E2487" t="str">
        <x:v>LEFT_01</x:v>
      </x:c>
      <x:c r="F2487" t="str">
        <x:v>GoblinRanged</x:v>
      </x:c>
      <x:c r="G2487" s="410" t="n">
        <x:v>46</x:v>
      </x:c>
    </x:row>
    <x:row r="2488">
      <x:c r="A2488" t="str">
        <x:v>Stage01</x:v>
      </x:c>
      <x:c r="B2488" t="str">
        <x:v>WAVE_54</x:v>
      </x:c>
      <x:c r="C2488" s="409" t="n">
        <x:v>531.73</x:v>
      </x:c>
      <x:c r="D2488" s="410" t="n">
        <x:v>10</x:v>
      </x:c>
      <x:c r="E2488" t="str">
        <x:v>TOP_03</x:v>
      </x:c>
      <x:c r="F2488" t="str">
        <x:v>GoblinMelee</x:v>
      </x:c>
      <x:c r="G2488" s="410" t="n">
        <x:v>46</x:v>
      </x:c>
    </x:row>
    <x:row r="2489">
      <x:c r="A2489" t="str">
        <x:v>Stage01</x:v>
      </x:c>
      <x:c r="B2489" t="str">
        <x:v>WAVE_54</x:v>
      </x:c>
      <x:c r="C2489" s="409" t="n">
        <x:v>531.81</x:v>
      </x:c>
      <x:c r="D2489" s="410" t="n">
        <x:v>11</x:v>
      </x:c>
      <x:c r="E2489" t="str">
        <x:v>RIGHT_04</x:v>
      </x:c>
      <x:c r="F2489" t="str">
        <x:v>ShieldSkeleton</x:v>
      </x:c>
      <x:c r="G2489" s="410" t="n">
        <x:v>46</x:v>
      </x:c>
    </x:row>
    <x:row r="2490">
      <x:c r="A2490" t="str">
        <x:v>Stage01</x:v>
      </x:c>
      <x:c r="B2490" t="str">
        <x:v>WAVE_54</x:v>
      </x:c>
      <x:c r="C2490" s="409" t="n">
        <x:v>531.89</x:v>
      </x:c>
      <x:c r="D2490" s="410" t="n">
        <x:v>12</x:v>
      </x:c>
      <x:c r="E2490" t="str">
        <x:v>BOTTOM_05</x:v>
      </x:c>
      <x:c r="F2490" t="str">
        <x:v>GoblinMelee</x:v>
      </x:c>
      <x:c r="G2490" s="410" t="n">
        <x:v>46</x:v>
      </x:c>
    </x:row>
    <x:row r="2491">
      <x:c r="A2491" t="str">
        <x:v>Stage01</x:v>
      </x:c>
      <x:c r="B2491" t="str">
        <x:v>WAVE_54</x:v>
      </x:c>
      <x:c r="C2491" s="409" t="n">
        <x:v>531.97</x:v>
      </x:c>
      <x:c r="D2491" s="410" t="n">
        <x:v>13</x:v>
      </x:c>
      <x:c r="E2491" t="str">
        <x:v>LEFT_06</x:v>
      </x:c>
      <x:c r="F2491" t="str">
        <x:v>GoblinRanged</x:v>
      </x:c>
      <x:c r="G2491" s="410" t="n">
        <x:v>45</x:v>
      </x:c>
    </x:row>
    <x:row r="2492">
      <x:c r="A2492" t="str">
        <x:v>Stage01</x:v>
      </x:c>
      <x:c r="B2492" t="str">
        <x:v>WAVE_54</x:v>
      </x:c>
      <x:c r="C2492" s="409" t="n">
        <x:v>532.05</x:v>
      </x:c>
      <x:c r="D2492" s="410" t="n">
        <x:v>14</x:v>
      </x:c>
      <x:c r="E2492" t="str">
        <x:v>TOP_08</x:v>
      </x:c>
      <x:c r="F2492" t="str">
        <x:v>FlyingEye</x:v>
      </x:c>
      <x:c r="G2492" s="410" t="n">
        <x:v>46</x:v>
      </x:c>
    </x:row>
    <x:row r="2493">
      <x:c r="A2493" t="str">
        <x:v>Stage01</x:v>
      </x:c>
      <x:c r="B2493" t="str">
        <x:v>WAVE_54</x:v>
      </x:c>
      <x:c r="C2493" s="409" t="n">
        <x:v>532.14</x:v>
      </x:c>
      <x:c r="D2493" s="410" t="n">
        <x:v>15</x:v>
      </x:c>
      <x:c r="E2493" t="str">
        <x:v>RIGHT_01</x:v>
      </x:c>
      <x:c r="F2493" t="str">
        <x:v>GoblinMelee</x:v>
      </x:c>
      <x:c r="G2493" s="410" t="n">
        <x:v>46</x:v>
      </x:c>
    </x:row>
    <x:row r="2494">
      <x:c r="A2494" t="str">
        <x:v>Stage01</x:v>
      </x:c>
      <x:c r="B2494" t="str">
        <x:v>WAVE_54</x:v>
      </x:c>
      <x:c r="C2494" s="409" t="n">
        <x:v>532.22</x:v>
      </x:c>
      <x:c r="D2494" s="410" t="n">
        <x:v>16</x:v>
      </x:c>
      <x:c r="E2494" t="str">
        <x:v>BOTTOM_02</x:v>
      </x:c>
      <x:c r="F2494" t="str">
        <x:v>GoblinRanged</x:v>
      </x:c>
      <x:c r="G2494" s="410" t="n">
        <x:v>46</x:v>
      </x:c>
    </x:row>
    <x:row r="2495">
      <x:c r="A2495" t="str">
        <x:v>Stage01</x:v>
      </x:c>
      <x:c r="B2495" t="str">
        <x:v>WAVE_54</x:v>
      </x:c>
      <x:c r="C2495" s="409" t="n">
        <x:v>532.3</x:v>
      </x:c>
      <x:c r="D2495" s="410" t="n">
        <x:v>17</x:v>
      </x:c>
      <x:c r="E2495" t="str">
        <x:v>LEFT_03</x:v>
      </x:c>
      <x:c r="F2495" t="str">
        <x:v>GoblinMelee</x:v>
      </x:c>
      <x:c r="G2495" s="410" t="n">
        <x:v>46</x:v>
      </x:c>
    </x:row>
    <x:row r="2496">
      <x:c r="A2496" t="str">
        <x:v>Stage01</x:v>
      </x:c>
      <x:c r="B2496" t="str">
        <x:v>WAVE_54</x:v>
      </x:c>
      <x:c r="C2496" s="409" t="n">
        <x:v>532.38</x:v>
      </x:c>
      <x:c r="D2496" s="410" t="n">
        <x:v>18</x:v>
      </x:c>
      <x:c r="E2496" t="str">
        <x:v>TOP_05</x:v>
      </x:c>
      <x:c r="F2496" t="str">
        <x:v>ShieldSkeleton</x:v>
      </x:c>
      <x:c r="G2496" s="410" t="n">
        <x:v>45</x:v>
      </x:c>
    </x:row>
    <x:row r="2497">
      <x:c r="A2497" t="str">
        <x:v>Stage01</x:v>
      </x:c>
      <x:c r="B2497" t="str">
        <x:v>WAVE_54</x:v>
      </x:c>
      <x:c r="C2497" s="409" t="n">
        <x:v>532.46</x:v>
      </x:c>
      <x:c r="D2497" s="410" t="n">
        <x:v>19</x:v>
      </x:c>
      <x:c r="E2497" t="str">
        <x:v>RIGHT_06</x:v>
      </x:c>
      <x:c r="F2497" t="str">
        <x:v>GoblinMelee</x:v>
      </x:c>
      <x:c r="G2497" s="410" t="n">
        <x:v>46</x:v>
      </x:c>
    </x:row>
    <x:row r="2498">
      <x:c r="A2498" t="str">
        <x:v>Stage01</x:v>
      </x:c>
      <x:c r="B2498" t="str">
        <x:v>WAVE_54</x:v>
      </x:c>
      <x:c r="C2498" s="409" t="n">
        <x:v>532.54</x:v>
      </x:c>
      <x:c r="D2498" s="410" t="n">
        <x:v>20</x:v>
      </x:c>
      <x:c r="E2498" t="str">
        <x:v>BOTTOM_07</x:v>
      </x:c>
      <x:c r="F2498" t="str">
        <x:v>GoblinRanged</x:v>
      </x:c>
      <x:c r="G2498" s="410" t="n">
        <x:v>46</x:v>
      </x:c>
    </x:row>
    <x:row r="2499">
      <x:c r="A2499" t="str">
        <x:v>Stage01</x:v>
      </x:c>
      <x:c r="B2499" t="str">
        <x:v>WAVE_54</x:v>
      </x:c>
      <x:c r="C2499" s="409" t="n">
        <x:v>532.62</x:v>
      </x:c>
      <x:c r="D2499" s="410" t="n">
        <x:v>21</x:v>
      </x:c>
      <x:c r="E2499" t="str">
        <x:v>LEFT_08</x:v>
      </x:c>
      <x:c r="F2499" t="str">
        <x:v>GoblinMelee</x:v>
      </x:c>
      <x:c r="G2499" s="410" t="n">
        <x:v>46</x:v>
      </x:c>
    </x:row>
    <x:row r="2500">
      <x:c r="A2500" t="str">
        <x:v>Stage01</x:v>
      </x:c>
      <x:c r="B2500" t="str">
        <x:v>WAVE_54</x:v>
      </x:c>
      <x:c r="C2500" s="409" t="n">
        <x:v>532.7</x:v>
      </x:c>
      <x:c r="D2500" s="410" t="n">
        <x:v>22</x:v>
      </x:c>
      <x:c r="E2500" t="str">
        <x:v>TOP_02</x:v>
      </x:c>
      <x:c r="F2500" t="str">
        <x:v>GoblinMelee</x:v>
      </x:c>
      <x:c r="G2500" s="410" t="n">
        <x:v>45</x:v>
      </x:c>
    </x:row>
    <x:row r="2501">
      <x:c r="A2501" t="str">
        <x:v>Stage01</x:v>
      </x:c>
      <x:c r="B2501" t="str">
        <x:v>WAVE_54</x:v>
      </x:c>
      <x:c r="C2501" s="409" t="n">
        <x:v>532.78</x:v>
      </x:c>
      <x:c r="D2501" s="410" t="n">
        <x:v>23</x:v>
      </x:c>
      <x:c r="E2501" t="str">
        <x:v>RIGHT_03</x:v>
      </x:c>
      <x:c r="F2501" t="str">
        <x:v>GoblinRanged</x:v>
      </x:c>
      <x:c r="G2501" s="410" t="n">
        <x:v>46</x:v>
      </x:c>
    </x:row>
    <x:row r="2502">
      <x:c r="A2502" t="str">
        <x:v>Stage01</x:v>
      </x:c>
      <x:c r="B2502" t="str">
        <x:v>WAVE_54</x:v>
      </x:c>
      <x:c r="C2502" s="409" t="n">
        <x:v>532.87</x:v>
      </x:c>
      <x:c r="D2502" s="410" t="n">
        <x:v>24</x:v>
      </x:c>
      <x:c r="E2502" t="str">
        <x:v>BOTTOM_04</x:v>
      </x:c>
      <x:c r="F2502" t="str">
        <x:v>GoblinMelee</x:v>
      </x:c>
      <x:c r="G2502" s="410" t="n">
        <x:v>46</x:v>
      </x:c>
    </x:row>
    <x:row r="2503">
      <x:c r="A2503" t="str">
        <x:v>Stage01</x:v>
      </x:c>
      <x:c r="B2503" t="str">
        <x:v>WAVE_54</x:v>
      </x:c>
      <x:c r="C2503" s="409" t="n">
        <x:v>532.95</x:v>
      </x:c>
      <x:c r="D2503" s="410" t="n">
        <x:v>25</x:v>
      </x:c>
      <x:c r="E2503" t="str">
        <x:v>LEFT_05</x:v>
      </x:c>
      <x:c r="F2503" t="str">
        <x:v>ShieldSkeleton</x:v>
      </x:c>
      <x:c r="G2503" s="410" t="n">
        <x:v>46</x:v>
      </x:c>
    </x:row>
    <x:row r="2504">
      <x:c r="A2504" t="str">
        <x:v>Stage01</x:v>
      </x:c>
      <x:c r="B2504" t="str">
        <x:v>WAVE_54</x:v>
      </x:c>
      <x:c r="C2504" s="409" t="n">
        <x:v>533.03</x:v>
      </x:c>
      <x:c r="D2504" s="410" t="n">
        <x:v>26</x:v>
      </x:c>
      <x:c r="E2504" t="str">
        <x:v>TOP_07</x:v>
      </x:c>
      <x:c r="F2504" t="str">
        <x:v>GoblinMelee</x:v>
      </x:c>
      <x:c r="G2504" s="410" t="n">
        <x:v>46</x:v>
      </x:c>
    </x:row>
    <x:row r="2505">
      <x:c r="A2505" t="str">
        <x:v>Stage01</x:v>
      </x:c>
      <x:c r="B2505" t="str">
        <x:v>WAVE_54</x:v>
      </x:c>
      <x:c r="C2505" s="409" t="n">
        <x:v>533.11</x:v>
      </x:c>
      <x:c r="D2505" s="410" t="n">
        <x:v>27</x:v>
      </x:c>
      <x:c r="E2505" t="str">
        <x:v>RIGHT_08</x:v>
      </x:c>
      <x:c r="F2505" t="str">
        <x:v>GoblinRanged</x:v>
      </x:c>
      <x:c r="G2505" s="410" t="n">
        <x:v>45</x:v>
      </x:c>
    </x:row>
    <x:row r="2506">
      <x:c r="A2506" t="str">
        <x:v>Stage01</x:v>
      </x:c>
      <x:c r="B2506" t="str">
        <x:v>WAVE_54</x:v>
      </x:c>
      <x:c r="C2506" s="409" t="n">
        <x:v>533.19</x:v>
      </x:c>
      <x:c r="D2506" s="410" t="n">
        <x:v>28</x:v>
      </x:c>
      <x:c r="E2506" t="str">
        <x:v>BOTTOM_01</x:v>
      </x:c>
      <x:c r="F2506" t="str">
        <x:v>FlyingEye</x:v>
      </x:c>
      <x:c r="G2506" s="410" t="n">
        <x:v>46</x:v>
      </x:c>
    </x:row>
    <x:row r="2507">
      <x:c r="A2507" t="str">
        <x:v>Stage01</x:v>
      </x:c>
      <x:c r="B2507" t="str">
        <x:v>WAVE_54</x:v>
      </x:c>
      <x:c r="C2507" s="409" t="n">
        <x:v>533.27</x:v>
      </x:c>
      <x:c r="D2507" s="410" t="n">
        <x:v>29</x:v>
      </x:c>
      <x:c r="E2507" t="str">
        <x:v>LEFT_02</x:v>
      </x:c>
      <x:c r="F2507" t="str">
        <x:v>GoblinMelee</x:v>
      </x:c>
      <x:c r="G2507" s="410" t="n">
        <x:v>46</x:v>
      </x:c>
    </x:row>
    <x:row r="2508">
      <x:c r="A2508" t="str">
        <x:v>Stage01</x:v>
      </x:c>
      <x:c r="B2508" t="str">
        <x:v>WAVE_54</x:v>
      </x:c>
      <x:c r="C2508" s="409" t="n">
        <x:v>533.35</x:v>
      </x:c>
      <x:c r="D2508" s="410" t="n">
        <x:v>30</x:v>
      </x:c>
      <x:c r="E2508" t="str">
        <x:v>TOP_04</x:v>
      </x:c>
      <x:c r="F2508" t="str">
        <x:v>GoblinRanged</x:v>
      </x:c>
      <x:c r="G2508" s="410" t="n">
        <x:v>46</x:v>
      </x:c>
    </x:row>
    <x:row r="2509">
      <x:c r="A2509" t="str">
        <x:v>Stage01</x:v>
      </x:c>
      <x:c r="B2509" t="str">
        <x:v>WAVE_54</x:v>
      </x:c>
      <x:c r="C2509" s="409" t="n">
        <x:v>533.43</x:v>
      </x:c>
      <x:c r="D2509" s="410" t="n">
        <x:v>31</x:v>
      </x:c>
      <x:c r="E2509" t="str">
        <x:v>RIGHT_05</x:v>
      </x:c>
      <x:c r="F2509" t="str">
        <x:v>GoblinMelee</x:v>
      </x:c>
      <x:c r="G2509" s="410" t="n">
        <x:v>46</x:v>
      </x:c>
    </x:row>
    <x:row r="2510">
      <x:c r="A2510" t="str">
        <x:v>Stage01</x:v>
      </x:c>
      <x:c r="B2510" t="str">
        <x:v>WAVE_54</x:v>
      </x:c>
      <x:c r="C2510" s="409" t="n">
        <x:v>533.52</x:v>
      </x:c>
      <x:c r="D2510" s="410" t="n">
        <x:v>32</x:v>
      </x:c>
      <x:c r="E2510" t="str">
        <x:v>BOTTOM_06</x:v>
      </x:c>
      <x:c r="F2510" t="str">
        <x:v>ShieldSkeleton</x:v>
      </x:c>
      <x:c r="G2510" s="410" t="n">
        <x:v>45</x:v>
      </x:c>
    </x:row>
    <x:row r="2511">
      <x:c r="A2511" t="str">
        <x:v>Stage01</x:v>
      </x:c>
      <x:c r="B2511" t="str">
        <x:v>WAVE_54</x:v>
      </x:c>
      <x:c r="C2511" s="409" t="n">
        <x:v>533.6</x:v>
      </x:c>
      <x:c r="D2511" s="410" t="n">
        <x:v>33</x:v>
      </x:c>
      <x:c r="E2511" t="str">
        <x:v>LEFT_07</x:v>
      </x:c>
      <x:c r="F2511" t="str">
        <x:v>GoblinMelee</x:v>
      </x:c>
      <x:c r="G2511" s="410" t="n">
        <x:v>46</x:v>
      </x:c>
    </x:row>
    <x:row r="2512">
      <x:c r="A2512" t="str">
        <x:v>Stage01</x:v>
      </x:c>
      <x:c r="B2512" t="str">
        <x:v>WAVE_54</x:v>
      </x:c>
      <x:c r="C2512" s="409" t="n">
        <x:v>533.68</x:v>
      </x:c>
      <x:c r="D2512" s="410" t="n">
        <x:v>34</x:v>
      </x:c>
      <x:c r="E2512" t="str">
        <x:v>TOP_01</x:v>
      </x:c>
      <x:c r="F2512" t="str">
        <x:v>GoblinRanged</x:v>
      </x:c>
      <x:c r="G2512" s="410" t="n">
        <x:v>46</x:v>
      </x:c>
    </x:row>
    <x:row r="2513">
      <x:c r="A2513" t="str">
        <x:v>Stage01</x:v>
      </x:c>
      <x:c r="B2513" t="str">
        <x:v>WAVE_54</x:v>
      </x:c>
      <x:c r="C2513" s="409" t="n">
        <x:v>533.76</x:v>
      </x:c>
      <x:c r="D2513" s="410" t="n">
        <x:v>35</x:v>
      </x:c>
      <x:c r="E2513" t="str">
        <x:v>RIGHT_02</x:v>
      </x:c>
      <x:c r="F2513" t="str">
        <x:v>GoblinMelee</x:v>
      </x:c>
      <x:c r="G2513" s="410" t="n">
        <x:v>46</x:v>
      </x:c>
    </x:row>
    <x:row r="2514">
      <x:c r="A2514" t="str">
        <x:v>Stage01</x:v>
      </x:c>
      <x:c r="B2514" t="str">
        <x:v>WAVE_54</x:v>
      </x:c>
      <x:c r="C2514" s="409" t="n">
        <x:v>533.84</x:v>
      </x:c>
      <x:c r="D2514" s="410" t="n">
        <x:v>36</x:v>
      </x:c>
      <x:c r="E2514" t="str">
        <x:v>BOTTOM_03</x:v>
      </x:c>
      <x:c r="F2514" t="str">
        <x:v>GoblinMelee</x:v>
      </x:c>
      <x:c r="G2514" s="410" t="n">
        <x:v>46</x:v>
      </x:c>
    </x:row>
    <x:row r="2515">
      <x:c r="A2515" t="str">
        <x:v>Stage01</x:v>
      </x:c>
      <x:c r="B2515" t="str">
        <x:v>WAVE_54</x:v>
      </x:c>
      <x:c r="C2515" s="409" t="n">
        <x:v>533.92</x:v>
      </x:c>
      <x:c r="D2515" s="410" t="n">
        <x:v>37</x:v>
      </x:c>
      <x:c r="E2515" t="str">
        <x:v>LEFT_04</x:v>
      </x:c>
      <x:c r="F2515" t="str">
        <x:v>GoblinRanged</x:v>
      </x:c>
      <x:c r="G2515" s="410" t="n">
        <x:v>45</x:v>
      </x:c>
    </x:row>
    <x:row r="2516">
      <x:c r="A2516" t="str">
        <x:v>Stage01</x:v>
      </x:c>
      <x:c r="B2516" t="str">
        <x:v>WAVE_54</x:v>
      </x:c>
      <x:c r="C2516" s="409" t="n">
        <x:v>534</x:v>
      </x:c>
      <x:c r="D2516" s="410" t="n">
        <x:v>38</x:v>
      </x:c>
      <x:c r="E2516" t="str">
        <x:v>TOP_06</x:v>
      </x:c>
      <x:c r="F2516" t="str">
        <x:v>GoblinMelee</x:v>
      </x:c>
      <x:c r="G2516" s="410" t="n">
        <x:v>46</x:v>
      </x:c>
    </x:row>
    <x:row r="2517">
      <x:c r="A2517" t="str">
        <x:v>Stage01</x:v>
      </x:c>
      <x:c r="B2517" t="str">
        <x:v>WAVE_54</x:v>
      </x:c>
      <x:c r="C2517" s="409" t="n">
        <x:v>534.08</x:v>
      </x:c>
      <x:c r="D2517" s="410" t="n">
        <x:v>39</x:v>
      </x:c>
      <x:c r="E2517" t="str">
        <x:v>RIGHT_07</x:v>
      </x:c>
      <x:c r="F2517" t="str">
        <x:v>ShieldSkeleton</x:v>
      </x:c>
      <x:c r="G2517" s="410" t="n">
        <x:v>46</x:v>
      </x:c>
    </x:row>
    <x:row r="2518">
      <x:c r="A2518" t="str">
        <x:v>Stage01</x:v>
      </x:c>
      <x:c r="B2518" t="str">
        <x:v>WAVE_54</x:v>
      </x:c>
      <x:c r="C2518" s="409" t="n">
        <x:v>534.16</x:v>
      </x:c>
      <x:c r="D2518" s="410" t="n">
        <x:v>40</x:v>
      </x:c>
      <x:c r="E2518" t="str">
        <x:v>BOTTOM_08</x:v>
      </x:c>
      <x:c r="F2518" t="str">
        <x:v>GoblinMelee</x:v>
      </x:c>
      <x:c r="G2518" s="410" t="n">
        <x:v>46</x:v>
      </x:c>
    </x:row>
    <x:row r="2519">
      <x:c r="A2519" t="str">
        <x:v>Stage01</x:v>
      </x:c>
      <x:c r="B2519" t="str">
        <x:v>WAVE_54</x:v>
      </x:c>
      <x:c r="C2519" s="409" t="n">
        <x:v>534.25</x:v>
      </x:c>
      <x:c r="D2519" s="410" t="n">
        <x:v>41</x:v>
      </x:c>
      <x:c r="E2519" t="str">
        <x:v>LEFT_01</x:v>
      </x:c>
      <x:c r="F2519" t="str">
        <x:v>GoblinRanged</x:v>
      </x:c>
      <x:c r="G2519" s="410" t="n">
        <x:v>46</x:v>
      </x:c>
    </x:row>
    <x:row r="2520">
      <x:c r="A2520" t="str">
        <x:v>Stage01</x:v>
      </x:c>
      <x:c r="B2520" t="str">
        <x:v>WAVE_54</x:v>
      </x:c>
      <x:c r="C2520" s="409" t="n">
        <x:v>534.33</x:v>
      </x:c>
      <x:c r="D2520" s="410" t="n">
        <x:v>42</x:v>
      </x:c>
      <x:c r="E2520" t="str">
        <x:v>TOP_03</x:v>
      </x:c>
      <x:c r="F2520" t="str">
        <x:v>FlyingEye</x:v>
      </x:c>
      <x:c r="G2520" s="410" t="n">
        <x:v>45</x:v>
      </x:c>
    </x:row>
    <x:row r="2521">
      <x:c r="A2521" t="str">
        <x:v>Stage01</x:v>
      </x:c>
      <x:c r="B2521" t="str">
        <x:v>WAVE_54</x:v>
      </x:c>
      <x:c r="C2521" s="409" t="n">
        <x:v>534.41</x:v>
      </x:c>
      <x:c r="D2521" s="410" t="n">
        <x:v>43</x:v>
      </x:c>
      <x:c r="E2521" t="str">
        <x:v>RIGHT_04</x:v>
      </x:c>
      <x:c r="F2521" t="str">
        <x:v>GoblinMelee</x:v>
      </x:c>
      <x:c r="G2521" s="410" t="n">
        <x:v>46</x:v>
      </x:c>
    </x:row>
    <x:row r="2522">
      <x:c r="A2522" t="str">
        <x:v>Stage01</x:v>
      </x:c>
      <x:c r="B2522" t="str">
        <x:v>WAVE_54</x:v>
      </x:c>
      <x:c r="C2522" s="409" t="n">
        <x:v>534.49</x:v>
      </x:c>
      <x:c r="D2522" s="410" t="n">
        <x:v>44</x:v>
      </x:c>
      <x:c r="E2522" t="str">
        <x:v>BOTTOM_05</x:v>
      </x:c>
      <x:c r="F2522" t="str">
        <x:v>GoblinRanged</x:v>
      </x:c>
      <x:c r="G2522" s="410" t="n">
        <x:v>46</x:v>
      </x:c>
    </x:row>
    <x:row r="2523">
      <x:c r="A2523" t="str">
        <x:v>Stage01</x:v>
      </x:c>
      <x:c r="B2523" t="str">
        <x:v>WAVE_54</x:v>
      </x:c>
      <x:c r="C2523" s="409" t="n">
        <x:v>534.57</x:v>
      </x:c>
      <x:c r="D2523" s="410" t="n">
        <x:v>45</x:v>
      </x:c>
      <x:c r="E2523" t="str">
        <x:v>LEFT_06</x:v>
      </x:c>
      <x:c r="F2523" t="str">
        <x:v>GoblinMelee</x:v>
      </x:c>
      <x:c r="G2523" s="410" t="n">
        <x:v>46</x:v>
      </x:c>
    </x:row>
    <x:row r="2524">
      <x:c r="A2524" t="str">
        <x:v>Stage01</x:v>
      </x:c>
      <x:c r="B2524" t="str">
        <x:v>WAVE_54</x:v>
      </x:c>
      <x:c r="C2524" s="409" t="n">
        <x:v>534.65</x:v>
      </x:c>
      <x:c r="D2524" s="410" t="n">
        <x:v>46</x:v>
      </x:c>
      <x:c r="E2524" t="str">
        <x:v>TOP_08</x:v>
      </x:c>
      <x:c r="F2524" t="str">
        <x:v>ShieldSkeleton</x:v>
      </x:c>
      <x:c r="G2524" s="410" t="n">
        <x:v>46</x:v>
      </x:c>
    </x:row>
    <x:row r="2525">
      <x:c r="A2525" t="str">
        <x:v>Stage01</x:v>
      </x:c>
      <x:c r="B2525" t="str">
        <x:v>WAVE_54</x:v>
      </x:c>
      <x:c r="C2525" s="409" t="n">
        <x:v>534.73</x:v>
      </x:c>
      <x:c r="D2525" s="410" t="n">
        <x:v>47</x:v>
      </x:c>
      <x:c r="E2525" t="str">
        <x:v>RIGHT_01</x:v>
      </x:c>
      <x:c r="F2525" t="str">
        <x:v>GoblinMelee</x:v>
      </x:c>
      <x:c r="G2525" s="410" t="n">
        <x:v>45</x:v>
      </x:c>
    </x:row>
    <x:row r="2526">
      <x:c r="A2526" t="str">
        <x:v>Stage01</x:v>
      </x:c>
      <x:c r="B2526" t="str">
        <x:v>WAVE_54</x:v>
      </x:c>
      <x:c r="C2526" s="409" t="n">
        <x:v>534.81</x:v>
      </x:c>
      <x:c r="D2526" s="410" t="n">
        <x:v>48</x:v>
      </x:c>
      <x:c r="E2526" t="str">
        <x:v>BOTTOM_02</x:v>
      </x:c>
      <x:c r="F2526" t="str">
        <x:v>GoblinRanged</x:v>
      </x:c>
      <x:c r="G2526" s="410" t="n">
        <x:v>46</x:v>
      </x:c>
    </x:row>
    <x:row r="2527">
      <x:c r="A2527" t="str">
        <x:v>Stage01</x:v>
      </x:c>
      <x:c r="B2527" t="str">
        <x:v>WAVE_54</x:v>
      </x:c>
      <x:c r="C2527" s="409" t="n">
        <x:v>534.89</x:v>
      </x:c>
      <x:c r="D2527" s="410" t="n">
        <x:v>49</x:v>
      </x:c>
      <x:c r="E2527" t="str">
        <x:v>LEFT_03</x:v>
      </x:c>
      <x:c r="F2527" t="str">
        <x:v>GoblinMelee</x:v>
      </x:c>
      <x:c r="G2527" s="410" t="n">
        <x:v>46</x:v>
      </x:c>
    </x:row>
    <x:row r="2528">
      <x:c r="A2528" t="str">
        <x:v>Stage01</x:v>
      </x:c>
      <x:c r="B2528" t="str">
        <x:v>WAVE_54</x:v>
      </x:c>
      <x:c r="C2528" s="409" t="n">
        <x:v>534.98</x:v>
      </x:c>
      <x:c r="D2528" s="410" t="n">
        <x:v>50</x:v>
      </x:c>
      <x:c r="E2528" t="str">
        <x:v>TOP_05</x:v>
      </x:c>
      <x:c r="F2528" t="str">
        <x:v>GoblinMelee</x:v>
      </x:c>
      <x:c r="G2528" s="410" t="n">
        <x:v>46</x:v>
      </x:c>
    </x:row>
    <x:row r="2529">
      <x:c r="A2529" t="str">
        <x:v>Stage01</x:v>
      </x:c>
      <x:c r="B2529" t="str">
        <x:v>WAVE_54</x:v>
      </x:c>
      <x:c r="C2529" s="409" t="n">
        <x:v>535.06</x:v>
      </x:c>
      <x:c r="D2529" s="410" t="n">
        <x:v>51</x:v>
      </x:c>
      <x:c r="E2529" t="str">
        <x:v>RIGHT_06</x:v>
      </x:c>
      <x:c r="F2529" t="str">
        <x:v>GoblinRanged</x:v>
      </x:c>
      <x:c r="G2529" s="410" t="n">
        <x:v>46</x:v>
      </x:c>
    </x:row>
    <x:row r="2530">
      <x:c r="A2530" t="str">
        <x:v>Stage01</x:v>
      </x:c>
      <x:c r="B2530" t="str">
        <x:v>WAVE_54</x:v>
      </x:c>
      <x:c r="C2530" s="409" t="n">
        <x:v>535.14</x:v>
      </x:c>
      <x:c r="D2530" s="410" t="n">
        <x:v>52</x:v>
      </x:c>
      <x:c r="E2530" t="str">
        <x:v>BOTTOM_07</x:v>
      </x:c>
      <x:c r="F2530" t="str">
        <x:v>GoblinMelee</x:v>
      </x:c>
      <x:c r="G2530" s="410" t="n">
        <x:v>45</x:v>
      </x:c>
    </x:row>
    <x:row r="2531">
      <x:c r="A2531" t="str">
        <x:v>Stage01</x:v>
      </x:c>
      <x:c r="B2531" t="str">
        <x:v>WAVE_54</x:v>
      </x:c>
      <x:c r="C2531" s="409" t="n">
        <x:v>535.22</x:v>
      </x:c>
      <x:c r="D2531" s="410" t="n">
        <x:v>53</x:v>
      </x:c>
      <x:c r="E2531" t="str">
        <x:v>LEFT_08</x:v>
      </x:c>
      <x:c r="F2531" t="str">
        <x:v>ShieldSkeleton</x:v>
      </x:c>
      <x:c r="G2531" s="410" t="n">
        <x:v>46</x:v>
      </x:c>
    </x:row>
    <x:row r="2532">
      <x:c r="A2532" t="str">
        <x:v>Stage01</x:v>
      </x:c>
      <x:c r="B2532" t="str">
        <x:v>WAVE_54</x:v>
      </x:c>
      <x:c r="C2532" s="409" t="n">
        <x:v>535.3</x:v>
      </x:c>
      <x:c r="D2532" s="410" t="n">
        <x:v>54</x:v>
      </x:c>
      <x:c r="E2532" t="str">
        <x:v>TOP_02</x:v>
      </x:c>
      <x:c r="F2532" t="str">
        <x:v>GoblinMelee</x:v>
      </x:c>
      <x:c r="G2532" s="410" t="n">
        <x:v>46</x:v>
      </x:c>
    </x:row>
    <x:row r="2533">
      <x:c r="A2533" t="str">
        <x:v>Stage01</x:v>
      </x:c>
      <x:c r="B2533" t="str">
        <x:v>WAVE_54</x:v>
      </x:c>
      <x:c r="C2533" s="409" t="n">
        <x:v>535.38</x:v>
      </x:c>
      <x:c r="D2533" s="410" t="n">
        <x:v>55</x:v>
      </x:c>
      <x:c r="E2533" t="str">
        <x:v>RIGHT_03</x:v>
      </x:c>
      <x:c r="F2533" t="str">
        <x:v>GoblinRanged</x:v>
      </x:c>
      <x:c r="G2533" s="410" t="n">
        <x:v>46</x:v>
      </x:c>
    </x:row>
    <x:row r="2534">
      <x:c r="A2534" t="str">
        <x:v>Stage01</x:v>
      </x:c>
      <x:c r="B2534" t="str">
        <x:v>WAVE_54</x:v>
      </x:c>
      <x:c r="C2534" s="409" t="n">
        <x:v>535.46</x:v>
      </x:c>
      <x:c r="D2534" s="410" t="n">
        <x:v>56</x:v>
      </x:c>
      <x:c r="E2534" t="str">
        <x:v>BOTTOM_04</x:v>
      </x:c>
      <x:c r="F2534" t="str">
        <x:v>FlyingEye</x:v>
      </x:c>
      <x:c r="G2534" s="410" t="n">
        <x:v>45</x:v>
      </x:c>
    </x:row>
    <x:row r="2535">
      <x:c r="A2535" t="str">
        <x:v>Stage01</x:v>
      </x:c>
      <x:c r="B2535" t="str">
        <x:v>WAVE_54</x:v>
      </x:c>
      <x:c r="C2535" s="409" t="n">
        <x:v>535.54</x:v>
      </x:c>
      <x:c r="D2535" s="410" t="n">
        <x:v>57</x:v>
      </x:c>
      <x:c r="E2535" t="str">
        <x:v>LEFT_05</x:v>
      </x:c>
      <x:c r="F2535" t="str">
        <x:v>GoblinRanged</x:v>
      </x:c>
      <x:c r="G2535" s="410" t="n">
        <x:v>46</x:v>
      </x:c>
    </x:row>
    <x:row r="2536">
      <x:c r="A2536" t="str">
        <x:v>Stage01</x:v>
      </x:c>
      <x:c r="B2536" t="str">
        <x:v>WAVE_54</x:v>
      </x:c>
      <x:c r="C2536" s="409" t="n">
        <x:v>535.62</x:v>
      </x:c>
      <x:c r="D2536" s="410" t="n">
        <x:v>58</x:v>
      </x:c>
      <x:c r="E2536" t="str">
        <x:v>TOP_07</x:v>
      </x:c>
      <x:c r="F2536" t="str">
        <x:v>GoblinMelee</x:v>
      </x:c>
      <x:c r="G2536" s="410" t="n">
        <x:v>46</x:v>
      </x:c>
    </x:row>
    <x:row r="2537">
      <x:c r="A2537" t="str">
        <x:v>Stage01</x:v>
      </x:c>
      <x:c r="B2537" t="str">
        <x:v>WAVE_54</x:v>
      </x:c>
      <x:c r="C2537" s="409" t="n">
        <x:v>535.71</x:v>
      </x:c>
      <x:c r="D2537" s="410" t="n">
        <x:v>59</x:v>
      </x:c>
      <x:c r="E2537" t="str">
        <x:v>RIGHT_08</x:v>
      </x:c>
      <x:c r="F2537" t="str">
        <x:v>GoblinMelee</x:v>
      </x:c>
      <x:c r="G2537" s="410" t="n">
        <x:v>46</x:v>
      </x:c>
    </x:row>
    <x:row r="2538">
      <x:c r="A2538" t="str">
        <x:v>Stage01</x:v>
      </x:c>
      <x:c r="B2538" t="str">
        <x:v>WAVE_54</x:v>
      </x:c>
      <x:c r="C2538" s="409" t="n">
        <x:v>535.79</x:v>
      </x:c>
      <x:c r="D2538" s="410" t="n">
        <x:v>60</x:v>
      </x:c>
      <x:c r="E2538" t="str">
        <x:v>BOTTOM_01</x:v>
      </x:c>
      <x:c r="F2538" t="str">
        <x:v>ShieldSkeleton</x:v>
      </x:c>
      <x:c r="G2538" s="410" t="n">
        <x:v>46</x:v>
      </x:c>
    </x:row>
    <x:row r="2539">
      <x:c r="A2539" t="str">
        <x:v>Stage01</x:v>
      </x:c>
      <x:c r="B2539" t="str">
        <x:v>WAVE_54</x:v>
      </x:c>
      <x:c r="C2539" s="409" t="n">
        <x:v>535.87</x:v>
      </x:c>
      <x:c r="D2539" s="410" t="n">
        <x:v>61</x:v>
      </x:c>
      <x:c r="E2539" t="str">
        <x:v>LEFT_02</x:v>
      </x:c>
      <x:c r="F2539" t="str">
        <x:v>GoblinMelee</x:v>
      </x:c>
      <x:c r="G2539" s="410" t="n">
        <x:v>45</x:v>
      </x:c>
    </x:row>
    <x:row r="2540">
      <x:c r="A2540" t="str">
        <x:v>Stage01</x:v>
      </x:c>
      <x:c r="B2540" t="str">
        <x:v>WAVE_54</x:v>
      </x:c>
      <x:c r="C2540" s="409" t="n">
        <x:v>535.95</x:v>
      </x:c>
      <x:c r="D2540" s="410" t="n">
        <x:v>62</x:v>
      </x:c>
      <x:c r="E2540" t="str">
        <x:v>TOP_04</x:v>
      </x:c>
      <x:c r="F2540" t="str">
        <x:v>GoblinRanged</x:v>
      </x:c>
      <x:c r="G2540" s="410" t="n">
        <x:v>46</x:v>
      </x:c>
    </x:row>
    <x:row r="2541">
      <x:c r="A2541" t="str">
        <x:v>Stage01</x:v>
      </x:c>
      <x:c r="B2541" t="str">
        <x:v>WAVE_54</x:v>
      </x:c>
      <x:c r="C2541" s="409" t="n">
        <x:v>536.03</x:v>
      </x:c>
      <x:c r="D2541" s="410" t="n">
        <x:v>63</x:v>
      </x:c>
      <x:c r="E2541" t="str">
        <x:v>RIGHT_05</x:v>
      </x:c>
      <x:c r="F2541" t="str">
        <x:v>GoblinMelee</x:v>
      </x:c>
      <x:c r="G2541" s="410" t="n">
        <x:v>46</x:v>
      </x:c>
    </x:row>
    <x:row r="2542">
      <x:c r="A2542" t="str">
        <x:v>Stage01</x:v>
      </x:c>
      <x:c r="B2542" t="str">
        <x:v>WAVE_54</x:v>
      </x:c>
      <x:c r="C2542" s="409" t="n">
        <x:v>536.11</x:v>
      </x:c>
      <x:c r="D2542" s="410" t="n">
        <x:v>64</x:v>
      </x:c>
      <x:c r="E2542" t="str">
        <x:v>BOTTOM_06</x:v>
      </x:c>
      <x:c r="F2542" t="str">
        <x:v>GoblinRanged</x:v>
      </x:c>
      <x:c r="G2542" s="410" t="n">
        <x:v>46</x:v>
      </x:c>
    </x:row>
    <x:row r="2543">
      <x:c r="A2543" t="str">
        <x:v>Stage01</x:v>
      </x:c>
      <x:c r="B2543" t="str">
        <x:v>WAVE_54</x:v>
      </x:c>
      <x:c r="C2543" s="409" t="n">
        <x:v>536.19</x:v>
      </x:c>
      <x:c r="D2543" s="410" t="n">
        <x:v>65</x:v>
      </x:c>
      <x:c r="E2543" t="str">
        <x:v>LEFT_07</x:v>
      </x:c>
      <x:c r="F2543" t="str">
        <x:v>GoblinMelee</x:v>
      </x:c>
      <x:c r="G2543" s="410" t="n">
        <x:v>46</x:v>
      </x:c>
    </x:row>
    <x:row r="2544">
      <x:c r="A2544" t="str">
        <x:v>Stage01</x:v>
      </x:c>
      <x:c r="B2544" t="str">
        <x:v>WAVE_54</x:v>
      </x:c>
      <x:c r="C2544" s="409" t="n">
        <x:v>536.27</x:v>
      </x:c>
      <x:c r="D2544" s="410" t="n">
        <x:v>66</x:v>
      </x:c>
      <x:c r="E2544" t="str">
        <x:v>TOP_01</x:v>
      </x:c>
      <x:c r="F2544" t="str">
        <x:v>GoblinMelee</x:v>
      </x:c>
      <x:c r="G2544" s="410" t="n">
        <x:v>45</x:v>
      </x:c>
    </x:row>
    <x:row r="2545">
      <x:c r="A2545" t="str">
        <x:v>Stage01</x:v>
      </x:c>
      <x:c r="B2545" t="str">
        <x:v>WAVE_54</x:v>
      </x:c>
      <x:c r="C2545" s="409" t="n">
        <x:v>536.35</x:v>
      </x:c>
      <x:c r="D2545" s="410" t="n">
        <x:v>67</x:v>
      </x:c>
      <x:c r="E2545" t="str">
        <x:v>RIGHT_02</x:v>
      </x:c>
      <x:c r="F2545" t="str">
        <x:v>GoblinRanged</x:v>
      </x:c>
      <x:c r="G2545" s="410" t="n">
        <x:v>46</x:v>
      </x:c>
    </x:row>
    <x:row r="2546">
      <x:c r="A2546" t="str">
        <x:v>Stage01</x:v>
      </x:c>
      <x:c r="B2546" t="str">
        <x:v>WAVE_54</x:v>
      </x:c>
      <x:c r="C2546" s="409" t="n">
        <x:v>536.44</x:v>
      </x:c>
      <x:c r="D2546" s="410" t="n">
        <x:v>68</x:v>
      </x:c>
      <x:c r="E2546" t="str">
        <x:v>BOTTOM_03</x:v>
      </x:c>
      <x:c r="F2546" t="str">
        <x:v>GoblinMelee</x:v>
      </x:c>
      <x:c r="G2546" s="410" t="n">
        <x:v>46</x:v>
      </x:c>
    </x:row>
    <x:row r="2547">
      <x:c r="A2547" t="str">
        <x:v>Stage01</x:v>
      </x:c>
      <x:c r="B2547" t="str">
        <x:v>WAVE_54</x:v>
      </x:c>
      <x:c r="C2547" s="409" t="n">
        <x:v>536.52</x:v>
      </x:c>
      <x:c r="D2547" s="410" t="n">
        <x:v>69</x:v>
      </x:c>
      <x:c r="E2547" t="str">
        <x:v>LEFT_04</x:v>
      </x:c>
      <x:c r="F2547" t="str">
        <x:v>ShieldSkeleton</x:v>
      </x:c>
      <x:c r="G2547" s="410" t="n">
        <x:v>46</x:v>
      </x:c>
    </x:row>
    <x:row r="2548">
      <x:c r="A2548" t="str">
        <x:v>Stage01</x:v>
      </x:c>
      <x:c r="B2548" t="str">
        <x:v>WAVE_54</x:v>
      </x:c>
      <x:c r="C2548" s="409" t="n">
        <x:v>536.6</x:v>
      </x:c>
      <x:c r="D2548" s="410" t="n">
        <x:v>70</x:v>
      </x:c>
      <x:c r="E2548" t="str">
        <x:v>TOP_06</x:v>
      </x:c>
      <x:c r="F2548" t="str">
        <x:v>FlyingEye</x:v>
      </x:c>
      <x:c r="G2548" s="410" t="n">
        <x:v>46</x:v>
      </x:c>
    </x:row>
    <x:row r="2549">
      <x:c r="A2549" t="str">
        <x:v>Stage01</x:v>
      </x:c>
      <x:c r="B2549" t="str">
        <x:v>WAVE_54</x:v>
      </x:c>
      <x:c r="C2549" s="409" t="n">
        <x:v>536.68</x:v>
      </x:c>
      <x:c r="D2549" s="410" t="n">
        <x:v>71</x:v>
      </x:c>
      <x:c r="E2549" t="str">
        <x:v>RIGHT_07</x:v>
      </x:c>
      <x:c r="F2549" t="str">
        <x:v>GoblinRanged</x:v>
      </x:c>
      <x:c r="G2549" s="410" t="n">
        <x:v>45</x:v>
      </x:c>
    </x:row>
    <x:row r="2550">
      <x:c r="A2550" t="str">
        <x:v>Stage01</x:v>
      </x:c>
      <x:c r="B2550" t="str">
        <x:v>WAVE_54</x:v>
      </x:c>
      <x:c r="C2550" s="409" t="n">
        <x:v>536.76</x:v>
      </x:c>
      <x:c r="D2550" s="410" t="n">
        <x:v>72</x:v>
      </x:c>
      <x:c r="E2550" t="str">
        <x:v>BOTTOM_08</x:v>
      </x:c>
      <x:c r="F2550" t="str">
        <x:v>GoblinMelee</x:v>
      </x:c>
      <x:c r="G2550" s="410" t="n">
        <x:v>46</x:v>
      </x:c>
    </x:row>
    <x:row r="2551">
      <x:c r="A2551" t="str">
        <x:v>Stage01</x:v>
      </x:c>
      <x:c r="B2551" t="str">
        <x:v>WAVE_54</x:v>
      </x:c>
      <x:c r="C2551" s="409" t="n">
        <x:v>536.84</x:v>
      </x:c>
      <x:c r="D2551" s="410" t="n">
        <x:v>73</x:v>
      </x:c>
      <x:c r="E2551" t="str">
        <x:v>LEFT_01</x:v>
      </x:c>
      <x:c r="F2551" t="str">
        <x:v>GoblinMelee</x:v>
      </x:c>
      <x:c r="G2551" s="410" t="n">
        <x:v>46</x:v>
      </x:c>
    </x:row>
    <x:row r="2552">
      <x:c r="A2552" t="str">
        <x:v>Stage01</x:v>
      </x:c>
      <x:c r="B2552" t="str">
        <x:v>WAVE_54</x:v>
      </x:c>
      <x:c r="C2552" s="409" t="n">
        <x:v>536.92</x:v>
      </x:c>
      <x:c r="D2552" s="410" t="n">
        <x:v>74</x:v>
      </x:c>
      <x:c r="E2552" t="str">
        <x:v>TOP_03</x:v>
      </x:c>
      <x:c r="F2552" t="str">
        <x:v>GoblinRanged</x:v>
      </x:c>
      <x:c r="G2552" s="410" t="n">
        <x:v>46</x:v>
      </x:c>
    </x:row>
    <x:row r="2553">
      <x:c r="A2553" t="str">
        <x:v>Stage01</x:v>
      </x:c>
      <x:c r="B2553" t="str">
        <x:v>WAVE_54</x:v>
      </x:c>
      <x:c r="C2553" s="409" t="n">
        <x:v>537</x:v>
      </x:c>
      <x:c r="D2553" s="410" t="n">
        <x:v>75</x:v>
      </x:c>
      <x:c r="E2553" t="str">
        <x:v>RIGHT_04</x:v>
      </x:c>
      <x:c r="F2553" t="str">
        <x:v>GoblinMelee</x:v>
      </x:c>
      <x:c r="G2553" s="410" t="n">
        <x:v>46</x:v>
      </x:c>
    </x:row>
    <x:row r="2554">
      <x:c r="A2554" t="str">
        <x:v>Stage01</x:v>
      </x:c>
      <x:c r="B2554" t="str">
        <x:v>WAVE_54</x:v>
      </x:c>
      <x:c r="C2554" s="409" t="n">
        <x:v>537.08</x:v>
      </x:c>
      <x:c r="D2554" s="410" t="n">
        <x:v>76</x:v>
      </x:c>
      <x:c r="E2554" t="str">
        <x:v>BOTTOM_05</x:v>
      </x:c>
      <x:c r="F2554" t="str">
        <x:v>ShieldSkeleton</x:v>
      </x:c>
      <x:c r="G2554" s="410" t="n">
        <x:v>45</x:v>
      </x:c>
    </x:row>
    <x:row r="2555">
      <x:c r="A2555" t="str">
        <x:v>Stage01</x:v>
      </x:c>
      <x:c r="B2555" t="str">
        <x:v>WAVE_54</x:v>
      </x:c>
      <x:c r="C2555" s="409" t="n">
        <x:v>537.17</x:v>
      </x:c>
      <x:c r="D2555" s="410" t="n">
        <x:v>77</x:v>
      </x:c>
      <x:c r="E2555" t="str">
        <x:v>LEFT_06</x:v>
      </x:c>
      <x:c r="F2555" t="str">
        <x:v>GoblinMelee</x:v>
      </x:c>
      <x:c r="G2555" s="410" t="n">
        <x:v>46</x:v>
      </x:c>
    </x:row>
    <x:row r="2556">
      <x:c r="A2556" t="str">
        <x:v>Stage01</x:v>
      </x:c>
      <x:c r="B2556" t="str">
        <x:v>WAVE_54</x:v>
      </x:c>
      <x:c r="C2556" s="409" t="n">
        <x:v>537.25</x:v>
      </x:c>
      <x:c r="D2556" s="410" t="n">
        <x:v>78</x:v>
      </x:c>
      <x:c r="E2556" t="str">
        <x:v>TOP_08</x:v>
      </x:c>
      <x:c r="F2556" t="str">
        <x:v>GoblinRanged</x:v>
      </x:c>
      <x:c r="G2556" s="410" t="n">
        <x:v>46</x:v>
      </x:c>
    </x:row>
    <x:row r="2557">
      <x:c r="A2557" t="str">
        <x:v>Stage01</x:v>
      </x:c>
      <x:c r="B2557" t="str">
        <x:v>WAVE_54</x:v>
      </x:c>
      <x:c r="C2557" s="409" t="n">
        <x:v>537.33</x:v>
      </x:c>
      <x:c r="D2557" s="410" t="n">
        <x:v>79</x:v>
      </x:c>
      <x:c r="E2557" t="str">
        <x:v>RIGHT_01</x:v>
      </x:c>
      <x:c r="F2557" t="str">
        <x:v>GoblinMelee</x:v>
      </x:c>
      <x:c r="G2557" s="410" t="n">
        <x:v>46</x:v>
      </x:c>
    </x:row>
    <x:row r="2558">
      <x:c r="A2558" t="str">
        <x:v>Stage01</x:v>
      </x:c>
      <x:c r="B2558" t="str">
        <x:v>WAVE_54</x:v>
      </x:c>
      <x:c r="C2558" s="409" t="n">
        <x:v>537.41</x:v>
      </x:c>
      <x:c r="D2558" s="410" t="n">
        <x:v>80</x:v>
      </x:c>
      <x:c r="E2558" t="str">
        <x:v>BOTTOM_02</x:v>
      </x:c>
      <x:c r="F2558" t="str">
        <x:v>GoblinMelee</x:v>
      </x:c>
      <x:c r="G2558" s="410" t="n">
        <x:v>46</x:v>
      </x:c>
    </x:row>
    <x:row r="2559">
      <x:c r="A2559" t="str">
        <x:v>Stage01</x:v>
      </x:c>
      <x:c r="B2559" t="str">
        <x:v>WAVE_54</x:v>
      </x:c>
      <x:c r="C2559" s="409" t="n">
        <x:v>537.49</x:v>
      </x:c>
      <x:c r="D2559" s="410" t="n">
        <x:v>81</x:v>
      </x:c>
      <x:c r="E2559" t="str">
        <x:v>LEFT_03</x:v>
      </x:c>
      <x:c r="F2559" t="str">
        <x:v>GoblinRanged</x:v>
      </x:c>
      <x:c r="G2559" s="410" t="n">
        <x:v>45</x:v>
      </x:c>
    </x:row>
    <x:row r="2560">
      <x:c r="A2560" t="str">
        <x:v>Stage01</x:v>
      </x:c>
      <x:c r="B2560" t="str">
        <x:v>WAVE_54</x:v>
      </x:c>
      <x:c r="C2560" s="409" t="n">
        <x:v>537.57</x:v>
      </x:c>
      <x:c r="D2560" s="410" t="n">
        <x:v>82</x:v>
      </x:c>
      <x:c r="E2560" t="str">
        <x:v>TOP_05</x:v>
      </x:c>
      <x:c r="F2560" t="str">
        <x:v>GoblinMelee</x:v>
      </x:c>
      <x:c r="G2560" s="410" t="n">
        <x:v>46</x:v>
      </x:c>
    </x:row>
    <x:row r="2561">
      <x:c r="A2561" t="str">
        <x:v>Stage01</x:v>
      </x:c>
      <x:c r="B2561" t="str">
        <x:v>WAVE_54</x:v>
      </x:c>
      <x:c r="C2561" s="409" t="n">
        <x:v>537.65</x:v>
      </x:c>
      <x:c r="D2561" s="410" t="n">
        <x:v>83</x:v>
      </x:c>
      <x:c r="E2561" t="str">
        <x:v>RIGHT_06</x:v>
      </x:c>
      <x:c r="F2561" t="str">
        <x:v>ShieldSkeleton</x:v>
      </x:c>
      <x:c r="G2561" s="410" t="n">
        <x:v>46</x:v>
      </x:c>
    </x:row>
    <x:row r="2562">
      <x:c r="A2562" t="str">
        <x:v>Stage01</x:v>
      </x:c>
      <x:c r="B2562" t="str">
        <x:v>WAVE_54</x:v>
      </x:c>
      <x:c r="C2562" s="409" t="n">
        <x:v>537.73</x:v>
      </x:c>
      <x:c r="D2562" s="410" t="n">
        <x:v>84</x:v>
      </x:c>
      <x:c r="E2562" t="str">
        <x:v>BOTTOM_07</x:v>
      </x:c>
      <x:c r="F2562" t="str">
        <x:v>FlyingEye</x:v>
      </x:c>
      <x:c r="G2562" s="410" t="n">
        <x:v>46</x:v>
      </x:c>
    </x:row>
    <x:row r="2563">
      <x:c r="A2563" t="str">
        <x:v>Stage01</x:v>
      </x:c>
      <x:c r="B2563" t="str">
        <x:v>WAVE_54</x:v>
      </x:c>
      <x:c r="C2563" s="409" t="n">
        <x:v>537.82</x:v>
      </x:c>
      <x:c r="D2563" s="410" t="n">
        <x:v>85</x:v>
      </x:c>
      <x:c r="E2563" t="str">
        <x:v>LEFT_08</x:v>
      </x:c>
      <x:c r="F2563" t="str">
        <x:v>GoblinRanged</x:v>
      </x:c>
      <x:c r="G2563" s="410" t="n">
        <x:v>46</x:v>
      </x:c>
    </x:row>
    <x:row r="2564">
      <x:c r="A2564" t="str">
        <x:v>Stage01</x:v>
      </x:c>
      <x:c r="B2564" t="str">
        <x:v>WAVE_54</x:v>
      </x:c>
      <x:c r="C2564" s="409" t="n">
        <x:v>537.9</x:v>
      </x:c>
      <x:c r="D2564" s="410" t="n">
        <x:v>86</x:v>
      </x:c>
      <x:c r="E2564" t="str">
        <x:v>TOP_02</x:v>
      </x:c>
      <x:c r="F2564" t="str">
        <x:v>GoblinMelee</x:v>
      </x:c>
      <x:c r="G2564" s="410" t="n">
        <x:v>45</x:v>
      </x:c>
    </x:row>
    <x:row r="2565">
      <x:c r="A2565" t="str">
        <x:v>Stage01</x:v>
      </x:c>
      <x:c r="B2565" t="str">
        <x:v>WAVE_54</x:v>
      </x:c>
      <x:c r="C2565" s="409" t="n">
        <x:v>537.98</x:v>
      </x:c>
      <x:c r="D2565" s="410" t="n">
        <x:v>87</x:v>
      </x:c>
      <x:c r="E2565" t="str">
        <x:v>RIGHT_03</x:v>
      </x:c>
      <x:c r="F2565" t="str">
        <x:v>GoblinMelee</x:v>
      </x:c>
      <x:c r="G2565" s="410" t="n">
        <x:v>46</x:v>
      </x:c>
    </x:row>
    <x:row r="2566">
      <x:c r="A2566" t="str">
        <x:v>Stage01</x:v>
      </x:c>
      <x:c r="B2566" t="str">
        <x:v>WAVE_54</x:v>
      </x:c>
      <x:c r="C2566" s="409" t="n">
        <x:v>538.06</x:v>
      </x:c>
      <x:c r="D2566" s="410" t="n">
        <x:v>88</x:v>
      </x:c>
      <x:c r="E2566" t="str">
        <x:v>BOTTOM_04</x:v>
      </x:c>
      <x:c r="F2566" t="str">
        <x:v>GoblinRanged</x:v>
      </x:c>
      <x:c r="G2566" s="410" t="n">
        <x:v>46</x:v>
      </x:c>
    </x:row>
    <x:row r="2567">
      <x:c r="A2567" t="str">
        <x:v>Stage01</x:v>
      </x:c>
      <x:c r="B2567" t="str">
        <x:v>WAVE_54</x:v>
      </x:c>
      <x:c r="C2567" s="409" t="n">
        <x:v>538.14</x:v>
      </x:c>
      <x:c r="D2567" s="410" t="n">
        <x:v>89</x:v>
      </x:c>
      <x:c r="E2567" t="str">
        <x:v>LEFT_05</x:v>
      </x:c>
      <x:c r="F2567" t="str">
        <x:v>GoblinMelee</x:v>
      </x:c>
      <x:c r="G2567" s="410" t="n">
        <x:v>46</x:v>
      </x:c>
    </x:row>
    <x:row r="2568">
      <x:c r="A2568" t="str">
        <x:v>Stage01</x:v>
      </x:c>
      <x:c r="B2568" t="str">
        <x:v>WAVE_54</x:v>
      </x:c>
      <x:c r="C2568" s="409" t="n">
        <x:v>538.22</x:v>
      </x:c>
      <x:c r="D2568" s="410" t="n">
        <x:v>90</x:v>
      </x:c>
      <x:c r="E2568" t="str">
        <x:v>TOP_07</x:v>
      </x:c>
      <x:c r="F2568" t="str">
        <x:v>ShieldSkeleton</x:v>
      </x:c>
      <x:c r="G2568" s="410" t="n">
        <x:v>45</x:v>
      </x:c>
    </x:row>
    <x:row r="2569">
      <x:c r="A2569" t="str">
        <x:v>Stage01</x:v>
      </x:c>
      <x:c r="B2569" t="str">
        <x:v>WAVE_54</x:v>
      </x:c>
      <x:c r="C2569" s="409" t="n">
        <x:v>538.3</x:v>
      </x:c>
      <x:c r="D2569" s="410" t="n">
        <x:v>91</x:v>
      </x:c>
      <x:c r="E2569" t="str">
        <x:v>RIGHT_08</x:v>
      </x:c>
      <x:c r="F2569" t="str">
        <x:v>GoblinMelee</x:v>
      </x:c>
      <x:c r="G2569" s="410" t="n">
        <x:v>46</x:v>
      </x:c>
    </x:row>
    <x:row r="2570">
      <x:c r="A2570" t="str">
        <x:v>Stage01</x:v>
      </x:c>
      <x:c r="B2570" t="str">
        <x:v>WAVE_54</x:v>
      </x:c>
      <x:c r="C2570" s="409" t="n">
        <x:v>538.38</x:v>
      </x:c>
      <x:c r="D2570" s="410" t="n">
        <x:v>92</x:v>
      </x:c>
      <x:c r="E2570" t="str">
        <x:v>BOTTOM_01</x:v>
      </x:c>
      <x:c r="F2570" t="str">
        <x:v>GoblinRanged</x:v>
      </x:c>
      <x:c r="G2570" s="410" t="n">
        <x:v>46</x:v>
      </x:c>
    </x:row>
    <x:row r="2571">
      <x:c r="A2571" t="str">
        <x:v>Stage01</x:v>
      </x:c>
      <x:c r="B2571" t="str">
        <x:v>WAVE_54</x:v>
      </x:c>
      <x:c r="C2571" s="409" t="n">
        <x:v>538.46</x:v>
      </x:c>
      <x:c r="D2571" s="410" t="n">
        <x:v>93</x:v>
      </x:c>
      <x:c r="E2571" t="str">
        <x:v>LEFT_02</x:v>
      </x:c>
      <x:c r="F2571" t="str">
        <x:v>GoblinMelee</x:v>
      </x:c>
      <x:c r="G2571" s="410" t="n">
        <x:v>46</x:v>
      </x:c>
    </x:row>
    <x:row r="2572">
      <x:c r="A2572" t="str">
        <x:v>Stage01</x:v>
      </x:c>
      <x:c r="B2572" t="str">
        <x:v>WAVE_54</x:v>
      </x:c>
      <x:c r="C2572" s="409" t="n">
        <x:v>538.55</x:v>
      </x:c>
      <x:c r="D2572" s="410" t="n">
        <x:v>94</x:v>
      </x:c>
      <x:c r="E2572" t="str">
        <x:v>TOP_04</x:v>
      </x:c>
      <x:c r="F2572" t="str">
        <x:v>GoblinMelee</x:v>
      </x:c>
      <x:c r="G2572" s="410" t="n">
        <x:v>46</x:v>
      </x:c>
    </x:row>
    <x:row r="2573">
      <x:c r="A2573" t="str">
        <x:v>Stage01</x:v>
      </x:c>
      <x:c r="B2573" t="str">
        <x:v>WAVE_54</x:v>
      </x:c>
      <x:c r="C2573" s="409" t="n">
        <x:v>538.63</x:v>
      </x:c>
      <x:c r="D2573" s="410" t="n">
        <x:v>95</x:v>
      </x:c>
      <x:c r="E2573" t="str">
        <x:v>RIGHT_05</x:v>
      </x:c>
      <x:c r="F2573" t="str">
        <x:v>GoblinRanged</x:v>
      </x:c>
      <x:c r="G2573" s="410" t="n">
        <x:v>45</x:v>
      </x:c>
    </x:row>
    <x:row r="2574">
      <x:c r="A2574" t="str">
        <x:v>Stage01</x:v>
      </x:c>
      <x:c r="B2574" t="str">
        <x:v>WAVE_54</x:v>
      </x:c>
      <x:c r="C2574" s="409" t="n">
        <x:v>538.71</x:v>
      </x:c>
      <x:c r="D2574" s="410" t="n">
        <x:v>96</x:v>
      </x:c>
      <x:c r="E2574" t="str">
        <x:v>BOTTOM_06</x:v>
      </x:c>
      <x:c r="F2574" t="str">
        <x:v>GoblinMelee</x:v>
      </x:c>
      <x:c r="G2574" s="410" t="n">
        <x:v>46</x:v>
      </x:c>
    </x:row>
    <x:row r="2575">
      <x:c r="A2575" t="str">
        <x:v>Stage01</x:v>
      </x:c>
      <x:c r="B2575" t="str">
        <x:v>WAVE_54</x:v>
      </x:c>
      <x:c r="C2575" s="409" t="n">
        <x:v>538.79</x:v>
      </x:c>
      <x:c r="D2575" s="410" t="n">
        <x:v>97</x:v>
      </x:c>
      <x:c r="E2575" t="str">
        <x:v>LEFT_07</x:v>
      </x:c>
      <x:c r="F2575" t="str">
        <x:v>ShieldSkeleton</x:v>
      </x:c>
      <x:c r="G2575" s="410" t="n">
        <x:v>46</x:v>
      </x:c>
    </x:row>
    <x:row r="2576">
      <x:c r="A2576" t="str">
        <x:v>Stage01</x:v>
      </x:c>
      <x:c r="B2576" t="str">
        <x:v>WAVE_54</x:v>
      </x:c>
      <x:c r="C2576" s="409" t="n">
        <x:v>538.87</x:v>
      </x:c>
      <x:c r="D2576" s="410" t="n">
        <x:v>98</x:v>
      </x:c>
      <x:c r="E2576" t="str">
        <x:v>TOP_01</x:v>
      </x:c>
      <x:c r="F2576" t="str">
        <x:v>FlyingEye</x:v>
      </x:c>
      <x:c r="G2576" s="410" t="n">
        <x:v>46</x:v>
      </x:c>
    </x:row>
    <x:row r="2577">
      <x:c r="A2577" t="str">
        <x:v>Stage01</x:v>
      </x:c>
      <x:c r="B2577" t="str">
        <x:v>WAVE_54</x:v>
      </x:c>
      <x:c r="C2577" s="409" t="n">
        <x:v>538.95</x:v>
      </x:c>
      <x:c r="D2577" s="410" t="n">
        <x:v>99</x:v>
      </x:c>
      <x:c r="E2577" t="str">
        <x:v>RIGHT_02</x:v>
      </x:c>
      <x:c r="F2577" t="str">
        <x:v>GoblinRanged</x:v>
      </x:c>
      <x:c r="G2577" s="410" t="n">
        <x:v>46</x:v>
      </x:c>
    </x:row>
    <x:row r="2578">
      <x:c r="A2578" t="str">
        <x:v>Stage01</x:v>
      </x:c>
      <x:c r="B2578" t="str">
        <x:v>WAVE_54</x:v>
      </x:c>
      <x:c r="C2578" s="409" t="n">
        <x:v>539.03</x:v>
      </x:c>
      <x:c r="D2578" s="410" t="n">
        <x:v>100</x:v>
      </x:c>
      <x:c r="E2578" t="str">
        <x:v>BOTTOM_03</x:v>
      </x:c>
      <x:c r="F2578" t="str">
        <x:v>GoblinMelee</x:v>
      </x:c>
      <x:c r="G2578" s="410" t="n">
        <x:v>45</x:v>
      </x:c>
    </x:row>
    <x:row r="2579">
      <x:c r="A2579" t="str">
        <x:v>Stage01</x:v>
      </x:c>
      <x:c r="B2579" t="str">
        <x:v>WAVE_54</x:v>
      </x:c>
      <x:c r="C2579" s="409" t="n">
        <x:v>539.11</x:v>
      </x:c>
      <x:c r="D2579" s="410" t="n">
        <x:v>101</x:v>
      </x:c>
      <x:c r="E2579" t="str">
        <x:v>LEFT_04</x:v>
      </x:c>
      <x:c r="F2579" t="str">
        <x:v>GoblinMelee</x:v>
      </x:c>
      <x:c r="G2579" s="410" t="n">
        <x:v>46</x:v>
      </x:c>
    </x:row>
    <x:row r="2580">
      <x:c r="A2580" t="str">
        <x:v>Stage01</x:v>
      </x:c>
      <x:c r="B2580" t="str">
        <x:v>WAVE_54</x:v>
      </x:c>
      <x:c r="C2580" s="409" t="n">
        <x:v>539.19</x:v>
      </x:c>
      <x:c r="D2580" s="410" t="n">
        <x:v>102</x:v>
      </x:c>
      <x:c r="E2580" t="str">
        <x:v>TOP_06</x:v>
      </x:c>
      <x:c r="F2580" t="str">
        <x:v>GoblinRanged</x:v>
      </x:c>
      <x:c r="G2580" s="410" t="n">
        <x:v>46</x:v>
      </x:c>
    </x:row>
    <x:row r="2581">
      <x:c r="A2581" t="str">
        <x:v>Stage01</x:v>
      </x:c>
      <x:c r="B2581" t="str">
        <x:v>WAVE_54</x:v>
      </x:c>
      <x:c r="C2581" s="409" t="n">
        <x:v>539.28</x:v>
      </x:c>
      <x:c r="D2581" s="410" t="n">
        <x:v>103</x:v>
      </x:c>
      <x:c r="E2581" t="str">
        <x:v>RIGHT_07</x:v>
      </x:c>
      <x:c r="F2581" t="str">
        <x:v>GoblinMelee</x:v>
      </x:c>
      <x:c r="G2581" s="410" t="n">
        <x:v>46</x:v>
      </x:c>
    </x:row>
    <x:row r="2582">
      <x:c r="A2582" t="str">
        <x:v>Stage01</x:v>
      </x:c>
      <x:c r="B2582" t="str">
        <x:v>WAVE_54</x:v>
      </x:c>
      <x:c r="C2582" s="409" t="n">
        <x:v>539.36</x:v>
      </x:c>
      <x:c r="D2582" s="410" t="n">
        <x:v>104</x:v>
      </x:c>
      <x:c r="E2582" t="str">
        <x:v>BOTTOM_08</x:v>
      </x:c>
      <x:c r="F2582" t="str">
        <x:v>ShieldSkeleton</x:v>
      </x:c>
      <x:c r="G2582" s="410" t="n">
        <x:v>46</x:v>
      </x:c>
    </x:row>
    <x:row r="2583">
      <x:c r="A2583" t="str">
        <x:v>Stage01</x:v>
      </x:c>
      <x:c r="B2583" t="str">
        <x:v>WAVE_54</x:v>
      </x:c>
      <x:c r="C2583" s="409" t="n">
        <x:v>539.44</x:v>
      </x:c>
      <x:c r="D2583" s="410" t="n">
        <x:v>105</x:v>
      </x:c>
      <x:c r="E2583" t="str">
        <x:v>LEFT_01</x:v>
      </x:c>
      <x:c r="F2583" t="str">
        <x:v>GoblinMelee</x:v>
      </x:c>
      <x:c r="G2583" s="410" t="n">
        <x:v>45</x:v>
      </x:c>
    </x:row>
    <x:row r="2584">
      <x:c r="A2584" t="str">
        <x:v>Stage01</x:v>
      </x:c>
      <x:c r="B2584" t="str">
        <x:v>WAVE_54</x:v>
      </x:c>
      <x:c r="C2584" s="409" t="n">
        <x:v>539.52</x:v>
      </x:c>
      <x:c r="D2584" s="410" t="n">
        <x:v>106</x:v>
      </x:c>
      <x:c r="E2584" t="str">
        <x:v>TOP_03</x:v>
      </x:c>
      <x:c r="F2584" t="str">
        <x:v>GoblinRanged</x:v>
      </x:c>
      <x:c r="G2584" s="410" t="n">
        <x:v>46</x:v>
      </x:c>
    </x:row>
    <x:row r="2585">
      <x:c r="A2585" t="str">
        <x:v>Stage01</x:v>
      </x:c>
      <x:c r="B2585" t="str">
        <x:v>WAVE_54</x:v>
      </x:c>
      <x:c r="C2585" s="409" t="n">
        <x:v>539.6</x:v>
      </x:c>
      <x:c r="D2585" s="410" t="n">
        <x:v>107</x:v>
      </x:c>
      <x:c r="E2585" t="str">
        <x:v>RIGHT_04</x:v>
      </x:c>
      <x:c r="F2585" t="str">
        <x:v>GoblinMelee</x:v>
      </x:c>
      <x:c r="G2585" s="410" t="n">
        <x:v>46</x:v>
      </x:c>
    </x:row>
    <x:row r="2586">
      <x:c r="A2586" t="str">
        <x:v>Stage01</x:v>
      </x:c>
      <x:c r="B2586" t="str">
        <x:v>WAVE_55</x:v>
      </x:c>
      <x:c r="C2586" s="409" t="n">
        <x:v>541</x:v>
      </x:c>
      <x:c r="D2586" s="410" t="n">
        <x:v>1</x:v>
      </x:c>
      <x:c r="E2586" t="str">
        <x:v>RIGHT_07</x:v>
      </x:c>
      <x:c r="F2586" t="str">
        <x:v>GoblinMelee</x:v>
      </x:c>
      <x:c r="G2586" s="410" t="n">
        <x:v>47</x:v>
      </x:c>
    </x:row>
    <x:row r="2587">
      <x:c r="A2587" t="str">
        <x:v>Stage01</x:v>
      </x:c>
      <x:c r="B2587" t="str">
        <x:v>WAVE_55</x:v>
      </x:c>
      <x:c r="C2587" s="409" t="n">
        <x:v>541.08</x:v>
      </x:c>
      <x:c r="D2587" s="410" t="n">
        <x:v>2</x:v>
      </x:c>
      <x:c r="E2587" t="str">
        <x:v>BOTTOM_08</x:v>
      </x:c>
      <x:c r="F2587" t="str">
        <x:v>GoblinRanged</x:v>
      </x:c>
      <x:c r="G2587" s="410" t="n">
        <x:v>47</x:v>
      </x:c>
    </x:row>
    <x:row r="2588">
      <x:c r="A2588" t="str">
        <x:v>Stage01</x:v>
      </x:c>
      <x:c r="B2588" t="str">
        <x:v>WAVE_55</x:v>
      </x:c>
      <x:c r="C2588" s="409" t="n">
        <x:v>541.16</x:v>
      </x:c>
      <x:c r="D2588" s="410" t="n">
        <x:v>3</x:v>
      </x:c>
      <x:c r="E2588" t="str">
        <x:v>LEFT_01</x:v>
      </x:c>
      <x:c r="F2588" t="str">
        <x:v>GoblinMelee</x:v>
      </x:c>
      <x:c r="G2588" s="410" t="n">
        <x:v>47</x:v>
      </x:c>
    </x:row>
    <x:row r="2589">
      <x:c r="A2589" t="str">
        <x:v>Stage01</x:v>
      </x:c>
      <x:c r="B2589" t="str">
        <x:v>WAVE_55</x:v>
      </x:c>
      <x:c r="C2589" s="409" t="n">
        <x:v>541.24</x:v>
      </x:c>
      <x:c r="D2589" s="410" t="n">
        <x:v>4</x:v>
      </x:c>
      <x:c r="E2589" t="str">
        <x:v>TOP_03</x:v>
      </x:c>
      <x:c r="F2589" t="str">
        <x:v>ShieldSkeleton</x:v>
      </x:c>
      <x:c r="G2589" s="410" t="n">
        <x:v>46</x:v>
      </x:c>
    </x:row>
    <x:row r="2590">
      <x:c r="A2590" t="str">
        <x:v>Stage01</x:v>
      </x:c>
      <x:c r="B2590" t="str">
        <x:v>WAVE_55</x:v>
      </x:c>
      <x:c r="C2590" s="409" t="n">
        <x:v>541.32</x:v>
      </x:c>
      <x:c r="D2590" s="410" t="n">
        <x:v>5</x:v>
      </x:c>
      <x:c r="E2590" t="str">
        <x:v>RIGHT_04</x:v>
      </x:c>
      <x:c r="F2590" t="str">
        <x:v>GoblinMelee</x:v>
      </x:c>
      <x:c r="G2590" s="410" t="n">
        <x:v>47</x:v>
      </x:c>
    </x:row>
    <x:row r="2591">
      <x:c r="A2591" t="str">
        <x:v>Stage01</x:v>
      </x:c>
      <x:c r="B2591" t="str">
        <x:v>WAVE_55</x:v>
      </x:c>
      <x:c r="C2591" s="409" t="n">
        <x:v>541.4</x:v>
      </x:c>
      <x:c r="D2591" s="410" t="n">
        <x:v>6</x:v>
      </x:c>
      <x:c r="E2591" t="str">
        <x:v>BOTTOM_05</x:v>
      </x:c>
      <x:c r="F2591" t="str">
        <x:v>GoblinRanged</x:v>
      </x:c>
      <x:c r="G2591" s="410" t="n">
        <x:v>47</x:v>
      </x:c>
    </x:row>
    <x:row r="2592">
      <x:c r="A2592" t="str">
        <x:v>Stage01</x:v>
      </x:c>
      <x:c r="B2592" t="str">
        <x:v>WAVE_55</x:v>
      </x:c>
      <x:c r="C2592" s="409" t="n">
        <x:v>541.48</x:v>
      </x:c>
      <x:c r="D2592" s="410" t="n">
        <x:v>7</x:v>
      </x:c>
      <x:c r="E2592" t="str">
        <x:v>LEFT_06</x:v>
      </x:c>
      <x:c r="F2592" t="str">
        <x:v>GoblinMelee</x:v>
      </x:c>
      <x:c r="G2592" s="410" t="n">
        <x:v>47</x:v>
      </x:c>
    </x:row>
    <x:row r="2593">
      <x:c r="A2593" t="str">
        <x:v>Stage01</x:v>
      </x:c>
      <x:c r="B2593" t="str">
        <x:v>WAVE_55</x:v>
      </x:c>
      <x:c r="C2593" s="409" t="n">
        <x:v>541.56</x:v>
      </x:c>
      <x:c r="D2593" s="410" t="n">
        <x:v>8</x:v>
      </x:c>
      <x:c r="E2593" t="str">
        <x:v>TOP_08</x:v>
      </x:c>
      <x:c r="F2593" t="str">
        <x:v>GoblinMelee</x:v>
      </x:c>
      <x:c r="G2593" s="410" t="n">
        <x:v>47</x:v>
      </x:c>
    </x:row>
    <x:row r="2594">
      <x:c r="A2594" t="str">
        <x:v>Stage01</x:v>
      </x:c>
      <x:c r="B2594" t="str">
        <x:v>WAVE_55</x:v>
      </x:c>
      <x:c r="C2594" s="409" t="n">
        <x:v>541.64</x:v>
      </x:c>
      <x:c r="D2594" s="410" t="n">
        <x:v>9</x:v>
      </x:c>
      <x:c r="E2594" t="str">
        <x:v>RIGHT_01</x:v>
      </x:c>
      <x:c r="F2594" t="str">
        <x:v>GoblinRanged</x:v>
      </x:c>
      <x:c r="G2594" s="410" t="n">
        <x:v>47</x:v>
      </x:c>
    </x:row>
    <x:row r="2595">
      <x:c r="A2595" t="str">
        <x:v>Stage01</x:v>
      </x:c>
      <x:c r="B2595" t="str">
        <x:v>WAVE_55</x:v>
      </x:c>
      <x:c r="C2595" s="409" t="n">
        <x:v>541.72</x:v>
      </x:c>
      <x:c r="D2595" s="410" t="n">
        <x:v>10</x:v>
      </x:c>
      <x:c r="E2595" t="str">
        <x:v>BOTTOM_02</x:v>
      </x:c>
      <x:c r="F2595" t="str">
        <x:v>GoblinMelee</x:v>
      </x:c>
      <x:c r="G2595" s="410" t="n">
        <x:v>46</x:v>
      </x:c>
    </x:row>
    <x:row r="2596">
      <x:c r="A2596" t="str">
        <x:v>Stage01</x:v>
      </x:c>
      <x:c r="B2596" t="str">
        <x:v>WAVE_55</x:v>
      </x:c>
      <x:c r="C2596" s="409" t="n">
        <x:v>541.8</x:v>
      </x:c>
      <x:c r="D2596" s="410" t="n">
        <x:v>11</x:v>
      </x:c>
      <x:c r="E2596" t="str">
        <x:v>LEFT_03</x:v>
      </x:c>
      <x:c r="F2596" t="str">
        <x:v>ShieldSkeleton</x:v>
      </x:c>
      <x:c r="G2596" s="410" t="n">
        <x:v>47</x:v>
      </x:c>
    </x:row>
    <x:row r="2597">
      <x:c r="A2597" t="str">
        <x:v>Stage01</x:v>
      </x:c>
      <x:c r="B2597" t="str">
        <x:v>WAVE_55</x:v>
      </x:c>
      <x:c r="C2597" s="409" t="n">
        <x:v>541.88</x:v>
      </x:c>
      <x:c r="D2597" s="410" t="n">
        <x:v>12</x:v>
      </x:c>
      <x:c r="E2597" t="str">
        <x:v>TOP_05</x:v>
      </x:c>
      <x:c r="F2597" t="str">
        <x:v>GoblinMelee</x:v>
      </x:c>
      <x:c r="G2597" s="410" t="n">
        <x:v>47</x:v>
      </x:c>
    </x:row>
    <x:row r="2598">
      <x:c r="A2598" t="str">
        <x:v>Stage01</x:v>
      </x:c>
      <x:c r="B2598" t="str">
        <x:v>WAVE_55</x:v>
      </x:c>
      <x:c r="C2598" s="409" t="n">
        <x:v>541.96</x:v>
      </x:c>
      <x:c r="D2598" s="410" t="n">
        <x:v>13</x:v>
      </x:c>
      <x:c r="E2598" t="str">
        <x:v>RIGHT_06</x:v>
      </x:c>
      <x:c r="F2598" t="str">
        <x:v>GoblinRanged</x:v>
      </x:c>
      <x:c r="G2598" s="410" t="n">
        <x:v>47</x:v>
      </x:c>
    </x:row>
    <x:row r="2599">
      <x:c r="A2599" t="str">
        <x:v>Stage01</x:v>
      </x:c>
      <x:c r="B2599" t="str">
        <x:v>WAVE_55</x:v>
      </x:c>
      <x:c r="C2599" s="409" t="n">
        <x:v>542.04</x:v>
      </x:c>
      <x:c r="D2599" s="410" t="n">
        <x:v>14</x:v>
      </x:c>
      <x:c r="E2599" t="str">
        <x:v>BOTTOM_07</x:v>
      </x:c>
      <x:c r="F2599" t="str">
        <x:v>FlyingEye</x:v>
      </x:c>
      <x:c r="G2599" s="410" t="n">
        <x:v>47</x:v>
      </x:c>
    </x:row>
    <x:row r="2600">
      <x:c r="A2600" t="str">
        <x:v>Stage01</x:v>
      </x:c>
      <x:c r="B2600" t="str">
        <x:v>WAVE_55</x:v>
      </x:c>
      <x:c r="C2600" s="409" t="n">
        <x:v>542.11</x:v>
      </x:c>
      <x:c r="D2600" s="410" t="n">
        <x:v>15</x:v>
      </x:c>
      <x:c r="E2600" t="str">
        <x:v>LEFT_08</x:v>
      </x:c>
      <x:c r="F2600" t="str">
        <x:v>GoblinMelee</x:v>
      </x:c>
      <x:c r="G2600" s="410" t="n">
        <x:v>47</x:v>
      </x:c>
    </x:row>
    <x:row r="2601">
      <x:c r="A2601" t="str">
        <x:v>Stage01</x:v>
      </x:c>
      <x:c r="B2601" t="str">
        <x:v>WAVE_55</x:v>
      </x:c>
      <x:c r="C2601" s="409" t="n">
        <x:v>542.19</x:v>
      </x:c>
      <x:c r="D2601" s="410" t="n">
        <x:v>16</x:v>
      </x:c>
      <x:c r="E2601" t="str">
        <x:v>TOP_02</x:v>
      </x:c>
      <x:c r="F2601" t="str">
        <x:v>GoblinRanged</x:v>
      </x:c>
      <x:c r="G2601" s="410" t="n">
        <x:v>46</x:v>
      </x:c>
    </x:row>
    <x:row r="2602">
      <x:c r="A2602" t="str">
        <x:v>Stage01</x:v>
      </x:c>
      <x:c r="B2602" t="str">
        <x:v>WAVE_55</x:v>
      </x:c>
      <x:c r="C2602" s="409" t="n">
        <x:v>542.27</x:v>
      </x:c>
      <x:c r="D2602" s="410" t="n">
        <x:v>17</x:v>
      </x:c>
      <x:c r="E2602" t="str">
        <x:v>RIGHT_03</x:v>
      </x:c>
      <x:c r="F2602" t="str">
        <x:v>GoblinMelee</x:v>
      </x:c>
      <x:c r="G2602" s="410" t="n">
        <x:v>47</x:v>
      </x:c>
    </x:row>
    <x:row r="2603">
      <x:c r="A2603" t="str">
        <x:v>Stage01</x:v>
      </x:c>
      <x:c r="B2603" t="str">
        <x:v>WAVE_55</x:v>
      </x:c>
      <x:c r="C2603" s="409" t="n">
        <x:v>542.35</x:v>
      </x:c>
      <x:c r="D2603" s="410" t="n">
        <x:v>18</x:v>
      </x:c>
      <x:c r="E2603" t="str">
        <x:v>BOTTOM_04</x:v>
      </x:c>
      <x:c r="F2603" t="str">
        <x:v>ShieldSkeleton</x:v>
      </x:c>
      <x:c r="G2603" s="410" t="n">
        <x:v>47</x:v>
      </x:c>
    </x:row>
    <x:row r="2604">
      <x:c r="A2604" t="str">
        <x:v>Stage01</x:v>
      </x:c>
      <x:c r="B2604" t="str">
        <x:v>WAVE_55</x:v>
      </x:c>
      <x:c r="C2604" s="409" t="n">
        <x:v>542.43</x:v>
      </x:c>
      <x:c r="D2604" s="410" t="n">
        <x:v>19</x:v>
      </x:c>
      <x:c r="E2604" t="str">
        <x:v>LEFT_05</x:v>
      </x:c>
      <x:c r="F2604" t="str">
        <x:v>GoblinMelee</x:v>
      </x:c>
      <x:c r="G2604" s="410" t="n">
        <x:v>47</x:v>
      </x:c>
    </x:row>
    <x:row r="2605">
      <x:c r="A2605" t="str">
        <x:v>Stage01</x:v>
      </x:c>
      <x:c r="B2605" t="str">
        <x:v>WAVE_55</x:v>
      </x:c>
      <x:c r="C2605" s="409" t="n">
        <x:v>542.51</x:v>
      </x:c>
      <x:c r="D2605" s="410" t="n">
        <x:v>20</x:v>
      </x:c>
      <x:c r="E2605" t="str">
        <x:v>TOP_07</x:v>
      </x:c>
      <x:c r="F2605" t="str">
        <x:v>GoblinRanged</x:v>
      </x:c>
      <x:c r="G2605" s="410" t="n">
        <x:v>47</x:v>
      </x:c>
    </x:row>
    <x:row r="2606">
      <x:c r="A2606" t="str">
        <x:v>Stage01</x:v>
      </x:c>
      <x:c r="B2606" t="str">
        <x:v>WAVE_55</x:v>
      </x:c>
      <x:c r="C2606" s="409" t="n">
        <x:v>542.59</x:v>
      </x:c>
      <x:c r="D2606" s="410" t="n">
        <x:v>21</x:v>
      </x:c>
      <x:c r="E2606" t="str">
        <x:v>RIGHT_08</x:v>
      </x:c>
      <x:c r="F2606" t="str">
        <x:v>GoblinMelee</x:v>
      </x:c>
      <x:c r="G2606" s="410" t="n">
        <x:v>47</x:v>
      </x:c>
    </x:row>
    <x:row r="2607">
      <x:c r="A2607" t="str">
        <x:v>Stage01</x:v>
      </x:c>
      <x:c r="B2607" t="str">
        <x:v>WAVE_55</x:v>
      </x:c>
      <x:c r="C2607" s="409" t="n">
        <x:v>542.67</x:v>
      </x:c>
      <x:c r="D2607" s="410" t="n">
        <x:v>22</x:v>
      </x:c>
      <x:c r="E2607" t="str">
        <x:v>BOTTOM_01</x:v>
      </x:c>
      <x:c r="F2607" t="str">
        <x:v>GoblinMelee</x:v>
      </x:c>
      <x:c r="G2607" s="410" t="n">
        <x:v>46</x:v>
      </x:c>
    </x:row>
    <x:row r="2608">
      <x:c r="A2608" t="str">
        <x:v>Stage01</x:v>
      </x:c>
      <x:c r="B2608" t="str">
        <x:v>WAVE_55</x:v>
      </x:c>
      <x:c r="C2608" s="409" t="n">
        <x:v>542.75</x:v>
      </x:c>
      <x:c r="D2608" s="410" t="n">
        <x:v>23</x:v>
      </x:c>
      <x:c r="E2608" t="str">
        <x:v>LEFT_02</x:v>
      </x:c>
      <x:c r="F2608" t="str">
        <x:v>GoblinRanged</x:v>
      </x:c>
      <x:c r="G2608" s="410" t="n">
        <x:v>47</x:v>
      </x:c>
    </x:row>
    <x:row r="2609">
      <x:c r="A2609" t="str">
        <x:v>Stage01</x:v>
      </x:c>
      <x:c r="B2609" t="str">
        <x:v>WAVE_55</x:v>
      </x:c>
      <x:c r="C2609" s="409" t="n">
        <x:v>542.83</x:v>
      </x:c>
      <x:c r="D2609" s="410" t="n">
        <x:v>24</x:v>
      </x:c>
      <x:c r="E2609" t="str">
        <x:v>TOP_04</x:v>
      </x:c>
      <x:c r="F2609" t="str">
        <x:v>GoblinMelee</x:v>
      </x:c>
      <x:c r="G2609" s="410" t="n">
        <x:v>47</x:v>
      </x:c>
    </x:row>
    <x:row r="2610">
      <x:c r="A2610" t="str">
        <x:v>Stage01</x:v>
      </x:c>
      <x:c r="B2610" t="str">
        <x:v>WAVE_55</x:v>
      </x:c>
      <x:c r="C2610" s="409" t="n">
        <x:v>542.91</x:v>
      </x:c>
      <x:c r="D2610" s="410" t="n">
        <x:v>25</x:v>
      </x:c>
      <x:c r="E2610" t="str">
        <x:v>RIGHT_05</x:v>
      </x:c>
      <x:c r="F2610" t="str">
        <x:v>ShieldSkeleton</x:v>
      </x:c>
      <x:c r="G2610" s="410" t="n">
        <x:v>47</x:v>
      </x:c>
    </x:row>
    <x:row r="2611">
      <x:c r="A2611" t="str">
        <x:v>Stage01</x:v>
      </x:c>
      <x:c r="B2611" t="str">
        <x:v>WAVE_55</x:v>
      </x:c>
      <x:c r="C2611" s="409" t="n">
        <x:v>542.99</x:v>
      </x:c>
      <x:c r="D2611" s="410" t="n">
        <x:v>26</x:v>
      </x:c>
      <x:c r="E2611" t="str">
        <x:v>BOTTOM_06</x:v>
      </x:c>
      <x:c r="F2611" t="str">
        <x:v>GoblinMelee</x:v>
      </x:c>
      <x:c r="G2611" s="410" t="n">
        <x:v>47</x:v>
      </x:c>
    </x:row>
    <x:row r="2612">
      <x:c r="A2612" t="str">
        <x:v>Stage01</x:v>
      </x:c>
      <x:c r="B2612" t="str">
        <x:v>WAVE_55</x:v>
      </x:c>
      <x:c r="C2612" s="409" t="n">
        <x:v>543.07</x:v>
      </x:c>
      <x:c r="D2612" s="410" t="n">
        <x:v>27</x:v>
      </x:c>
      <x:c r="E2612" t="str">
        <x:v>LEFT_07</x:v>
      </x:c>
      <x:c r="F2612" t="str">
        <x:v>GoblinRanged</x:v>
      </x:c>
      <x:c r="G2612" s="410" t="n">
        <x:v>47</x:v>
      </x:c>
    </x:row>
    <x:row r="2613">
      <x:c r="A2613" t="str">
        <x:v>Stage01</x:v>
      </x:c>
      <x:c r="B2613" t="str">
        <x:v>WAVE_55</x:v>
      </x:c>
      <x:c r="C2613" s="409" t="n">
        <x:v>543.15</x:v>
      </x:c>
      <x:c r="D2613" s="410" t="n">
        <x:v>28</x:v>
      </x:c>
      <x:c r="E2613" t="str">
        <x:v>TOP_01</x:v>
      </x:c>
      <x:c r="F2613" t="str">
        <x:v>FlyingEye</x:v>
      </x:c>
      <x:c r="G2613" s="410" t="n">
        <x:v>46</x:v>
      </x:c>
    </x:row>
    <x:row r="2614">
      <x:c r="A2614" t="str">
        <x:v>Stage01</x:v>
      </x:c>
      <x:c r="B2614" t="str">
        <x:v>WAVE_55</x:v>
      </x:c>
      <x:c r="C2614" s="409" t="n">
        <x:v>543.23</x:v>
      </x:c>
      <x:c r="D2614" s="410" t="n">
        <x:v>29</x:v>
      </x:c>
      <x:c r="E2614" t="str">
        <x:v>RIGHT_02</x:v>
      </x:c>
      <x:c r="F2614" t="str">
        <x:v>GoblinRanged</x:v>
      </x:c>
      <x:c r="G2614" s="410" t="n">
        <x:v>47</x:v>
      </x:c>
    </x:row>
    <x:row r="2615">
      <x:c r="A2615" t="str">
        <x:v>Stage01</x:v>
      </x:c>
      <x:c r="B2615" t="str">
        <x:v>WAVE_55</x:v>
      </x:c>
      <x:c r="C2615" s="409" t="n">
        <x:v>543.31</x:v>
      </x:c>
      <x:c r="D2615" s="410" t="n">
        <x:v>30</x:v>
      </x:c>
      <x:c r="E2615" t="str">
        <x:v>BOTTOM_03</x:v>
      </x:c>
      <x:c r="F2615" t="str">
        <x:v>GoblinMelee</x:v>
      </x:c>
      <x:c r="G2615" s="410" t="n">
        <x:v>47</x:v>
      </x:c>
    </x:row>
    <x:row r="2616">
      <x:c r="A2616" t="str">
        <x:v>Stage01</x:v>
      </x:c>
      <x:c r="B2616" t="str">
        <x:v>WAVE_55</x:v>
      </x:c>
      <x:c r="C2616" s="409" t="n">
        <x:v>543.39</x:v>
      </x:c>
      <x:c r="D2616" s="410" t="n">
        <x:v>31</x:v>
      </x:c>
      <x:c r="E2616" t="str">
        <x:v>LEFT_04</x:v>
      </x:c>
      <x:c r="F2616" t="str">
        <x:v>GoblinMelee</x:v>
      </x:c>
      <x:c r="G2616" s="410" t="n">
        <x:v>47</x:v>
      </x:c>
    </x:row>
    <x:row r="2617">
      <x:c r="A2617" t="str">
        <x:v>Stage01</x:v>
      </x:c>
      <x:c r="B2617" t="str">
        <x:v>WAVE_55</x:v>
      </x:c>
      <x:c r="C2617" s="409" t="n">
        <x:v>543.47</x:v>
      </x:c>
      <x:c r="D2617" s="410" t="n">
        <x:v>32</x:v>
      </x:c>
      <x:c r="E2617" t="str">
        <x:v>TOP_06</x:v>
      </x:c>
      <x:c r="F2617" t="str">
        <x:v>ShieldSkeleton</x:v>
      </x:c>
      <x:c r="G2617" s="410" t="n">
        <x:v>47</x:v>
      </x:c>
    </x:row>
    <x:row r="2618">
      <x:c r="A2618" t="str">
        <x:v>Stage01</x:v>
      </x:c>
      <x:c r="B2618" t="str">
        <x:v>WAVE_55</x:v>
      </x:c>
      <x:c r="C2618" s="409" t="n">
        <x:v>543.55</x:v>
      </x:c>
      <x:c r="D2618" s="410" t="n">
        <x:v>33</x:v>
      </x:c>
      <x:c r="E2618" t="str">
        <x:v>RIGHT_07</x:v>
      </x:c>
      <x:c r="F2618" t="str">
        <x:v>GoblinMelee</x:v>
      </x:c>
      <x:c r="G2618" s="410" t="n">
        <x:v>47</x:v>
      </x:c>
    </x:row>
    <x:row r="2619">
      <x:c r="A2619" t="str">
        <x:v>Stage01</x:v>
      </x:c>
      <x:c r="B2619" t="str">
        <x:v>WAVE_55</x:v>
      </x:c>
      <x:c r="C2619" s="409" t="n">
        <x:v>543.63</x:v>
      </x:c>
      <x:c r="D2619" s="410" t="n">
        <x:v>34</x:v>
      </x:c>
      <x:c r="E2619" t="str">
        <x:v>BOTTOM_08</x:v>
      </x:c>
      <x:c r="F2619" t="str">
        <x:v>GoblinRanged</x:v>
      </x:c>
      <x:c r="G2619" s="410" t="n">
        <x:v>46</x:v>
      </x:c>
    </x:row>
    <x:row r="2620">
      <x:c r="A2620" t="str">
        <x:v>Stage01</x:v>
      </x:c>
      <x:c r="B2620" t="str">
        <x:v>WAVE_55</x:v>
      </x:c>
      <x:c r="C2620" s="409" t="n">
        <x:v>543.71</x:v>
      </x:c>
      <x:c r="D2620" s="410" t="n">
        <x:v>35</x:v>
      </x:c>
      <x:c r="E2620" t="str">
        <x:v>LEFT_01</x:v>
      </x:c>
      <x:c r="F2620" t="str">
        <x:v>GoblinMelee</x:v>
      </x:c>
      <x:c r="G2620" s="410" t="n">
        <x:v>47</x:v>
      </x:c>
    </x:row>
    <x:row r="2621">
      <x:c r="A2621" t="str">
        <x:v>Stage01</x:v>
      </x:c>
      <x:c r="B2621" t="str">
        <x:v>WAVE_55</x:v>
      </x:c>
      <x:c r="C2621" s="409" t="n">
        <x:v>543.79</x:v>
      </x:c>
      <x:c r="D2621" s="410" t="n">
        <x:v>36</x:v>
      </x:c>
      <x:c r="E2621" t="str">
        <x:v>TOP_03</x:v>
      </x:c>
      <x:c r="F2621" t="str">
        <x:v>GoblinRanged</x:v>
      </x:c>
      <x:c r="G2621" s="410" t="n">
        <x:v>47</x:v>
      </x:c>
    </x:row>
    <x:row r="2622">
      <x:c r="A2622" t="str">
        <x:v>Stage01</x:v>
      </x:c>
      <x:c r="B2622" t="str">
        <x:v>WAVE_55</x:v>
      </x:c>
      <x:c r="C2622" s="409" t="n">
        <x:v>543.87</x:v>
      </x:c>
      <x:c r="D2622" s="410" t="n">
        <x:v>37</x:v>
      </x:c>
      <x:c r="E2622" t="str">
        <x:v>RIGHT_04</x:v>
      </x:c>
      <x:c r="F2622" t="str">
        <x:v>GoblinMelee</x:v>
      </x:c>
      <x:c r="G2622" s="410" t="n">
        <x:v>47</x:v>
      </x:c>
    </x:row>
    <x:row r="2623">
      <x:c r="A2623" t="str">
        <x:v>Stage01</x:v>
      </x:c>
      <x:c r="B2623" t="str">
        <x:v>WAVE_55</x:v>
      </x:c>
      <x:c r="C2623" s="409" t="n">
        <x:v>543.95</x:v>
      </x:c>
      <x:c r="D2623" s="410" t="n">
        <x:v>38</x:v>
      </x:c>
      <x:c r="E2623" t="str">
        <x:v>BOTTOM_05</x:v>
      </x:c>
      <x:c r="F2623" t="str">
        <x:v>GoblinMelee</x:v>
      </x:c>
      <x:c r="G2623" s="410" t="n">
        <x:v>47</x:v>
      </x:c>
    </x:row>
    <x:row r="2624">
      <x:c r="A2624" t="str">
        <x:v>Stage01</x:v>
      </x:c>
      <x:c r="B2624" t="str">
        <x:v>WAVE_55</x:v>
      </x:c>
      <x:c r="C2624" s="409" t="n">
        <x:v>544.03</x:v>
      </x:c>
      <x:c r="D2624" s="410" t="n">
        <x:v>39</x:v>
      </x:c>
      <x:c r="E2624" t="str">
        <x:v>LEFT_06</x:v>
      </x:c>
      <x:c r="F2624" t="str">
        <x:v>GoblinRanged</x:v>
      </x:c>
      <x:c r="G2624" s="410" t="n">
        <x:v>47</x:v>
      </x:c>
    </x:row>
    <x:row r="2625">
      <x:c r="A2625" t="str">
        <x:v>Stage01</x:v>
      </x:c>
      <x:c r="B2625" t="str">
        <x:v>WAVE_55</x:v>
      </x:c>
      <x:c r="C2625" s="409" t="n">
        <x:v>544.11</x:v>
      </x:c>
      <x:c r="D2625" s="410" t="n">
        <x:v>40</x:v>
      </x:c>
      <x:c r="E2625" t="str">
        <x:v>TOP_08</x:v>
      </x:c>
      <x:c r="F2625" t="str">
        <x:v>GoblinMelee</x:v>
      </x:c>
      <x:c r="G2625" s="410" t="n">
        <x:v>46</x:v>
      </x:c>
    </x:row>
    <x:row r="2626">
      <x:c r="A2626" t="str">
        <x:v>Stage01</x:v>
      </x:c>
      <x:c r="B2626" t="str">
        <x:v>WAVE_55</x:v>
      </x:c>
      <x:c r="C2626" s="409" t="n">
        <x:v>544.19</x:v>
      </x:c>
      <x:c r="D2626" s="410" t="n">
        <x:v>41</x:v>
      </x:c>
      <x:c r="E2626" t="str">
        <x:v>RIGHT_01</x:v>
      </x:c>
      <x:c r="F2626" t="str">
        <x:v>ShieldSkeleton</x:v>
      </x:c>
      <x:c r="G2626" s="410" t="n">
        <x:v>47</x:v>
      </x:c>
    </x:row>
    <x:row r="2627">
      <x:c r="A2627" t="str">
        <x:v>Stage01</x:v>
      </x:c>
      <x:c r="B2627" t="str">
        <x:v>WAVE_55</x:v>
      </x:c>
      <x:c r="C2627" s="409" t="n">
        <x:v>544.26</x:v>
      </x:c>
      <x:c r="D2627" s="410" t="n">
        <x:v>42</x:v>
      </x:c>
      <x:c r="E2627" t="str">
        <x:v>BOTTOM_02</x:v>
      </x:c>
      <x:c r="F2627" t="str">
        <x:v>FlyingEye</x:v>
      </x:c>
      <x:c r="G2627" s="410" t="n">
        <x:v>47</x:v>
      </x:c>
    </x:row>
    <x:row r="2628">
      <x:c r="A2628" t="str">
        <x:v>Stage01</x:v>
      </x:c>
      <x:c r="B2628" t="str">
        <x:v>WAVE_55</x:v>
      </x:c>
      <x:c r="C2628" s="409" t="n">
        <x:v>544.34</x:v>
      </x:c>
      <x:c r="D2628" s="410" t="n">
        <x:v>43</x:v>
      </x:c>
      <x:c r="E2628" t="str">
        <x:v>LEFT_03</x:v>
      </x:c>
      <x:c r="F2628" t="str">
        <x:v>GoblinRanged</x:v>
      </x:c>
      <x:c r="G2628" s="410" t="n">
        <x:v>47</x:v>
      </x:c>
    </x:row>
    <x:row r="2629">
      <x:c r="A2629" t="str">
        <x:v>Stage01</x:v>
      </x:c>
      <x:c r="B2629" t="str">
        <x:v>WAVE_55</x:v>
      </x:c>
      <x:c r="C2629" s="409" t="n">
        <x:v>544.42</x:v>
      </x:c>
      <x:c r="D2629" s="410" t="n">
        <x:v>44</x:v>
      </x:c>
      <x:c r="E2629" t="str">
        <x:v>TOP_05</x:v>
      </x:c>
      <x:c r="F2629" t="str">
        <x:v>GoblinMelee</x:v>
      </x:c>
      <x:c r="G2629" s="410" t="n">
        <x:v>47</x:v>
      </x:c>
    </x:row>
    <x:row r="2630">
      <x:c r="A2630" t="str">
        <x:v>Stage01</x:v>
      </x:c>
      <x:c r="B2630" t="str">
        <x:v>WAVE_55</x:v>
      </x:c>
      <x:c r="C2630" s="409" t="n">
        <x:v>544.5</x:v>
      </x:c>
      <x:c r="D2630" s="410" t="n">
        <x:v>45</x:v>
      </x:c>
      <x:c r="E2630" t="str">
        <x:v>RIGHT_06</x:v>
      </x:c>
      <x:c r="F2630" t="str">
        <x:v>GoblinMelee</x:v>
      </x:c>
      <x:c r="G2630" s="410" t="n">
        <x:v>47</x:v>
      </x:c>
    </x:row>
    <x:row r="2631">
      <x:c r="A2631" t="str">
        <x:v>Stage01</x:v>
      </x:c>
      <x:c r="B2631" t="str">
        <x:v>WAVE_55</x:v>
      </x:c>
      <x:c r="C2631" s="409" t="n">
        <x:v>544.58</x:v>
      </x:c>
      <x:c r="D2631" s="410" t="n">
        <x:v>46</x:v>
      </x:c>
      <x:c r="E2631" t="str">
        <x:v>BOTTOM_07</x:v>
      </x:c>
      <x:c r="F2631" t="str">
        <x:v>GoblinRanged</x:v>
      </x:c>
      <x:c r="G2631" s="410" t="n">
        <x:v>46</x:v>
      </x:c>
    </x:row>
    <x:row r="2632">
      <x:c r="A2632" t="str">
        <x:v>Stage01</x:v>
      </x:c>
      <x:c r="B2632" t="str">
        <x:v>WAVE_55</x:v>
      </x:c>
      <x:c r="C2632" s="409" t="n">
        <x:v>544.66</x:v>
      </x:c>
      <x:c r="D2632" s="410" t="n">
        <x:v>47</x:v>
      </x:c>
      <x:c r="E2632" t="str">
        <x:v>LEFT_08</x:v>
      </x:c>
      <x:c r="F2632" t="str">
        <x:v>GoblinMelee</x:v>
      </x:c>
      <x:c r="G2632" s="410" t="n">
        <x:v>47</x:v>
      </x:c>
    </x:row>
    <x:row r="2633">
      <x:c r="A2633" t="str">
        <x:v>Stage01</x:v>
      </x:c>
      <x:c r="B2633" t="str">
        <x:v>WAVE_55</x:v>
      </x:c>
      <x:c r="C2633" s="409" t="n">
        <x:v>544.74</x:v>
      </x:c>
      <x:c r="D2633" s="410" t="n">
        <x:v>48</x:v>
      </x:c>
      <x:c r="E2633" t="str">
        <x:v>TOP_02</x:v>
      </x:c>
      <x:c r="F2633" t="str">
        <x:v>ShieldSkeleton</x:v>
      </x:c>
      <x:c r="G2633" s="410" t="n">
        <x:v>47</x:v>
      </x:c>
    </x:row>
    <x:row r="2634">
      <x:c r="A2634" t="str">
        <x:v>Stage01</x:v>
      </x:c>
      <x:c r="B2634" t="str">
        <x:v>WAVE_55</x:v>
      </x:c>
      <x:c r="C2634" s="409" t="n">
        <x:v>544.82</x:v>
      </x:c>
      <x:c r="D2634" s="410" t="n">
        <x:v>49</x:v>
      </x:c>
      <x:c r="E2634" t="str">
        <x:v>RIGHT_03</x:v>
      </x:c>
      <x:c r="F2634" t="str">
        <x:v>GoblinMelee</x:v>
      </x:c>
      <x:c r="G2634" s="410" t="n">
        <x:v>47</x:v>
      </x:c>
    </x:row>
    <x:row r="2635">
      <x:c r="A2635" t="str">
        <x:v>Stage01</x:v>
      </x:c>
      <x:c r="B2635" t="str">
        <x:v>WAVE_55</x:v>
      </x:c>
      <x:c r="C2635" s="409" t="n">
        <x:v>544.9</x:v>
      </x:c>
      <x:c r="D2635" s="410" t="n">
        <x:v>50</x:v>
      </x:c>
      <x:c r="E2635" t="str">
        <x:v>BOTTOM_04</x:v>
      </x:c>
      <x:c r="F2635" t="str">
        <x:v>GoblinRanged</x:v>
      </x:c>
      <x:c r="G2635" s="410" t="n">
        <x:v>47</x:v>
      </x:c>
    </x:row>
    <x:row r="2636">
      <x:c r="A2636" t="str">
        <x:v>Stage01</x:v>
      </x:c>
      <x:c r="B2636" t="str">
        <x:v>WAVE_55</x:v>
      </x:c>
      <x:c r="C2636" s="409" t="n">
        <x:v>544.98</x:v>
      </x:c>
      <x:c r="D2636" s="410" t="n">
        <x:v>51</x:v>
      </x:c>
      <x:c r="E2636" t="str">
        <x:v>LEFT_05</x:v>
      </x:c>
      <x:c r="F2636" t="str">
        <x:v>GoblinMelee</x:v>
      </x:c>
      <x:c r="G2636" s="410" t="n">
        <x:v>47</x:v>
      </x:c>
    </x:row>
    <x:row r="2637">
      <x:c r="A2637" t="str">
        <x:v>Stage01</x:v>
      </x:c>
      <x:c r="B2637" t="str">
        <x:v>WAVE_55</x:v>
      </x:c>
      <x:c r="C2637" s="409" t="n">
        <x:v>545.06</x:v>
      </x:c>
      <x:c r="D2637" s="410" t="n">
        <x:v>52</x:v>
      </x:c>
      <x:c r="E2637" t="str">
        <x:v>TOP_07</x:v>
      </x:c>
      <x:c r="F2637" t="str">
        <x:v>GoblinMelee</x:v>
      </x:c>
      <x:c r="G2637" s="410" t="n">
        <x:v>46</x:v>
      </x:c>
    </x:row>
    <x:row r="2638">
      <x:c r="A2638" t="str">
        <x:v>Stage01</x:v>
      </x:c>
      <x:c r="B2638" t="str">
        <x:v>WAVE_55</x:v>
      </x:c>
      <x:c r="C2638" s="409" t="n">
        <x:v>545.14</x:v>
      </x:c>
      <x:c r="D2638" s="410" t="n">
        <x:v>53</x:v>
      </x:c>
      <x:c r="E2638" t="str">
        <x:v>RIGHT_08</x:v>
      </x:c>
      <x:c r="F2638" t="str">
        <x:v>GoblinRanged</x:v>
      </x:c>
      <x:c r="G2638" s="410" t="n">
        <x:v>47</x:v>
      </x:c>
    </x:row>
    <x:row r="2639">
      <x:c r="A2639" t="str">
        <x:v>Stage01</x:v>
      </x:c>
      <x:c r="B2639" t="str">
        <x:v>WAVE_55</x:v>
      </x:c>
      <x:c r="C2639" s="409" t="n">
        <x:v>545.22</x:v>
      </x:c>
      <x:c r="D2639" s="410" t="n">
        <x:v>54</x:v>
      </x:c>
      <x:c r="E2639" t="str">
        <x:v>BOTTOM_01</x:v>
      </x:c>
      <x:c r="F2639" t="str">
        <x:v>GoblinMelee</x:v>
      </x:c>
      <x:c r="G2639" s="410" t="n">
        <x:v>47</x:v>
      </x:c>
    </x:row>
    <x:row r="2640">
      <x:c r="A2640" t="str">
        <x:v>Stage01</x:v>
      </x:c>
      <x:c r="B2640" t="str">
        <x:v>WAVE_55</x:v>
      </x:c>
      <x:c r="C2640" s="409" t="n">
        <x:v>545.3</x:v>
      </x:c>
      <x:c r="D2640" s="410" t="n">
        <x:v>55</x:v>
      </x:c>
      <x:c r="E2640" t="str">
        <x:v>LEFT_02</x:v>
      </x:c>
      <x:c r="F2640" t="str">
        <x:v>ShieldSkeleton</x:v>
      </x:c>
      <x:c r="G2640" s="410" t="n">
        <x:v>47</x:v>
      </x:c>
    </x:row>
    <x:row r="2641">
      <x:c r="A2641" t="str">
        <x:v>Stage01</x:v>
      </x:c>
      <x:c r="B2641" t="str">
        <x:v>WAVE_55</x:v>
      </x:c>
      <x:c r="C2641" s="409" t="n">
        <x:v>545.38</x:v>
      </x:c>
      <x:c r="D2641" s="410" t="n">
        <x:v>56</x:v>
      </x:c>
      <x:c r="E2641" t="str">
        <x:v>TOP_04</x:v>
      </x:c>
      <x:c r="F2641" t="str">
        <x:v>FlyingEye</x:v>
      </x:c>
      <x:c r="G2641" s="410" t="n">
        <x:v>47</x:v>
      </x:c>
    </x:row>
    <x:row r="2642">
      <x:c r="A2642" t="str">
        <x:v>Stage01</x:v>
      </x:c>
      <x:c r="B2642" t="str">
        <x:v>WAVE_55</x:v>
      </x:c>
      <x:c r="C2642" s="409" t="n">
        <x:v>545.46</x:v>
      </x:c>
      <x:c r="D2642" s="410" t="n">
        <x:v>57</x:v>
      </x:c>
      <x:c r="E2642" t="str">
        <x:v>RIGHT_05</x:v>
      </x:c>
      <x:c r="F2642" t="str">
        <x:v>GoblinRanged</x:v>
      </x:c>
      <x:c r="G2642" s="410" t="n">
        <x:v>47</x:v>
      </x:c>
    </x:row>
    <x:row r="2643">
      <x:c r="A2643" t="str">
        <x:v>Stage01</x:v>
      </x:c>
      <x:c r="B2643" t="str">
        <x:v>WAVE_55</x:v>
      </x:c>
      <x:c r="C2643" s="409" t="n">
        <x:v>545.54</x:v>
      </x:c>
      <x:c r="D2643" s="410" t="n">
        <x:v>58</x:v>
      </x:c>
      <x:c r="E2643" t="str">
        <x:v>BOTTOM_06</x:v>
      </x:c>
      <x:c r="F2643" t="str">
        <x:v>GoblinMelee</x:v>
      </x:c>
      <x:c r="G2643" s="410" t="n">
        <x:v>46</x:v>
      </x:c>
    </x:row>
    <x:row r="2644">
      <x:c r="A2644" t="str">
        <x:v>Stage01</x:v>
      </x:c>
      <x:c r="B2644" t="str">
        <x:v>WAVE_55</x:v>
      </x:c>
      <x:c r="C2644" s="409" t="n">
        <x:v>545.62</x:v>
      </x:c>
      <x:c r="D2644" s="410" t="n">
        <x:v>59</x:v>
      </x:c>
      <x:c r="E2644" t="str">
        <x:v>LEFT_07</x:v>
      </x:c>
      <x:c r="F2644" t="str">
        <x:v>GoblinMelee</x:v>
      </x:c>
      <x:c r="G2644" s="410" t="n">
        <x:v>47</x:v>
      </x:c>
    </x:row>
    <x:row r="2645">
      <x:c r="A2645" t="str">
        <x:v>Stage01</x:v>
      </x:c>
      <x:c r="B2645" t="str">
        <x:v>WAVE_55</x:v>
      </x:c>
      <x:c r="C2645" s="409" t="n">
        <x:v>545.7</x:v>
      </x:c>
      <x:c r="D2645" s="410" t="n">
        <x:v>60</x:v>
      </x:c>
      <x:c r="E2645" t="str">
        <x:v>TOP_01</x:v>
      </x:c>
      <x:c r="F2645" t="str">
        <x:v>GoblinRanged</x:v>
      </x:c>
      <x:c r="G2645" s="410" t="n">
        <x:v>47</x:v>
      </x:c>
    </x:row>
    <x:row r="2646">
      <x:c r="A2646" t="str">
        <x:v>Stage01</x:v>
      </x:c>
      <x:c r="B2646" t="str">
        <x:v>WAVE_55</x:v>
      </x:c>
      <x:c r="C2646" s="409" t="n">
        <x:v>545.78</x:v>
      </x:c>
      <x:c r="D2646" s="410" t="n">
        <x:v>61</x:v>
      </x:c>
      <x:c r="E2646" t="str">
        <x:v>RIGHT_02</x:v>
      </x:c>
      <x:c r="F2646" t="str">
        <x:v>GoblinMelee</x:v>
      </x:c>
      <x:c r="G2646" s="410" t="n">
        <x:v>47</x:v>
      </x:c>
    </x:row>
    <x:row r="2647">
      <x:c r="A2647" t="str">
        <x:v>Stage01</x:v>
      </x:c>
      <x:c r="B2647" t="str">
        <x:v>WAVE_55</x:v>
      </x:c>
      <x:c r="C2647" s="409" t="n">
        <x:v>545.86</x:v>
      </x:c>
      <x:c r="D2647" s="410" t="n">
        <x:v>62</x:v>
      </x:c>
      <x:c r="E2647" t="str">
        <x:v>BOTTOM_03</x:v>
      </x:c>
      <x:c r="F2647" t="str">
        <x:v>ShieldSkeleton</x:v>
      </x:c>
      <x:c r="G2647" s="410" t="n">
        <x:v>47</x:v>
      </x:c>
    </x:row>
    <x:row r="2648">
      <x:c r="A2648" t="str">
        <x:v>Stage01</x:v>
      </x:c>
      <x:c r="B2648" t="str">
        <x:v>WAVE_55</x:v>
      </x:c>
      <x:c r="C2648" s="409" t="n">
        <x:v>545.94</x:v>
      </x:c>
      <x:c r="D2648" s="410" t="n">
        <x:v>63</x:v>
      </x:c>
      <x:c r="E2648" t="str">
        <x:v>LEFT_04</x:v>
      </x:c>
      <x:c r="F2648" t="str">
        <x:v>GoblinMelee</x:v>
      </x:c>
      <x:c r="G2648" s="410" t="n">
        <x:v>47</x:v>
      </x:c>
    </x:row>
    <x:row r="2649">
      <x:c r="A2649" t="str">
        <x:v>Stage01</x:v>
      </x:c>
      <x:c r="B2649" t="str">
        <x:v>WAVE_55</x:v>
      </x:c>
      <x:c r="C2649" s="409" t="n">
        <x:v>546.02</x:v>
      </x:c>
      <x:c r="D2649" s="410" t="n">
        <x:v>64</x:v>
      </x:c>
      <x:c r="E2649" t="str">
        <x:v>TOP_06</x:v>
      </x:c>
      <x:c r="F2649" t="str">
        <x:v>GoblinRanged</x:v>
      </x:c>
      <x:c r="G2649" s="410" t="n">
        <x:v>46</x:v>
      </x:c>
    </x:row>
    <x:row r="2650">
      <x:c r="A2650" t="str">
        <x:v>Stage01</x:v>
      </x:c>
      <x:c r="B2650" t="str">
        <x:v>WAVE_55</x:v>
      </x:c>
      <x:c r="C2650" s="409" t="n">
        <x:v>546.1</x:v>
      </x:c>
      <x:c r="D2650" s="410" t="n">
        <x:v>65</x:v>
      </x:c>
      <x:c r="E2650" t="str">
        <x:v>RIGHT_07</x:v>
      </x:c>
      <x:c r="F2650" t="str">
        <x:v>GoblinMelee</x:v>
      </x:c>
      <x:c r="G2650" s="410" t="n">
        <x:v>47</x:v>
      </x:c>
    </x:row>
    <x:row r="2651">
      <x:c r="A2651" t="str">
        <x:v>Stage01</x:v>
      </x:c>
      <x:c r="B2651" t="str">
        <x:v>WAVE_55</x:v>
      </x:c>
      <x:c r="C2651" s="409" t="n">
        <x:v>546.18</x:v>
      </x:c>
      <x:c r="D2651" s="410" t="n">
        <x:v>66</x:v>
      </x:c>
      <x:c r="E2651" t="str">
        <x:v>BOTTOM_08</x:v>
      </x:c>
      <x:c r="F2651" t="str">
        <x:v>GoblinMelee</x:v>
      </x:c>
      <x:c r="G2651" s="410" t="n">
        <x:v>47</x:v>
      </x:c>
    </x:row>
    <x:row r="2652">
      <x:c r="A2652" t="str">
        <x:v>Stage01</x:v>
      </x:c>
      <x:c r="B2652" t="str">
        <x:v>WAVE_55</x:v>
      </x:c>
      <x:c r="C2652" s="409" t="n">
        <x:v>546.26</x:v>
      </x:c>
      <x:c r="D2652" s="410" t="n">
        <x:v>67</x:v>
      </x:c>
      <x:c r="E2652" t="str">
        <x:v>LEFT_01</x:v>
      </x:c>
      <x:c r="F2652" t="str">
        <x:v>GoblinRanged</x:v>
      </x:c>
      <x:c r="G2652" s="410" t="n">
        <x:v>47</x:v>
      </x:c>
    </x:row>
    <x:row r="2653">
      <x:c r="A2653" t="str">
        <x:v>Stage01</x:v>
      </x:c>
      <x:c r="B2653" t="str">
        <x:v>WAVE_55</x:v>
      </x:c>
      <x:c r="C2653" s="409" t="n">
        <x:v>546.34</x:v>
      </x:c>
      <x:c r="D2653" s="410" t="n">
        <x:v>68</x:v>
      </x:c>
      <x:c r="E2653" t="str">
        <x:v>TOP_03</x:v>
      </x:c>
      <x:c r="F2653" t="str">
        <x:v>GoblinMelee</x:v>
      </x:c>
      <x:c r="G2653" s="410" t="n">
        <x:v>47</x:v>
      </x:c>
    </x:row>
    <x:row r="2654">
      <x:c r="A2654" t="str">
        <x:v>Stage01</x:v>
      </x:c>
      <x:c r="B2654" t="str">
        <x:v>WAVE_55</x:v>
      </x:c>
      <x:c r="C2654" s="409" t="n">
        <x:v>546.41</x:v>
      </x:c>
      <x:c r="D2654" s="410" t="n">
        <x:v>69</x:v>
      </x:c>
      <x:c r="E2654" t="str">
        <x:v>RIGHT_04</x:v>
      </x:c>
      <x:c r="F2654" t="str">
        <x:v>ShieldSkeleton</x:v>
      </x:c>
      <x:c r="G2654" s="410" t="n">
        <x:v>47</x:v>
      </x:c>
    </x:row>
    <x:row r="2655">
      <x:c r="A2655" t="str">
        <x:v>Stage01</x:v>
      </x:c>
      <x:c r="B2655" t="str">
        <x:v>WAVE_55</x:v>
      </x:c>
      <x:c r="C2655" s="409" t="n">
        <x:v>546.49</x:v>
      </x:c>
      <x:c r="D2655" s="410" t="n">
        <x:v>70</x:v>
      </x:c>
      <x:c r="E2655" t="str">
        <x:v>BOTTOM_05</x:v>
      </x:c>
      <x:c r="F2655" t="str">
        <x:v>FlyingEye</x:v>
      </x:c>
      <x:c r="G2655" s="410" t="n">
        <x:v>46</x:v>
      </x:c>
    </x:row>
    <x:row r="2656">
      <x:c r="A2656" t="str">
        <x:v>Stage01</x:v>
      </x:c>
      <x:c r="B2656" t="str">
        <x:v>WAVE_55</x:v>
      </x:c>
      <x:c r="C2656" s="409" t="n">
        <x:v>546.57</x:v>
      </x:c>
      <x:c r="D2656" s="410" t="n">
        <x:v>71</x:v>
      </x:c>
      <x:c r="E2656" t="str">
        <x:v>LEFT_06</x:v>
      </x:c>
      <x:c r="F2656" t="str">
        <x:v>GoblinRanged</x:v>
      </x:c>
      <x:c r="G2656" s="410" t="n">
        <x:v>47</x:v>
      </x:c>
    </x:row>
    <x:row r="2657">
      <x:c r="A2657" t="str">
        <x:v>Stage01</x:v>
      </x:c>
      <x:c r="B2657" t="str">
        <x:v>WAVE_55</x:v>
      </x:c>
      <x:c r="C2657" s="409" t="n">
        <x:v>546.65</x:v>
      </x:c>
      <x:c r="D2657" s="410" t="n">
        <x:v>72</x:v>
      </x:c>
      <x:c r="E2657" t="str">
        <x:v>TOP_08</x:v>
      </x:c>
      <x:c r="F2657" t="str">
        <x:v>GoblinMelee</x:v>
      </x:c>
      <x:c r="G2657" s="410" t="n">
        <x:v>47</x:v>
      </x:c>
    </x:row>
    <x:row r="2658">
      <x:c r="A2658" t="str">
        <x:v>Stage01</x:v>
      </x:c>
      <x:c r="B2658" t="str">
        <x:v>WAVE_55</x:v>
      </x:c>
      <x:c r="C2658" s="409" t="n">
        <x:v>546.73</x:v>
      </x:c>
      <x:c r="D2658" s="410" t="n">
        <x:v>73</x:v>
      </x:c>
      <x:c r="E2658" t="str">
        <x:v>RIGHT_01</x:v>
      </x:c>
      <x:c r="F2658" t="str">
        <x:v>GoblinMelee</x:v>
      </x:c>
      <x:c r="G2658" s="410" t="n">
        <x:v>47</x:v>
      </x:c>
    </x:row>
    <x:row r="2659">
      <x:c r="A2659" t="str">
        <x:v>Stage01</x:v>
      </x:c>
      <x:c r="B2659" t="str">
        <x:v>WAVE_55</x:v>
      </x:c>
      <x:c r="C2659" s="409" t="n">
        <x:v>546.81</x:v>
      </x:c>
      <x:c r="D2659" s="410" t="n">
        <x:v>74</x:v>
      </x:c>
      <x:c r="E2659" t="str">
        <x:v>BOTTOM_02</x:v>
      </x:c>
      <x:c r="F2659" t="str">
        <x:v>GoblinRanged</x:v>
      </x:c>
      <x:c r="G2659" s="410" t="n">
        <x:v>47</x:v>
      </x:c>
    </x:row>
    <x:row r="2660">
      <x:c r="A2660" t="str">
        <x:v>Stage01</x:v>
      </x:c>
      <x:c r="B2660" t="str">
        <x:v>WAVE_55</x:v>
      </x:c>
      <x:c r="C2660" s="409" t="n">
        <x:v>546.89</x:v>
      </x:c>
      <x:c r="D2660" s="410" t="n">
        <x:v>75</x:v>
      </x:c>
      <x:c r="E2660" t="str">
        <x:v>LEFT_03</x:v>
      </x:c>
      <x:c r="F2660" t="str">
        <x:v>GoblinMelee</x:v>
      </x:c>
      <x:c r="G2660" s="410" t="n">
        <x:v>47</x:v>
      </x:c>
    </x:row>
    <x:row r="2661">
      <x:c r="A2661" t="str">
        <x:v>Stage01</x:v>
      </x:c>
      <x:c r="B2661" t="str">
        <x:v>WAVE_55</x:v>
      </x:c>
      <x:c r="C2661" s="409" t="n">
        <x:v>546.97</x:v>
      </x:c>
      <x:c r="D2661" s="410" t="n">
        <x:v>76</x:v>
      </x:c>
      <x:c r="E2661" t="str">
        <x:v>TOP_05</x:v>
      </x:c>
      <x:c r="F2661" t="str">
        <x:v>ShieldSkeleton</x:v>
      </x:c>
      <x:c r="G2661" s="410" t="n">
        <x:v>46</x:v>
      </x:c>
    </x:row>
    <x:row r="2662">
      <x:c r="A2662" t="str">
        <x:v>Stage01</x:v>
      </x:c>
      <x:c r="B2662" t="str">
        <x:v>WAVE_55</x:v>
      </x:c>
      <x:c r="C2662" s="409" t="n">
        <x:v>547.05</x:v>
      </x:c>
      <x:c r="D2662" s="410" t="n">
        <x:v>77</x:v>
      </x:c>
      <x:c r="E2662" t="str">
        <x:v>RIGHT_06</x:v>
      </x:c>
      <x:c r="F2662" t="str">
        <x:v>GoblinMelee</x:v>
      </x:c>
      <x:c r="G2662" s="410" t="n">
        <x:v>47</x:v>
      </x:c>
    </x:row>
    <x:row r="2663">
      <x:c r="A2663" t="str">
        <x:v>Stage01</x:v>
      </x:c>
      <x:c r="B2663" t="str">
        <x:v>WAVE_55</x:v>
      </x:c>
      <x:c r="C2663" s="409" t="n">
        <x:v>547.13</x:v>
      </x:c>
      <x:c r="D2663" s="410" t="n">
        <x:v>78</x:v>
      </x:c>
      <x:c r="E2663" t="str">
        <x:v>BOTTOM_07</x:v>
      </x:c>
      <x:c r="F2663" t="str">
        <x:v>GoblinRanged</x:v>
      </x:c>
      <x:c r="G2663" s="410" t="n">
        <x:v>47</x:v>
      </x:c>
    </x:row>
    <x:row r="2664">
      <x:c r="A2664" t="str">
        <x:v>Stage01</x:v>
      </x:c>
      <x:c r="B2664" t="str">
        <x:v>WAVE_55</x:v>
      </x:c>
      <x:c r="C2664" s="409" t="n">
        <x:v>547.21</x:v>
      </x:c>
      <x:c r="D2664" s="410" t="n">
        <x:v>79</x:v>
      </x:c>
      <x:c r="E2664" t="str">
        <x:v>LEFT_08</x:v>
      </x:c>
      <x:c r="F2664" t="str">
        <x:v>GoblinMelee</x:v>
      </x:c>
      <x:c r="G2664" s="410" t="n">
        <x:v>47</x:v>
      </x:c>
    </x:row>
    <x:row r="2665">
      <x:c r="A2665" t="str">
        <x:v>Stage01</x:v>
      </x:c>
      <x:c r="B2665" t="str">
        <x:v>WAVE_55</x:v>
      </x:c>
      <x:c r="C2665" s="409" t="n">
        <x:v>547.29</x:v>
      </x:c>
      <x:c r="D2665" s="410" t="n">
        <x:v>80</x:v>
      </x:c>
      <x:c r="E2665" t="str">
        <x:v>TOP_02</x:v>
      </x:c>
      <x:c r="F2665" t="str">
        <x:v>GoblinMelee</x:v>
      </x:c>
      <x:c r="G2665" s="410" t="n">
        <x:v>47</x:v>
      </x:c>
    </x:row>
    <x:row r="2666">
      <x:c r="A2666" t="str">
        <x:v>Stage01</x:v>
      </x:c>
      <x:c r="B2666" t="str">
        <x:v>WAVE_55</x:v>
      </x:c>
      <x:c r="C2666" s="409" t="n">
        <x:v>547.37</x:v>
      </x:c>
      <x:c r="D2666" s="410" t="n">
        <x:v>81</x:v>
      </x:c>
      <x:c r="E2666" t="str">
        <x:v>RIGHT_03</x:v>
      </x:c>
      <x:c r="F2666" t="str">
        <x:v>GoblinRanged</x:v>
      </x:c>
      <x:c r="G2666" s="410" t="n">
        <x:v>47</x:v>
      </x:c>
    </x:row>
    <x:row r="2667">
      <x:c r="A2667" t="str">
        <x:v>Stage01</x:v>
      </x:c>
      <x:c r="B2667" t="str">
        <x:v>WAVE_55</x:v>
      </x:c>
      <x:c r="C2667" s="409" t="n">
        <x:v>547.45</x:v>
      </x:c>
      <x:c r="D2667" s="410" t="n">
        <x:v>82</x:v>
      </x:c>
      <x:c r="E2667" t="str">
        <x:v>BOTTOM_04</x:v>
      </x:c>
      <x:c r="F2667" t="str">
        <x:v>GoblinMelee</x:v>
      </x:c>
      <x:c r="G2667" s="410" t="n">
        <x:v>46</x:v>
      </x:c>
    </x:row>
    <x:row r="2668">
      <x:c r="A2668" t="str">
        <x:v>Stage01</x:v>
      </x:c>
      <x:c r="B2668" t="str">
        <x:v>WAVE_55</x:v>
      </x:c>
      <x:c r="C2668" s="409" t="n">
        <x:v>547.53</x:v>
      </x:c>
      <x:c r="D2668" s="410" t="n">
        <x:v>83</x:v>
      </x:c>
      <x:c r="E2668" t="str">
        <x:v>LEFT_05</x:v>
      </x:c>
      <x:c r="F2668" t="str">
        <x:v>ShieldSkeleton</x:v>
      </x:c>
      <x:c r="G2668" s="410" t="n">
        <x:v>47</x:v>
      </x:c>
    </x:row>
    <x:row r="2669">
      <x:c r="A2669" t="str">
        <x:v>Stage01</x:v>
      </x:c>
      <x:c r="B2669" t="str">
        <x:v>WAVE_55</x:v>
      </x:c>
      <x:c r="C2669" s="409" t="n">
        <x:v>547.61</x:v>
      </x:c>
      <x:c r="D2669" s="410" t="n">
        <x:v>84</x:v>
      </x:c>
      <x:c r="E2669" t="str">
        <x:v>TOP_07</x:v>
      </x:c>
      <x:c r="F2669" t="str">
        <x:v>FlyingEye</x:v>
      </x:c>
      <x:c r="G2669" s="410" t="n">
        <x:v>47</x:v>
      </x:c>
    </x:row>
    <x:row r="2670">
      <x:c r="A2670" t="str">
        <x:v>Stage01</x:v>
      </x:c>
      <x:c r="B2670" t="str">
        <x:v>WAVE_55</x:v>
      </x:c>
      <x:c r="C2670" s="409" t="n">
        <x:v>547.69</x:v>
      </x:c>
      <x:c r="D2670" s="410" t="n">
        <x:v>85</x:v>
      </x:c>
      <x:c r="E2670" t="str">
        <x:v>RIGHT_08</x:v>
      </x:c>
      <x:c r="F2670" t="str">
        <x:v>GoblinRanged</x:v>
      </x:c>
      <x:c r="G2670" s="410" t="n">
        <x:v>47</x:v>
      </x:c>
    </x:row>
    <x:row r="2671">
      <x:c r="A2671" t="str">
        <x:v>Stage01</x:v>
      </x:c>
      <x:c r="B2671" t="str">
        <x:v>WAVE_55</x:v>
      </x:c>
      <x:c r="C2671" s="409" t="n">
        <x:v>547.77</x:v>
      </x:c>
      <x:c r="D2671" s="410" t="n">
        <x:v>86</x:v>
      </x:c>
      <x:c r="E2671" t="str">
        <x:v>BOTTOM_01</x:v>
      </x:c>
      <x:c r="F2671" t="str">
        <x:v>GoblinMelee</x:v>
      </x:c>
      <x:c r="G2671" s="410" t="n">
        <x:v>47</x:v>
      </x:c>
    </x:row>
    <x:row r="2672">
      <x:c r="A2672" t="str">
        <x:v>Stage01</x:v>
      </x:c>
      <x:c r="B2672" t="str">
        <x:v>WAVE_55</x:v>
      </x:c>
      <x:c r="C2672" s="409" t="n">
        <x:v>547.85</x:v>
      </x:c>
      <x:c r="D2672" s="410" t="n">
        <x:v>87</x:v>
      </x:c>
      <x:c r="E2672" t="str">
        <x:v>LEFT_02</x:v>
      </x:c>
      <x:c r="F2672" t="str">
        <x:v>GoblinRanged</x:v>
      </x:c>
      <x:c r="G2672" s="410" t="n">
        <x:v>47</x:v>
      </x:c>
    </x:row>
    <x:row r="2673">
      <x:c r="A2673" t="str">
        <x:v>Stage01</x:v>
      </x:c>
      <x:c r="B2673" t="str">
        <x:v>WAVE_55</x:v>
      </x:c>
      <x:c r="C2673" s="409" t="n">
        <x:v>547.93</x:v>
      </x:c>
      <x:c r="D2673" s="410" t="n">
        <x:v>88</x:v>
      </x:c>
      <x:c r="E2673" t="str">
        <x:v>TOP_04</x:v>
      </x:c>
      <x:c r="F2673" t="str">
        <x:v>GoblinMelee</x:v>
      </x:c>
      <x:c r="G2673" s="410" t="n">
        <x:v>46</x:v>
      </x:c>
    </x:row>
    <x:row r="2674">
      <x:c r="A2674" t="str">
        <x:v>Stage01</x:v>
      </x:c>
      <x:c r="B2674" t="str">
        <x:v>WAVE_55</x:v>
      </x:c>
      <x:c r="C2674" s="409" t="n">
        <x:v>548.01</x:v>
      </x:c>
      <x:c r="D2674" s="410" t="n">
        <x:v>89</x:v>
      </x:c>
      <x:c r="E2674" t="str">
        <x:v>RIGHT_05</x:v>
      </x:c>
      <x:c r="F2674" t="str">
        <x:v>GoblinMelee</x:v>
      </x:c>
      <x:c r="G2674" s="410" t="n">
        <x:v>47</x:v>
      </x:c>
    </x:row>
    <x:row r="2675">
      <x:c r="A2675" t="str">
        <x:v>Stage01</x:v>
      </x:c>
      <x:c r="B2675" t="str">
        <x:v>WAVE_55</x:v>
      </x:c>
      <x:c r="C2675" s="409" t="n">
        <x:v>548.09</x:v>
      </x:c>
      <x:c r="D2675" s="410" t="n">
        <x:v>90</x:v>
      </x:c>
      <x:c r="E2675" t="str">
        <x:v>BOTTOM_06</x:v>
      </x:c>
      <x:c r="F2675" t="str">
        <x:v>GoblinRanged</x:v>
      </x:c>
      <x:c r="G2675" s="410" t="n">
        <x:v>47</x:v>
      </x:c>
    </x:row>
    <x:row r="2676">
      <x:c r="A2676" t="str">
        <x:v>Stage01</x:v>
      </x:c>
      <x:c r="B2676" t="str">
        <x:v>WAVE_55</x:v>
      </x:c>
      <x:c r="C2676" s="409" t="n">
        <x:v>548.17</x:v>
      </x:c>
      <x:c r="D2676" s="410" t="n">
        <x:v>91</x:v>
      </x:c>
      <x:c r="E2676" t="str">
        <x:v>LEFT_07</x:v>
      </x:c>
      <x:c r="F2676" t="str">
        <x:v>GoblinMelee</x:v>
      </x:c>
      <x:c r="G2676" s="410" t="n">
        <x:v>47</x:v>
      </x:c>
    </x:row>
    <x:row r="2677">
      <x:c r="A2677" t="str">
        <x:v>Stage01</x:v>
      </x:c>
      <x:c r="B2677" t="str">
        <x:v>WAVE_55</x:v>
      </x:c>
      <x:c r="C2677" s="409" t="n">
        <x:v>548.25</x:v>
      </x:c>
      <x:c r="D2677" s="410" t="n">
        <x:v>92</x:v>
      </x:c>
      <x:c r="E2677" t="str">
        <x:v>TOP_01</x:v>
      </x:c>
      <x:c r="F2677" t="str">
        <x:v>ShieldSkeleton</x:v>
      </x:c>
      <x:c r="G2677" s="410" t="n">
        <x:v>47</x:v>
      </x:c>
    </x:row>
    <x:row r="2678">
      <x:c r="A2678" t="str">
        <x:v>Stage01</x:v>
      </x:c>
      <x:c r="B2678" t="str">
        <x:v>WAVE_55</x:v>
      </x:c>
      <x:c r="C2678" s="409" t="n">
        <x:v>548.33</x:v>
      </x:c>
      <x:c r="D2678" s="410" t="n">
        <x:v>93</x:v>
      </x:c>
      <x:c r="E2678" t="str">
        <x:v>RIGHT_02</x:v>
      </x:c>
      <x:c r="F2678" t="str">
        <x:v>GoblinMelee</x:v>
      </x:c>
      <x:c r="G2678" s="410" t="n">
        <x:v>47</x:v>
      </x:c>
    </x:row>
    <x:row r="2679">
      <x:c r="A2679" t="str">
        <x:v>Stage01</x:v>
      </x:c>
      <x:c r="B2679" t="str">
        <x:v>WAVE_55</x:v>
      </x:c>
      <x:c r="C2679" s="409" t="n">
        <x:v>548.41</x:v>
      </x:c>
      <x:c r="D2679" s="410" t="n">
        <x:v>94</x:v>
      </x:c>
      <x:c r="E2679" t="str">
        <x:v>BOTTOM_03</x:v>
      </x:c>
      <x:c r="F2679" t="str">
        <x:v>GoblinRanged</x:v>
      </x:c>
      <x:c r="G2679" s="410" t="n">
        <x:v>46</x:v>
      </x:c>
    </x:row>
    <x:row r="2680">
      <x:c r="A2680" t="str">
        <x:v>Stage01</x:v>
      </x:c>
      <x:c r="B2680" t="str">
        <x:v>WAVE_55</x:v>
      </x:c>
      <x:c r="C2680" s="409" t="n">
        <x:v>548.49</x:v>
      </x:c>
      <x:c r="D2680" s="410" t="n">
        <x:v>95</x:v>
      </x:c>
      <x:c r="E2680" t="str">
        <x:v>LEFT_04</x:v>
      </x:c>
      <x:c r="F2680" t="str">
        <x:v>GoblinMelee</x:v>
      </x:c>
      <x:c r="G2680" s="410" t="n">
        <x:v>47</x:v>
      </x:c>
    </x:row>
    <x:row r="2681">
      <x:c r="A2681" t="str">
        <x:v>Stage01</x:v>
      </x:c>
      <x:c r="B2681" t="str">
        <x:v>WAVE_55</x:v>
      </x:c>
      <x:c r="C2681" s="409" t="n">
        <x:v>548.56</x:v>
      </x:c>
      <x:c r="D2681" s="410" t="n">
        <x:v>96</x:v>
      </x:c>
      <x:c r="E2681" t="str">
        <x:v>TOP_06</x:v>
      </x:c>
      <x:c r="F2681" t="str">
        <x:v>GoblinMelee</x:v>
      </x:c>
      <x:c r="G2681" s="410" t="n">
        <x:v>47</x:v>
      </x:c>
    </x:row>
    <x:row r="2682">
      <x:c r="A2682" t="str">
        <x:v>Stage01</x:v>
      </x:c>
      <x:c r="B2682" t="str">
        <x:v>WAVE_55</x:v>
      </x:c>
      <x:c r="C2682" s="409" t="n">
        <x:v>548.64</x:v>
      </x:c>
      <x:c r="D2682" s="410" t="n">
        <x:v>97</x:v>
      </x:c>
      <x:c r="E2682" t="str">
        <x:v>RIGHT_07</x:v>
      </x:c>
      <x:c r="F2682" t="str">
        <x:v>GoblinRanged</x:v>
      </x:c>
      <x:c r="G2682" s="410" t="n">
        <x:v>47</x:v>
      </x:c>
    </x:row>
    <x:row r="2683">
      <x:c r="A2683" t="str">
        <x:v>Stage01</x:v>
      </x:c>
      <x:c r="B2683" t="str">
        <x:v>WAVE_55</x:v>
      </x:c>
      <x:c r="C2683" s="409" t="n">
        <x:v>548.72</x:v>
      </x:c>
      <x:c r="D2683" s="410" t="n">
        <x:v>98</x:v>
      </x:c>
      <x:c r="E2683" t="str">
        <x:v>BOTTOM_08</x:v>
      </x:c>
      <x:c r="F2683" t="str">
        <x:v>FlyingEye</x:v>
      </x:c>
      <x:c r="G2683" s="410" t="n">
        <x:v>47</x:v>
      </x:c>
    </x:row>
    <x:row r="2684">
      <x:c r="A2684" t="str">
        <x:v>Stage01</x:v>
      </x:c>
      <x:c r="B2684" t="str">
        <x:v>WAVE_55</x:v>
      </x:c>
      <x:c r="C2684" s="409" t="n">
        <x:v>548.8</x:v>
      </x:c>
      <x:c r="D2684" s="410" t="n">
        <x:v>99</x:v>
      </x:c>
      <x:c r="E2684" t="str">
        <x:v>LEFT_01</x:v>
      </x:c>
      <x:c r="F2684" t="str">
        <x:v>ShieldSkeleton</x:v>
      </x:c>
      <x:c r="G2684" s="410" t="n">
        <x:v>47</x:v>
      </x:c>
    </x:row>
    <x:row r="2685">
      <x:c r="A2685" t="str">
        <x:v>Stage01</x:v>
      </x:c>
      <x:c r="B2685" t="str">
        <x:v>WAVE_55</x:v>
      </x:c>
      <x:c r="C2685" s="409" t="n">
        <x:v>548.88</x:v>
      </x:c>
      <x:c r="D2685" s="410" t="n">
        <x:v>100</x:v>
      </x:c>
      <x:c r="E2685" t="str">
        <x:v>TOP_03</x:v>
      </x:c>
      <x:c r="F2685" t="str">
        <x:v>GoblinMelee</x:v>
      </x:c>
      <x:c r="G2685" s="410" t="n">
        <x:v>46</x:v>
      </x:c>
    </x:row>
    <x:row r="2686">
      <x:c r="A2686" t="str">
        <x:v>Stage01</x:v>
      </x:c>
      <x:c r="B2686" t="str">
        <x:v>WAVE_55</x:v>
      </x:c>
      <x:c r="C2686" s="409" t="n">
        <x:v>548.96</x:v>
      </x:c>
      <x:c r="D2686" s="410" t="n">
        <x:v>101</x:v>
      </x:c>
      <x:c r="E2686" t="str">
        <x:v>RIGHT_04</x:v>
      </x:c>
      <x:c r="F2686" t="str">
        <x:v>GoblinRanged</x:v>
      </x:c>
      <x:c r="G2686" s="410" t="n">
        <x:v>47</x:v>
      </x:c>
    </x:row>
    <x:row r="2687">
      <x:c r="A2687" t="str">
        <x:v>Stage01</x:v>
      </x:c>
      <x:c r="B2687" t="str">
        <x:v>WAVE_55</x:v>
      </x:c>
      <x:c r="C2687" s="409" t="n">
        <x:v>549.04</x:v>
      </x:c>
      <x:c r="D2687" s="410" t="n">
        <x:v>102</x:v>
      </x:c>
      <x:c r="E2687" t="str">
        <x:v>BOTTOM_05</x:v>
      </x:c>
      <x:c r="F2687" t="str">
        <x:v>GoblinMelee</x:v>
      </x:c>
      <x:c r="G2687" s="410" t="n">
        <x:v>47</x:v>
      </x:c>
    </x:row>
    <x:row r="2688">
      <x:c r="A2688" t="str">
        <x:v>Stage01</x:v>
      </x:c>
      <x:c r="B2688" t="str">
        <x:v>WAVE_55</x:v>
      </x:c>
      <x:c r="C2688" s="409" t="n">
        <x:v>549.12</x:v>
      </x:c>
      <x:c r="D2688" s="410" t="n">
        <x:v>103</x:v>
      </x:c>
      <x:c r="E2688" t="str">
        <x:v>LEFT_06</x:v>
      </x:c>
      <x:c r="F2688" t="str">
        <x:v>GoblinMelee</x:v>
      </x:c>
      <x:c r="G2688" s="410" t="n">
        <x:v>47</x:v>
      </x:c>
    </x:row>
    <x:row r="2689">
      <x:c r="A2689" t="str">
        <x:v>Stage01</x:v>
      </x:c>
      <x:c r="B2689" t="str">
        <x:v>WAVE_55</x:v>
      </x:c>
      <x:c r="C2689" s="409" t="n">
        <x:v>549.2</x:v>
      </x:c>
      <x:c r="D2689" s="410" t="n">
        <x:v>104</x:v>
      </x:c>
      <x:c r="E2689" t="str">
        <x:v>TOP_08</x:v>
      </x:c>
      <x:c r="F2689" t="str">
        <x:v>GoblinRanged</x:v>
      </x:c>
      <x:c r="G2689" s="410" t="n">
        <x:v>47</x:v>
      </x:c>
    </x:row>
    <x:row r="2690">
      <x:c r="A2690" t="str">
        <x:v>Stage01</x:v>
      </x:c>
      <x:c r="B2690" t="str">
        <x:v>WAVE_55</x:v>
      </x:c>
      <x:c r="C2690" s="409" t="n">
        <x:v>549.28</x:v>
      </x:c>
      <x:c r="D2690" s="410" t="n">
        <x:v>105</x:v>
      </x:c>
      <x:c r="E2690" t="str">
        <x:v>RIGHT_01</x:v>
      </x:c>
      <x:c r="F2690" t="str">
        <x:v>GoblinMelee</x:v>
      </x:c>
      <x:c r="G2690" s="410" t="n">
        <x:v>47</x:v>
      </x:c>
    </x:row>
    <x:row r="2691">
      <x:c r="A2691" t="str">
        <x:v>Stage01</x:v>
      </x:c>
      <x:c r="B2691" t="str">
        <x:v>WAVE_55</x:v>
      </x:c>
      <x:c r="C2691" s="409" t="n">
        <x:v>549.36</x:v>
      </x:c>
      <x:c r="D2691" s="410" t="n">
        <x:v>106</x:v>
      </x:c>
      <x:c r="E2691" t="str">
        <x:v>BOTTOM_02</x:v>
      </x:c>
      <x:c r="F2691" t="str">
        <x:v>ShieldSkeleton</x:v>
      </x:c>
      <x:c r="G2691" s="410" t="n">
        <x:v>46</x:v>
      </x:c>
    </x:row>
    <x:row r="2692">
      <x:c r="A2692" t="str">
        <x:v>Stage01</x:v>
      </x:c>
      <x:c r="B2692" t="str">
        <x:v>WAVE_55</x:v>
      </x:c>
      <x:c r="C2692" s="409" t="n">
        <x:v>549.44</x:v>
      </x:c>
      <x:c r="D2692" s="410" t="n">
        <x:v>107</x:v>
      </x:c>
      <x:c r="E2692" t="str">
        <x:v>LEFT_03</x:v>
      </x:c>
      <x:c r="F2692" t="str">
        <x:v>GoblinMelee</x:v>
      </x:c>
      <x:c r="G2692" s="410" t="n">
        <x:v>47</x:v>
      </x:c>
    </x:row>
    <x:row r="2693">
      <x:c r="A2693" t="str">
        <x:v>Stage01</x:v>
      </x:c>
      <x:c r="B2693" t="str">
        <x:v>WAVE_55</x:v>
      </x:c>
      <x:c r="C2693" s="409" t="n">
        <x:v>549.52</x:v>
      </x:c>
      <x:c r="D2693" s="410" t="n">
        <x:v>108</x:v>
      </x:c>
      <x:c r="E2693" t="str">
        <x:v>TOP_05</x:v>
      </x:c>
      <x:c r="F2693" t="str">
        <x:v>GoblinRanged</x:v>
      </x:c>
      <x:c r="G2693" s="410" t="n">
        <x:v>47</x:v>
      </x:c>
    </x:row>
    <x:row r="2694">
      <x:c r="A2694" t="str">
        <x:v>Stage01</x:v>
      </x:c>
      <x:c r="B2694" t="str">
        <x:v>WAVE_55</x:v>
      </x:c>
      <x:c r="C2694" s="409" t="n">
        <x:v>549.6</x:v>
      </x:c>
      <x:c r="D2694" s="410" t="n">
        <x:v>109</x:v>
      </x:c>
      <x:c r="E2694" t="str">
        <x:v>RIGHT_06</x:v>
      </x:c>
      <x:c r="F2694" t="str">
        <x:v>GoblinMelee</x:v>
      </x:c>
      <x:c r="G2694" s="410" t="n">
        <x:v>47</x:v>
      </x:c>
    </x:row>
    <x:row r="2695">
      <x:c r="A2695" t="str">
        <x:v>Stage01</x:v>
      </x:c>
      <x:c r="B2695" t="str">
        <x:v>WAVE_56</x:v>
      </x:c>
      <x:c r="C2695" s="409" t="n">
        <x:v>551</x:v>
      </x:c>
      <x:c r="D2695" s="410" t="n">
        <x:v>1</x:v>
      </x:c>
      <x:c r="E2695" t="str">
        <x:v>RIGHT_01</x:v>
      </x:c>
      <x:c r="F2695" t="str">
        <x:v>GoblinMelee</x:v>
      </x:c>
      <x:c r="G2695" s="410" t="n">
        <x:v>48</x:v>
      </x:c>
    </x:row>
    <x:row r="2696">
      <x:c r="A2696" t="str">
        <x:v>Stage01</x:v>
      </x:c>
      <x:c r="B2696" t="str">
        <x:v>WAVE_56</x:v>
      </x:c>
      <x:c r="C2696" s="409" t="n">
        <x:v>551.08</x:v>
      </x:c>
      <x:c r="D2696" s="410" t="n">
        <x:v>2</x:v>
      </x:c>
      <x:c r="E2696" t="str">
        <x:v>BOTTOM_02</x:v>
      </x:c>
      <x:c r="F2696" t="str">
        <x:v>GoblinRanged</x:v>
      </x:c>
      <x:c r="G2696" s="410" t="n">
        <x:v>48</x:v>
      </x:c>
    </x:row>
    <x:row r="2697">
      <x:c r="A2697" t="str">
        <x:v>Stage01</x:v>
      </x:c>
      <x:c r="B2697" t="str">
        <x:v>WAVE_56</x:v>
      </x:c>
      <x:c r="C2697" s="409" t="n">
        <x:v>551.15</x:v>
      </x:c>
      <x:c r="D2697" s="410" t="n">
        <x:v>3</x:v>
      </x:c>
      <x:c r="E2697" t="str">
        <x:v>LEFT_03</x:v>
      </x:c>
      <x:c r="F2697" t="str">
        <x:v>GoblinMelee</x:v>
      </x:c>
      <x:c r="G2697" s="410" t="n">
        <x:v>48</x:v>
      </x:c>
    </x:row>
    <x:row r="2698">
      <x:c r="A2698" t="str">
        <x:v>Stage01</x:v>
      </x:c>
      <x:c r="B2698" t="str">
        <x:v>WAVE_56</x:v>
      </x:c>
      <x:c r="C2698" s="409" t="n">
        <x:v>551.23</x:v>
      </x:c>
      <x:c r="D2698" s="410" t="n">
        <x:v>4</x:v>
      </x:c>
      <x:c r="E2698" t="str">
        <x:v>TOP_05</x:v>
      </x:c>
      <x:c r="F2698" t="str">
        <x:v>ShieldSkeleton</x:v>
      </x:c>
      <x:c r="G2698" s="410" t="n">
        <x:v>47</x:v>
      </x:c>
    </x:row>
    <x:row r="2699">
      <x:c r="A2699" t="str">
        <x:v>Stage01</x:v>
      </x:c>
      <x:c r="B2699" t="str">
        <x:v>WAVE_56</x:v>
      </x:c>
      <x:c r="C2699" s="409" t="n">
        <x:v>551.31</x:v>
      </x:c>
      <x:c r="D2699" s="410" t="n">
        <x:v>5</x:v>
      </x:c>
      <x:c r="E2699" t="str">
        <x:v>RIGHT_06</x:v>
      </x:c>
      <x:c r="F2699" t="str">
        <x:v>GoblinMelee</x:v>
      </x:c>
      <x:c r="G2699" s="410" t="n">
        <x:v>48</x:v>
      </x:c>
    </x:row>
    <x:row r="2700">
      <x:c r="A2700" t="str">
        <x:v>Stage01</x:v>
      </x:c>
      <x:c r="B2700" t="str">
        <x:v>WAVE_56</x:v>
      </x:c>
      <x:c r="C2700" s="409" t="n">
        <x:v>551.39</x:v>
      </x:c>
      <x:c r="D2700" s="410" t="n">
        <x:v>6</x:v>
      </x:c>
      <x:c r="E2700" t="str">
        <x:v>BOTTOM_07</x:v>
      </x:c>
      <x:c r="F2700" t="str">
        <x:v>GoblinRanged</x:v>
      </x:c>
      <x:c r="G2700" s="410" t="n">
        <x:v>48</x:v>
      </x:c>
    </x:row>
    <x:row r="2701">
      <x:c r="A2701" t="str">
        <x:v>Stage01</x:v>
      </x:c>
      <x:c r="B2701" t="str">
        <x:v>WAVE_56</x:v>
      </x:c>
      <x:c r="C2701" s="409" t="n">
        <x:v>551.46</x:v>
      </x:c>
      <x:c r="D2701" s="410" t="n">
        <x:v>7</x:v>
      </x:c>
      <x:c r="E2701" t="str">
        <x:v>LEFT_08</x:v>
      </x:c>
      <x:c r="F2701" t="str">
        <x:v>GoblinMelee</x:v>
      </x:c>
      <x:c r="G2701" s="410" t="n">
        <x:v>48</x:v>
      </x:c>
    </x:row>
    <x:row r="2702">
      <x:c r="A2702" t="str">
        <x:v>Stage01</x:v>
      </x:c>
      <x:c r="B2702" t="str">
        <x:v>WAVE_56</x:v>
      </x:c>
      <x:c r="C2702" s="409" t="n">
        <x:v>551.54</x:v>
      </x:c>
      <x:c r="D2702" s="410" t="n">
        <x:v>8</x:v>
      </x:c>
      <x:c r="E2702" t="str">
        <x:v>TOP_02</x:v>
      </x:c>
      <x:c r="F2702" t="str">
        <x:v>GoblinMelee</x:v>
      </x:c>
      <x:c r="G2702" s="410" t="n">
        <x:v>48</x:v>
      </x:c>
    </x:row>
    <x:row r="2703">
      <x:c r="A2703" t="str">
        <x:v>Stage01</x:v>
      </x:c>
      <x:c r="B2703" t="str">
        <x:v>WAVE_56</x:v>
      </x:c>
      <x:c r="C2703" s="409" t="n">
        <x:v>551.62</x:v>
      </x:c>
      <x:c r="D2703" s="410" t="n">
        <x:v>9</x:v>
      </x:c>
      <x:c r="E2703" t="str">
        <x:v>RIGHT_03</x:v>
      </x:c>
      <x:c r="F2703" t="str">
        <x:v>GoblinRanged</x:v>
      </x:c>
      <x:c r="G2703" s="410" t="n">
        <x:v>48</x:v>
      </x:c>
    </x:row>
    <x:row r="2704">
      <x:c r="A2704" t="str">
        <x:v>Stage01</x:v>
      </x:c>
      <x:c r="B2704" t="str">
        <x:v>WAVE_56</x:v>
      </x:c>
      <x:c r="C2704" s="409" t="n">
        <x:v>551.7</x:v>
      </x:c>
      <x:c r="D2704" s="410" t="n">
        <x:v>10</x:v>
      </x:c>
      <x:c r="E2704" t="str">
        <x:v>BOTTOM_04</x:v>
      </x:c>
      <x:c r="F2704" t="str">
        <x:v>GoblinMelee</x:v>
      </x:c>
      <x:c r="G2704" s="410" t="n">
        <x:v>48</x:v>
      </x:c>
    </x:row>
    <x:row r="2705">
      <x:c r="A2705" t="str">
        <x:v>Stage01</x:v>
      </x:c>
      <x:c r="B2705" t="str">
        <x:v>WAVE_56</x:v>
      </x:c>
      <x:c r="C2705" s="409" t="n">
        <x:v>551.77</x:v>
      </x:c>
      <x:c r="D2705" s="410" t="n">
        <x:v>11</x:v>
      </x:c>
      <x:c r="E2705" t="str">
        <x:v>LEFT_05</x:v>
      </x:c>
      <x:c r="F2705" t="str">
        <x:v>ShieldSkeleton</x:v>
      </x:c>
      <x:c r="G2705" s="410" t="n">
        <x:v>48</x:v>
      </x:c>
    </x:row>
    <x:row r="2706">
      <x:c r="A2706" t="str">
        <x:v>Stage01</x:v>
      </x:c>
      <x:c r="B2706" t="str">
        <x:v>WAVE_56</x:v>
      </x:c>
      <x:c r="C2706" s="409" t="n">
        <x:v>551.85</x:v>
      </x:c>
      <x:c r="D2706" s="410" t="n">
        <x:v>12</x:v>
      </x:c>
      <x:c r="E2706" t="str">
        <x:v>TOP_07</x:v>
      </x:c>
      <x:c r="F2706" t="str">
        <x:v>GoblinMelee</x:v>
      </x:c>
      <x:c r="G2706" s="410" t="n">
        <x:v>47</x:v>
      </x:c>
    </x:row>
    <x:row r="2707">
      <x:c r="A2707" t="str">
        <x:v>Stage01</x:v>
      </x:c>
      <x:c r="B2707" t="str">
        <x:v>WAVE_56</x:v>
      </x:c>
      <x:c r="C2707" s="409" t="n">
        <x:v>551.93</x:v>
      </x:c>
      <x:c r="D2707" s="410" t="n">
        <x:v>13</x:v>
      </x:c>
      <x:c r="E2707" t="str">
        <x:v>RIGHT_08</x:v>
      </x:c>
      <x:c r="F2707" t="str">
        <x:v>GoblinRanged</x:v>
      </x:c>
      <x:c r="G2707" s="410" t="n">
        <x:v>48</x:v>
      </x:c>
    </x:row>
    <x:row r="2708">
      <x:c r="A2708" t="str">
        <x:v>Stage01</x:v>
      </x:c>
      <x:c r="B2708" t="str">
        <x:v>WAVE_56</x:v>
      </x:c>
      <x:c r="C2708" s="409" t="n">
        <x:v>552.01</x:v>
      </x:c>
      <x:c r="D2708" s="410" t="n">
        <x:v>14</x:v>
      </x:c>
      <x:c r="E2708" t="str">
        <x:v>BOTTOM_01</x:v>
      </x:c>
      <x:c r="F2708" t="str">
        <x:v>FlyingEye</x:v>
      </x:c>
      <x:c r="G2708" s="410" t="n">
        <x:v>48</x:v>
      </x:c>
    </x:row>
    <x:row r="2709">
      <x:c r="A2709" t="str">
        <x:v>Stage01</x:v>
      </x:c>
      <x:c r="B2709" t="str">
        <x:v>WAVE_56</x:v>
      </x:c>
      <x:c r="C2709" s="409" t="n">
        <x:v>552.08</x:v>
      </x:c>
      <x:c r="D2709" s="410" t="n">
        <x:v>15</x:v>
      </x:c>
      <x:c r="E2709" t="str">
        <x:v>LEFT_02</x:v>
      </x:c>
      <x:c r="F2709" t="str">
        <x:v>GoblinMelee</x:v>
      </x:c>
      <x:c r="G2709" s="410" t="n">
        <x:v>48</x:v>
      </x:c>
    </x:row>
    <x:row r="2710">
      <x:c r="A2710" t="str">
        <x:v>Stage01</x:v>
      </x:c>
      <x:c r="B2710" t="str">
        <x:v>WAVE_56</x:v>
      </x:c>
      <x:c r="C2710" s="409" t="n">
        <x:v>552.16</x:v>
      </x:c>
      <x:c r="D2710" s="410" t="n">
        <x:v>16</x:v>
      </x:c>
      <x:c r="E2710" t="str">
        <x:v>TOP_04</x:v>
      </x:c>
      <x:c r="F2710" t="str">
        <x:v>GoblinRanged</x:v>
      </x:c>
      <x:c r="G2710" s="410" t="n">
        <x:v>48</x:v>
      </x:c>
    </x:row>
    <x:row r="2711">
      <x:c r="A2711" t="str">
        <x:v>Stage01</x:v>
      </x:c>
      <x:c r="B2711" t="str">
        <x:v>WAVE_56</x:v>
      </x:c>
      <x:c r="C2711" s="409" t="n">
        <x:v>552.24</x:v>
      </x:c>
      <x:c r="D2711" s="410" t="n">
        <x:v>17</x:v>
      </x:c>
      <x:c r="E2711" t="str">
        <x:v>RIGHT_05</x:v>
      </x:c>
      <x:c r="F2711" t="str">
        <x:v>GoblinMelee</x:v>
      </x:c>
      <x:c r="G2711" s="410" t="n">
        <x:v>48</x:v>
      </x:c>
    </x:row>
    <x:row r="2712">
      <x:c r="A2712" t="str">
        <x:v>Stage01</x:v>
      </x:c>
      <x:c r="B2712" t="str">
        <x:v>WAVE_56</x:v>
      </x:c>
      <x:c r="C2712" s="409" t="n">
        <x:v>552.32</x:v>
      </x:c>
      <x:c r="D2712" s="410" t="n">
        <x:v>18</x:v>
      </x:c>
      <x:c r="E2712" t="str">
        <x:v>BOTTOM_06</x:v>
      </x:c>
      <x:c r="F2712" t="str">
        <x:v>ShieldSkeleton</x:v>
      </x:c>
      <x:c r="G2712" s="410" t="n">
        <x:v>48</x:v>
      </x:c>
    </x:row>
    <x:row r="2713">
      <x:c r="A2713" t="str">
        <x:v>Stage01</x:v>
      </x:c>
      <x:c r="B2713" t="str">
        <x:v>WAVE_56</x:v>
      </x:c>
      <x:c r="C2713" s="409" t="n">
        <x:v>552.39</x:v>
      </x:c>
      <x:c r="D2713" s="410" t="n">
        <x:v>19</x:v>
      </x:c>
      <x:c r="E2713" t="str">
        <x:v>LEFT_07</x:v>
      </x:c>
      <x:c r="F2713" t="str">
        <x:v>GoblinMelee</x:v>
      </x:c>
      <x:c r="G2713" s="410" t="n">
        <x:v>47</x:v>
      </x:c>
    </x:row>
    <x:row r="2714">
      <x:c r="A2714" t="str">
        <x:v>Stage01</x:v>
      </x:c>
      <x:c r="B2714" t="str">
        <x:v>WAVE_56</x:v>
      </x:c>
      <x:c r="C2714" s="409" t="n">
        <x:v>552.47</x:v>
      </x:c>
      <x:c r="D2714" s="410" t="n">
        <x:v>20</x:v>
      </x:c>
      <x:c r="E2714" t="str">
        <x:v>TOP_01</x:v>
      </x:c>
      <x:c r="F2714" t="str">
        <x:v>GoblinRanged</x:v>
      </x:c>
      <x:c r="G2714" s="410" t="n">
        <x:v>48</x:v>
      </x:c>
    </x:row>
    <x:row r="2715">
      <x:c r="A2715" t="str">
        <x:v>Stage01</x:v>
      </x:c>
      <x:c r="B2715" t="str">
        <x:v>WAVE_56</x:v>
      </x:c>
      <x:c r="C2715" s="409" t="n">
        <x:v>552.55</x:v>
      </x:c>
      <x:c r="D2715" s="410" t="n">
        <x:v>21</x:v>
      </x:c>
      <x:c r="E2715" t="str">
        <x:v>RIGHT_02</x:v>
      </x:c>
      <x:c r="F2715" t="str">
        <x:v>GoblinMelee</x:v>
      </x:c>
      <x:c r="G2715" s="410" t="n">
        <x:v>48</x:v>
      </x:c>
    </x:row>
    <x:row r="2716">
      <x:c r="A2716" t="str">
        <x:v>Stage01</x:v>
      </x:c>
      <x:c r="B2716" t="str">
        <x:v>WAVE_56</x:v>
      </x:c>
      <x:c r="C2716" s="409" t="n">
        <x:v>552.63</x:v>
      </x:c>
      <x:c r="D2716" s="410" t="n">
        <x:v>22</x:v>
      </x:c>
      <x:c r="E2716" t="str">
        <x:v>BOTTOM_03</x:v>
      </x:c>
      <x:c r="F2716" t="str">
        <x:v>GoblinRanged</x:v>
      </x:c>
      <x:c r="G2716" s="410" t="n">
        <x:v>48</x:v>
      </x:c>
    </x:row>
    <x:row r="2717">
      <x:c r="A2717" t="str">
        <x:v>Stage01</x:v>
      </x:c>
      <x:c r="B2717" t="str">
        <x:v>WAVE_56</x:v>
      </x:c>
      <x:c r="C2717" s="409" t="n">
        <x:v>552.7</x:v>
      </x:c>
      <x:c r="D2717" s="410" t="n">
        <x:v>23</x:v>
      </x:c>
      <x:c r="E2717" t="str">
        <x:v>LEFT_04</x:v>
      </x:c>
      <x:c r="F2717" t="str">
        <x:v>GoblinMelee</x:v>
      </x:c>
      <x:c r="G2717" s="410" t="n">
        <x:v>48</x:v>
      </x:c>
    </x:row>
    <x:row r="2718">
      <x:c r="A2718" t="str">
        <x:v>Stage01</x:v>
      </x:c>
      <x:c r="B2718" t="str">
        <x:v>WAVE_56</x:v>
      </x:c>
      <x:c r="C2718" s="409" t="n">
        <x:v>552.78</x:v>
      </x:c>
      <x:c r="D2718" s="410" t="n">
        <x:v>24</x:v>
      </x:c>
      <x:c r="E2718" t="str">
        <x:v>TOP_06</x:v>
      </x:c>
      <x:c r="F2718" t="str">
        <x:v>GoblinMelee</x:v>
      </x:c>
      <x:c r="G2718" s="410" t="n">
        <x:v>48</x:v>
      </x:c>
    </x:row>
    <x:row r="2719">
      <x:c r="A2719" t="str">
        <x:v>Stage01</x:v>
      </x:c>
      <x:c r="B2719" t="str">
        <x:v>WAVE_56</x:v>
      </x:c>
      <x:c r="C2719" s="409" t="n">
        <x:v>552.86</x:v>
      </x:c>
      <x:c r="D2719" s="410" t="n">
        <x:v>25</x:v>
      </x:c>
      <x:c r="E2719" t="str">
        <x:v>RIGHT_07</x:v>
      </x:c>
      <x:c r="F2719" t="str">
        <x:v>ShieldSkeleton</x:v>
      </x:c>
      <x:c r="G2719" s="410" t="n">
        <x:v>48</x:v>
      </x:c>
    </x:row>
    <x:row r="2720">
      <x:c r="A2720" t="str">
        <x:v>Stage01</x:v>
      </x:c>
      <x:c r="B2720" t="str">
        <x:v>WAVE_56</x:v>
      </x:c>
      <x:c r="C2720" s="409" t="n">
        <x:v>552.94</x:v>
      </x:c>
      <x:c r="D2720" s="410" t="n">
        <x:v>26</x:v>
      </x:c>
      <x:c r="E2720" t="str">
        <x:v>BOTTOM_08</x:v>
      </x:c>
      <x:c r="F2720" t="str">
        <x:v>GoblinRanged</x:v>
      </x:c>
      <x:c r="G2720" s="410" t="n">
        <x:v>48</x:v>
      </x:c>
    </x:row>
    <x:row r="2721">
      <x:c r="A2721" t="str">
        <x:v>Stage01</x:v>
      </x:c>
      <x:c r="B2721" t="str">
        <x:v>WAVE_56</x:v>
      </x:c>
      <x:c r="C2721" s="409" t="n">
        <x:v>553.01</x:v>
      </x:c>
      <x:c r="D2721" s="410" t="n">
        <x:v>27</x:v>
      </x:c>
      <x:c r="E2721" t="str">
        <x:v>LEFT_01</x:v>
      </x:c>
      <x:c r="F2721" t="str">
        <x:v>GoblinMelee</x:v>
      </x:c>
      <x:c r="G2721" s="410" t="n">
        <x:v>47</x:v>
      </x:c>
    </x:row>
    <x:row r="2722">
      <x:c r="A2722" t="str">
        <x:v>Stage01</x:v>
      </x:c>
      <x:c r="B2722" t="str">
        <x:v>WAVE_56</x:v>
      </x:c>
      <x:c r="C2722" s="409" t="n">
        <x:v>553.09</x:v>
      </x:c>
      <x:c r="D2722" s="410" t="n">
        <x:v>28</x:v>
      </x:c>
      <x:c r="E2722" t="str">
        <x:v>TOP_03</x:v>
      </x:c>
      <x:c r="F2722" t="str">
        <x:v>FlyingEye</x:v>
      </x:c>
      <x:c r="G2722" s="410" t="n">
        <x:v>48</x:v>
      </x:c>
    </x:row>
    <x:row r="2723">
      <x:c r="A2723" t="str">
        <x:v>Stage01</x:v>
      </x:c>
      <x:c r="B2723" t="str">
        <x:v>WAVE_56</x:v>
      </x:c>
      <x:c r="C2723" s="409" t="n">
        <x:v>553.17</x:v>
      </x:c>
      <x:c r="D2723" s="410" t="n">
        <x:v>29</x:v>
      </x:c>
      <x:c r="E2723" t="str">
        <x:v>RIGHT_04</x:v>
      </x:c>
      <x:c r="F2723" t="str">
        <x:v>GoblinRanged</x:v>
      </x:c>
      <x:c r="G2723" s="410" t="n">
        <x:v>48</x:v>
      </x:c>
    </x:row>
    <x:row r="2724">
      <x:c r="A2724" t="str">
        <x:v>Stage01</x:v>
      </x:c>
      <x:c r="B2724" t="str">
        <x:v>WAVE_56</x:v>
      </x:c>
      <x:c r="C2724" s="409" t="n">
        <x:v>553.25</x:v>
      </x:c>
      <x:c r="D2724" s="410" t="n">
        <x:v>30</x:v>
      </x:c>
      <x:c r="E2724" t="str">
        <x:v>BOTTOM_05</x:v>
      </x:c>
      <x:c r="F2724" t="str">
        <x:v>GoblinMelee</x:v>
      </x:c>
      <x:c r="G2724" s="410" t="n">
        <x:v>48</x:v>
      </x:c>
    </x:row>
    <x:row r="2725">
      <x:c r="A2725" t="str">
        <x:v>Stage01</x:v>
      </x:c>
      <x:c r="B2725" t="str">
        <x:v>WAVE_56</x:v>
      </x:c>
      <x:c r="C2725" s="409" t="n">
        <x:v>553.32</x:v>
      </x:c>
      <x:c r="D2725" s="410" t="n">
        <x:v>31</x:v>
      </x:c>
      <x:c r="E2725" t="str">
        <x:v>LEFT_06</x:v>
      </x:c>
      <x:c r="F2725" t="str">
        <x:v>GoblinMelee</x:v>
      </x:c>
      <x:c r="G2725" s="410" t="n">
        <x:v>48</x:v>
      </x:c>
    </x:row>
    <x:row r="2726">
      <x:c r="A2726" t="str">
        <x:v>Stage01</x:v>
      </x:c>
      <x:c r="B2726" t="str">
        <x:v>WAVE_56</x:v>
      </x:c>
      <x:c r="C2726" s="409" t="n">
        <x:v>553.4</x:v>
      </x:c>
      <x:c r="D2726" s="410" t="n">
        <x:v>32</x:v>
      </x:c>
      <x:c r="E2726" t="str">
        <x:v>TOP_08</x:v>
      </x:c>
      <x:c r="F2726" t="str">
        <x:v>ShieldSkeleton</x:v>
      </x:c>
      <x:c r="G2726" s="410" t="n">
        <x:v>48</x:v>
      </x:c>
    </x:row>
    <x:row r="2727">
      <x:c r="A2727" t="str">
        <x:v>Stage01</x:v>
      </x:c>
      <x:c r="B2727" t="str">
        <x:v>WAVE_56</x:v>
      </x:c>
      <x:c r="C2727" s="409" t="n">
        <x:v>553.48</x:v>
      </x:c>
      <x:c r="D2727" s="410" t="n">
        <x:v>33</x:v>
      </x:c>
      <x:c r="E2727" t="str">
        <x:v>RIGHT_01</x:v>
      </x:c>
      <x:c r="F2727" t="str">
        <x:v>GoblinRanged</x:v>
      </x:c>
      <x:c r="G2727" s="410" t="n">
        <x:v>48</x:v>
      </x:c>
    </x:row>
    <x:row r="2728">
      <x:c r="A2728" t="str">
        <x:v>Stage01</x:v>
      </x:c>
      <x:c r="B2728" t="str">
        <x:v>WAVE_56</x:v>
      </x:c>
      <x:c r="C2728" s="409" t="n">
        <x:v>553.56</x:v>
      </x:c>
      <x:c r="D2728" s="410" t="n">
        <x:v>34</x:v>
      </x:c>
      <x:c r="E2728" t="str">
        <x:v>BOTTOM_02</x:v>
      </x:c>
      <x:c r="F2728" t="str">
        <x:v>GoblinMelee</x:v>
      </x:c>
      <x:c r="G2728" s="410" t="n">
        <x:v>47</x:v>
      </x:c>
    </x:row>
    <x:row r="2729">
      <x:c r="A2729" t="str">
        <x:v>Stage01</x:v>
      </x:c>
      <x:c r="B2729" t="str">
        <x:v>WAVE_56</x:v>
      </x:c>
      <x:c r="C2729" s="409" t="n">
        <x:v>553.63</x:v>
      </x:c>
      <x:c r="D2729" s="410" t="n">
        <x:v>35</x:v>
      </x:c>
      <x:c r="E2729" t="str">
        <x:v>LEFT_03</x:v>
      </x:c>
      <x:c r="F2729" t="str">
        <x:v>GoblinMelee</x:v>
      </x:c>
      <x:c r="G2729" s="410" t="n">
        <x:v>48</x:v>
      </x:c>
    </x:row>
    <x:row r="2730">
      <x:c r="A2730" t="str">
        <x:v>Stage01</x:v>
      </x:c>
      <x:c r="B2730" t="str">
        <x:v>WAVE_56</x:v>
      </x:c>
      <x:c r="C2730" s="409" t="n">
        <x:v>553.71</x:v>
      </x:c>
      <x:c r="D2730" s="410" t="n">
        <x:v>36</x:v>
      </x:c>
      <x:c r="E2730" t="str">
        <x:v>TOP_05</x:v>
      </x:c>
      <x:c r="F2730" t="str">
        <x:v>GoblinRanged</x:v>
      </x:c>
      <x:c r="G2730" s="410" t="n">
        <x:v>48</x:v>
      </x:c>
    </x:row>
    <x:row r="2731">
      <x:c r="A2731" t="str">
        <x:v>Stage01</x:v>
      </x:c>
      <x:c r="B2731" t="str">
        <x:v>WAVE_56</x:v>
      </x:c>
      <x:c r="C2731" s="409" t="n">
        <x:v>553.79</x:v>
      </x:c>
      <x:c r="D2731" s="410" t="n">
        <x:v>37</x:v>
      </x:c>
      <x:c r="E2731" t="str">
        <x:v>RIGHT_06</x:v>
      </x:c>
      <x:c r="F2731" t="str">
        <x:v>GoblinMelee</x:v>
      </x:c>
      <x:c r="G2731" s="410" t="n">
        <x:v>48</x:v>
      </x:c>
    </x:row>
    <x:row r="2732">
      <x:c r="A2732" t="str">
        <x:v>Stage01</x:v>
      </x:c>
      <x:c r="B2732" t="str">
        <x:v>WAVE_56</x:v>
      </x:c>
      <x:c r="C2732" s="409" t="n">
        <x:v>553.87</x:v>
      </x:c>
      <x:c r="D2732" s="410" t="n">
        <x:v>38</x:v>
      </x:c>
      <x:c r="E2732" t="str">
        <x:v>BOTTOM_07</x:v>
      </x:c>
      <x:c r="F2732" t="str">
        <x:v>ShieldSkeleton</x:v>
      </x:c>
      <x:c r="G2732" s="410" t="n">
        <x:v>48</x:v>
      </x:c>
    </x:row>
    <x:row r="2733">
      <x:c r="A2733" t="str">
        <x:v>Stage01</x:v>
      </x:c>
      <x:c r="B2733" t="str">
        <x:v>WAVE_56</x:v>
      </x:c>
      <x:c r="C2733" s="409" t="n">
        <x:v>553.94</x:v>
      </x:c>
      <x:c r="D2733" s="410" t="n">
        <x:v>39</x:v>
      </x:c>
      <x:c r="E2733" t="str">
        <x:v>LEFT_08</x:v>
      </x:c>
      <x:c r="F2733" t="str">
        <x:v>GoblinMelee</x:v>
      </x:c>
      <x:c r="G2733" s="410" t="n">
        <x:v>48</x:v>
      </x:c>
    </x:row>
    <x:row r="2734">
      <x:c r="A2734" t="str">
        <x:v>Stage01</x:v>
      </x:c>
      <x:c r="B2734" t="str">
        <x:v>WAVE_56</x:v>
      </x:c>
      <x:c r="C2734" s="409" t="n">
        <x:v>554.02</x:v>
      </x:c>
      <x:c r="D2734" s="410" t="n">
        <x:v>40</x:v>
      </x:c>
      <x:c r="E2734" t="str">
        <x:v>TOP_02</x:v>
      </x:c>
      <x:c r="F2734" t="str">
        <x:v>GoblinRanged</x:v>
      </x:c>
      <x:c r="G2734" s="410" t="n">
        <x:v>48</x:v>
      </x:c>
    </x:row>
    <x:row r="2735">
      <x:c r="A2735" t="str">
        <x:v>Stage01</x:v>
      </x:c>
      <x:c r="B2735" t="str">
        <x:v>WAVE_56</x:v>
      </x:c>
      <x:c r="C2735" s="409" t="n">
        <x:v>554.1</x:v>
      </x:c>
      <x:c r="D2735" s="410" t="n">
        <x:v>41</x:v>
      </x:c>
      <x:c r="E2735" t="str">
        <x:v>RIGHT_03</x:v>
      </x:c>
      <x:c r="F2735" t="str">
        <x:v>GoblinMelee</x:v>
      </x:c>
      <x:c r="G2735" s="410" t="n">
        <x:v>48</x:v>
      </x:c>
    </x:row>
    <x:row r="2736">
      <x:c r="A2736" t="str">
        <x:v>Stage01</x:v>
      </x:c>
      <x:c r="B2736" t="str">
        <x:v>WAVE_56</x:v>
      </x:c>
      <x:c r="C2736" s="409" t="n">
        <x:v>554.18</x:v>
      </x:c>
      <x:c r="D2736" s="410" t="n">
        <x:v>42</x:v>
      </x:c>
      <x:c r="E2736" t="str">
        <x:v>BOTTOM_04</x:v>
      </x:c>
      <x:c r="F2736" t="str">
        <x:v>FlyingEye</x:v>
      </x:c>
      <x:c r="G2736" s="410" t="n">
        <x:v>47</x:v>
      </x:c>
    </x:row>
    <x:row r="2737">
      <x:c r="A2737" t="str">
        <x:v>Stage01</x:v>
      </x:c>
      <x:c r="B2737" t="str">
        <x:v>WAVE_56</x:v>
      </x:c>
      <x:c r="C2737" s="409" t="n">
        <x:v>554.25</x:v>
      </x:c>
      <x:c r="D2737" s="410" t="n">
        <x:v>43</x:v>
      </x:c>
      <x:c r="E2737" t="str">
        <x:v>LEFT_05</x:v>
      </x:c>
      <x:c r="F2737" t="str">
        <x:v>GoblinRanged</x:v>
      </x:c>
      <x:c r="G2737" s="410" t="n">
        <x:v>48</x:v>
      </x:c>
    </x:row>
    <x:row r="2738">
      <x:c r="A2738" t="str">
        <x:v>Stage01</x:v>
      </x:c>
      <x:c r="B2738" t="str">
        <x:v>WAVE_56</x:v>
      </x:c>
      <x:c r="C2738" s="409" t="n">
        <x:v>554.33</x:v>
      </x:c>
      <x:c r="D2738" s="410" t="n">
        <x:v>44</x:v>
      </x:c>
      <x:c r="E2738" t="str">
        <x:v>TOP_07</x:v>
      </x:c>
      <x:c r="F2738" t="str">
        <x:v>GoblinMelee</x:v>
      </x:c>
      <x:c r="G2738" s="410" t="n">
        <x:v>48</x:v>
      </x:c>
    </x:row>
    <x:row r="2739">
      <x:c r="A2739" t="str">
        <x:v>Stage01</x:v>
      </x:c>
      <x:c r="B2739" t="str">
        <x:v>WAVE_56</x:v>
      </x:c>
      <x:c r="C2739" s="409" t="n">
        <x:v>554.41</x:v>
      </x:c>
      <x:c r="D2739" s="410" t="n">
        <x:v>45</x:v>
      </x:c>
      <x:c r="E2739" t="str">
        <x:v>RIGHT_08</x:v>
      </x:c>
      <x:c r="F2739" t="str">
        <x:v>ShieldSkeleton</x:v>
      </x:c>
      <x:c r="G2739" s="410" t="n">
        <x:v>48</x:v>
      </x:c>
    </x:row>
    <x:row r="2740">
      <x:c r="A2740" t="str">
        <x:v>Stage01</x:v>
      </x:c>
      <x:c r="B2740" t="str">
        <x:v>WAVE_56</x:v>
      </x:c>
      <x:c r="C2740" s="409" t="n">
        <x:v>554.49</x:v>
      </x:c>
      <x:c r="D2740" s="410" t="n">
        <x:v>46</x:v>
      </x:c>
      <x:c r="E2740" t="str">
        <x:v>BOTTOM_01</x:v>
      </x:c>
      <x:c r="F2740" t="str">
        <x:v>GoblinMelee</x:v>
      </x:c>
      <x:c r="G2740" s="410" t="n">
        <x:v>48</x:v>
      </x:c>
    </x:row>
    <x:row r="2741">
      <x:c r="A2741" t="str">
        <x:v>Stage01</x:v>
      </x:c>
      <x:c r="B2741" t="str">
        <x:v>WAVE_56</x:v>
      </x:c>
      <x:c r="C2741" s="409" t="n">
        <x:v>554.56</x:v>
      </x:c>
      <x:c r="D2741" s="410" t="n">
        <x:v>47</x:v>
      </x:c>
      <x:c r="E2741" t="str">
        <x:v>LEFT_02</x:v>
      </x:c>
      <x:c r="F2741" t="str">
        <x:v>GoblinRanged</x:v>
      </x:c>
      <x:c r="G2741" s="410" t="n">
        <x:v>48</x:v>
      </x:c>
    </x:row>
    <x:row r="2742">
      <x:c r="A2742" t="str">
        <x:v>Stage01</x:v>
      </x:c>
      <x:c r="B2742" t="str">
        <x:v>WAVE_56</x:v>
      </x:c>
      <x:c r="C2742" s="409" t="n">
        <x:v>554.64</x:v>
      </x:c>
      <x:c r="D2742" s="410" t="n">
        <x:v>48</x:v>
      </x:c>
      <x:c r="E2742" t="str">
        <x:v>TOP_04</x:v>
      </x:c>
      <x:c r="F2742" t="str">
        <x:v>GoblinMelee</x:v>
      </x:c>
      <x:c r="G2742" s="410" t="n">
        <x:v>48</x:v>
      </x:c>
    </x:row>
    <x:row r="2743">
      <x:c r="A2743" t="str">
        <x:v>Stage01</x:v>
      </x:c>
      <x:c r="B2743" t="str">
        <x:v>WAVE_56</x:v>
      </x:c>
      <x:c r="C2743" s="409" t="n">
        <x:v>554.72</x:v>
      </x:c>
      <x:c r="D2743" s="410" t="n">
        <x:v>49</x:v>
      </x:c>
      <x:c r="E2743" t="str">
        <x:v>RIGHT_05</x:v>
      </x:c>
      <x:c r="F2743" t="str">
        <x:v>GoblinMelee</x:v>
      </x:c>
      <x:c r="G2743" s="410" t="n">
        <x:v>47</x:v>
      </x:c>
    </x:row>
    <x:row r="2744">
      <x:c r="A2744" t="str">
        <x:v>Stage01</x:v>
      </x:c>
      <x:c r="B2744" t="str">
        <x:v>WAVE_56</x:v>
      </x:c>
      <x:c r="C2744" s="409" t="n">
        <x:v>554.8</x:v>
      </x:c>
      <x:c r="D2744" s="410" t="n">
        <x:v>50</x:v>
      </x:c>
      <x:c r="E2744" t="str">
        <x:v>BOTTOM_06</x:v>
      </x:c>
      <x:c r="F2744" t="str">
        <x:v>GoblinRanged</x:v>
      </x:c>
      <x:c r="G2744" s="410" t="n">
        <x:v>48</x:v>
      </x:c>
    </x:row>
    <x:row r="2745">
      <x:c r="A2745" t="str">
        <x:v>Stage01</x:v>
      </x:c>
      <x:c r="B2745" t="str">
        <x:v>WAVE_56</x:v>
      </x:c>
      <x:c r="C2745" s="409" t="n">
        <x:v>554.87</x:v>
      </x:c>
      <x:c r="D2745" s="410" t="n">
        <x:v>51</x:v>
      </x:c>
      <x:c r="E2745" t="str">
        <x:v>LEFT_07</x:v>
      </x:c>
      <x:c r="F2745" t="str">
        <x:v>GoblinMelee</x:v>
      </x:c>
      <x:c r="G2745" s="410" t="n">
        <x:v>48</x:v>
      </x:c>
    </x:row>
    <x:row r="2746">
      <x:c r="A2746" t="str">
        <x:v>Stage01</x:v>
      </x:c>
      <x:c r="B2746" t="str">
        <x:v>WAVE_56</x:v>
      </x:c>
      <x:c r="C2746" s="409" t="n">
        <x:v>554.95</x:v>
      </x:c>
      <x:c r="D2746" s="410" t="n">
        <x:v>52</x:v>
      </x:c>
      <x:c r="E2746" t="str">
        <x:v>TOP_01</x:v>
      </x:c>
      <x:c r="F2746" t="str">
        <x:v>ShieldSkeleton</x:v>
      </x:c>
      <x:c r="G2746" s="410" t="n">
        <x:v>48</x:v>
      </x:c>
    </x:row>
    <x:row r="2747">
      <x:c r="A2747" t="str">
        <x:v>Stage01</x:v>
      </x:c>
      <x:c r="B2747" t="str">
        <x:v>WAVE_56</x:v>
      </x:c>
      <x:c r="C2747" s="409" t="n">
        <x:v>555.03</x:v>
      </x:c>
      <x:c r="D2747" s="410" t="n">
        <x:v>53</x:v>
      </x:c>
      <x:c r="E2747" t="str">
        <x:v>RIGHT_02</x:v>
      </x:c>
      <x:c r="F2747" t="str">
        <x:v>GoblinMelee</x:v>
      </x:c>
      <x:c r="G2747" s="410" t="n">
        <x:v>48</x:v>
      </x:c>
    </x:row>
    <x:row r="2748">
      <x:c r="A2748" t="str">
        <x:v>Stage01</x:v>
      </x:c>
      <x:c r="B2748" t="str">
        <x:v>WAVE_56</x:v>
      </x:c>
      <x:c r="C2748" s="409" t="n">
        <x:v>555.11</x:v>
      </x:c>
      <x:c r="D2748" s="410" t="n">
        <x:v>54</x:v>
      </x:c>
      <x:c r="E2748" t="str">
        <x:v>BOTTOM_03</x:v>
      </x:c>
      <x:c r="F2748" t="str">
        <x:v>GoblinRanged</x:v>
      </x:c>
      <x:c r="G2748" s="410" t="n">
        <x:v>48</x:v>
      </x:c>
    </x:row>
    <x:row r="2749">
      <x:c r="A2749" t="str">
        <x:v>Stage01</x:v>
      </x:c>
      <x:c r="B2749" t="str">
        <x:v>WAVE_56</x:v>
      </x:c>
      <x:c r="C2749" s="409" t="n">
        <x:v>555.18</x:v>
      </x:c>
      <x:c r="D2749" s="410" t="n">
        <x:v>55</x:v>
      </x:c>
      <x:c r="E2749" t="str">
        <x:v>LEFT_04</x:v>
      </x:c>
      <x:c r="F2749" t="str">
        <x:v>GoblinMelee</x:v>
      </x:c>
      <x:c r="G2749" s="410" t="n">
        <x:v>48</x:v>
      </x:c>
    </x:row>
    <x:row r="2750">
      <x:c r="A2750" t="str">
        <x:v>Stage01</x:v>
      </x:c>
      <x:c r="B2750" t="str">
        <x:v>WAVE_56</x:v>
      </x:c>
      <x:c r="C2750" s="409" t="n">
        <x:v>555.26</x:v>
      </x:c>
      <x:c r="D2750" s="410" t="n">
        <x:v>56</x:v>
      </x:c>
      <x:c r="E2750" t="str">
        <x:v>TOP_06</x:v>
      </x:c>
      <x:c r="F2750" t="str">
        <x:v>FlyingEye</x:v>
      </x:c>
      <x:c r="G2750" s="410" t="n">
        <x:v>47</x:v>
      </x:c>
    </x:row>
    <x:row r="2751">
      <x:c r="A2751" t="str">
        <x:v>Stage01</x:v>
      </x:c>
      <x:c r="B2751" t="str">
        <x:v>WAVE_56</x:v>
      </x:c>
      <x:c r="C2751" s="409" t="n">
        <x:v>555.34</x:v>
      </x:c>
      <x:c r="D2751" s="410" t="n">
        <x:v>57</x:v>
      </x:c>
      <x:c r="E2751" t="str">
        <x:v>RIGHT_07</x:v>
      </x:c>
      <x:c r="F2751" t="str">
        <x:v>GoblinRanged</x:v>
      </x:c>
      <x:c r="G2751" s="410" t="n">
        <x:v>48</x:v>
      </x:c>
    </x:row>
    <x:row r="2752">
      <x:c r="A2752" t="str">
        <x:v>Stage01</x:v>
      </x:c>
      <x:c r="B2752" t="str">
        <x:v>WAVE_56</x:v>
      </x:c>
      <x:c r="C2752" s="409" t="n">
        <x:v>555.42</x:v>
      </x:c>
      <x:c r="D2752" s="410" t="n">
        <x:v>58</x:v>
      </x:c>
      <x:c r="E2752" t="str">
        <x:v>BOTTOM_08</x:v>
      </x:c>
      <x:c r="F2752" t="str">
        <x:v>GoblinMelee</x:v>
      </x:c>
      <x:c r="G2752" s="410" t="n">
        <x:v>48</x:v>
      </x:c>
    </x:row>
    <x:row r="2753">
      <x:c r="A2753" t="str">
        <x:v>Stage01</x:v>
      </x:c>
      <x:c r="B2753" t="str">
        <x:v>WAVE_56</x:v>
      </x:c>
      <x:c r="C2753" s="409" t="n">
        <x:v>555.49</x:v>
      </x:c>
      <x:c r="D2753" s="410" t="n">
        <x:v>59</x:v>
      </x:c>
      <x:c r="E2753" t="str">
        <x:v>LEFT_01</x:v>
      </x:c>
      <x:c r="F2753" t="str">
        <x:v>ShieldSkeleton</x:v>
      </x:c>
      <x:c r="G2753" s="410" t="n">
        <x:v>48</x:v>
      </x:c>
    </x:row>
    <x:row r="2754">
      <x:c r="A2754" t="str">
        <x:v>Stage01</x:v>
      </x:c>
      <x:c r="B2754" t="str">
        <x:v>WAVE_56</x:v>
      </x:c>
      <x:c r="C2754" s="409" t="n">
        <x:v>555.57</x:v>
      </x:c>
      <x:c r="D2754" s="410" t="n">
        <x:v>60</x:v>
      </x:c>
      <x:c r="E2754" t="str">
        <x:v>TOP_03</x:v>
      </x:c>
      <x:c r="F2754" t="str">
        <x:v>GoblinMelee</x:v>
      </x:c>
      <x:c r="G2754" s="410" t="n">
        <x:v>48</x:v>
      </x:c>
    </x:row>
    <x:row r="2755">
      <x:c r="A2755" t="str">
        <x:v>Stage01</x:v>
      </x:c>
      <x:c r="B2755" t="str">
        <x:v>WAVE_56</x:v>
      </x:c>
      <x:c r="C2755" s="409" t="n">
        <x:v>555.65</x:v>
      </x:c>
      <x:c r="D2755" s="410" t="n">
        <x:v>61</x:v>
      </x:c>
      <x:c r="E2755" t="str">
        <x:v>RIGHT_04</x:v>
      </x:c>
      <x:c r="F2755" t="str">
        <x:v>GoblinRanged</x:v>
      </x:c>
      <x:c r="G2755" s="410" t="n">
        <x:v>48</x:v>
      </x:c>
    </x:row>
    <x:row r="2756">
      <x:c r="A2756" t="str">
        <x:v>Stage01</x:v>
      </x:c>
      <x:c r="B2756" t="str">
        <x:v>WAVE_56</x:v>
      </x:c>
      <x:c r="C2756" s="409" t="n">
        <x:v>555.73</x:v>
      </x:c>
      <x:c r="D2756" s="410" t="n">
        <x:v>62</x:v>
      </x:c>
      <x:c r="E2756" t="str">
        <x:v>BOTTOM_05</x:v>
      </x:c>
      <x:c r="F2756" t="str">
        <x:v>GoblinMelee</x:v>
      </x:c>
      <x:c r="G2756" s="410" t="n">
        <x:v>48</x:v>
      </x:c>
    </x:row>
    <x:row r="2757">
      <x:c r="A2757" t="str">
        <x:v>Stage01</x:v>
      </x:c>
      <x:c r="B2757" t="str">
        <x:v>WAVE_56</x:v>
      </x:c>
      <x:c r="C2757" s="409" t="n">
        <x:v>555.8</x:v>
      </x:c>
      <x:c r="D2757" s="410" t="n">
        <x:v>63</x:v>
      </x:c>
      <x:c r="E2757" t="str">
        <x:v>LEFT_06</x:v>
      </x:c>
      <x:c r="F2757" t="str">
        <x:v>GoblinRanged</x:v>
      </x:c>
      <x:c r="G2757" s="410" t="n">
        <x:v>48</x:v>
      </x:c>
    </x:row>
    <x:row r="2758">
      <x:c r="A2758" t="str">
        <x:v>Stage01</x:v>
      </x:c>
      <x:c r="B2758" t="str">
        <x:v>WAVE_56</x:v>
      </x:c>
      <x:c r="C2758" s="409" t="n">
        <x:v>555.88</x:v>
      </x:c>
      <x:c r="D2758" s="410" t="n">
        <x:v>64</x:v>
      </x:c>
      <x:c r="E2758" t="str">
        <x:v>TOP_08</x:v>
      </x:c>
      <x:c r="F2758" t="str">
        <x:v>GoblinMelee</x:v>
      </x:c>
      <x:c r="G2758" s="410" t="n">
        <x:v>47</x:v>
      </x:c>
    </x:row>
    <x:row r="2759">
      <x:c r="A2759" t="str">
        <x:v>Stage01</x:v>
      </x:c>
      <x:c r="B2759" t="str">
        <x:v>WAVE_56</x:v>
      </x:c>
      <x:c r="C2759" s="409" t="n">
        <x:v>555.96</x:v>
      </x:c>
      <x:c r="D2759" s="410" t="n">
        <x:v>65</x:v>
      </x:c>
      <x:c r="E2759" t="str">
        <x:v>RIGHT_01</x:v>
      </x:c>
      <x:c r="F2759" t="str">
        <x:v>GoblinMelee</x:v>
      </x:c>
      <x:c r="G2759" s="410" t="n">
        <x:v>48</x:v>
      </x:c>
    </x:row>
    <x:row r="2760">
      <x:c r="A2760" t="str">
        <x:v>Stage01</x:v>
      </x:c>
      <x:c r="B2760" t="str">
        <x:v>WAVE_56</x:v>
      </x:c>
      <x:c r="C2760" s="409" t="n">
        <x:v>556.04</x:v>
      </x:c>
      <x:c r="D2760" s="410" t="n">
        <x:v>66</x:v>
      </x:c>
      <x:c r="E2760" t="str">
        <x:v>BOTTOM_02</x:v>
      </x:c>
      <x:c r="F2760" t="str">
        <x:v>GoblinRanged</x:v>
      </x:c>
      <x:c r="G2760" s="410" t="n">
        <x:v>48</x:v>
      </x:c>
    </x:row>
    <x:row r="2761">
      <x:c r="A2761" t="str">
        <x:v>Stage01</x:v>
      </x:c>
      <x:c r="B2761" t="str">
        <x:v>WAVE_56</x:v>
      </x:c>
      <x:c r="C2761" s="409" t="n">
        <x:v>556.11</x:v>
      </x:c>
      <x:c r="D2761" s="410" t="n">
        <x:v>67</x:v>
      </x:c>
      <x:c r="E2761" t="str">
        <x:v>LEFT_03</x:v>
      </x:c>
      <x:c r="F2761" t="str">
        <x:v>GoblinMelee</x:v>
      </x:c>
      <x:c r="G2761" s="410" t="n">
        <x:v>48</x:v>
      </x:c>
    </x:row>
    <x:row r="2762">
      <x:c r="A2762" t="str">
        <x:v>Stage01</x:v>
      </x:c>
      <x:c r="B2762" t="str">
        <x:v>WAVE_56</x:v>
      </x:c>
      <x:c r="C2762" s="409" t="n">
        <x:v>556.19</x:v>
      </x:c>
      <x:c r="D2762" s="410" t="n">
        <x:v>68</x:v>
      </x:c>
      <x:c r="E2762" t="str">
        <x:v>TOP_05</x:v>
      </x:c>
      <x:c r="F2762" t="str">
        <x:v>ShieldSkeleton</x:v>
      </x:c>
      <x:c r="G2762" s="410" t="n">
        <x:v>48</x:v>
      </x:c>
    </x:row>
    <x:row r="2763">
      <x:c r="A2763" t="str">
        <x:v>Stage01</x:v>
      </x:c>
      <x:c r="B2763" t="str">
        <x:v>WAVE_56</x:v>
      </x:c>
      <x:c r="C2763" s="409" t="n">
        <x:v>556.27</x:v>
      </x:c>
      <x:c r="D2763" s="410" t="n">
        <x:v>69</x:v>
      </x:c>
      <x:c r="E2763" t="str">
        <x:v>RIGHT_06</x:v>
      </x:c>
      <x:c r="F2763" t="str">
        <x:v>GoblinMelee</x:v>
      </x:c>
      <x:c r="G2763" s="410" t="n">
        <x:v>48</x:v>
      </x:c>
    </x:row>
    <x:row r="2764">
      <x:c r="A2764" t="str">
        <x:v>Stage01</x:v>
      </x:c>
      <x:c r="B2764" t="str">
        <x:v>WAVE_56</x:v>
      </x:c>
      <x:c r="C2764" s="409" t="n">
        <x:v>556.35</x:v>
      </x:c>
      <x:c r="D2764" s="410" t="n">
        <x:v>70</x:v>
      </x:c>
      <x:c r="E2764" t="str">
        <x:v>BOTTOM_07</x:v>
      </x:c>
      <x:c r="F2764" t="str">
        <x:v>GoblinRanged</x:v>
      </x:c>
      <x:c r="G2764" s="410" t="n">
        <x:v>48</x:v>
      </x:c>
    </x:row>
    <x:row r="2765">
      <x:c r="A2765" t="str">
        <x:v>Stage01</x:v>
      </x:c>
      <x:c r="B2765" t="str">
        <x:v>WAVE_56</x:v>
      </x:c>
      <x:c r="C2765" s="409" t="n">
        <x:v>556.42</x:v>
      </x:c>
      <x:c r="D2765" s="410" t="n">
        <x:v>71</x:v>
      </x:c>
      <x:c r="E2765" t="str">
        <x:v>LEFT_08</x:v>
      </x:c>
      <x:c r="F2765" t="str">
        <x:v>FlyingEye</x:v>
      </x:c>
      <x:c r="G2765" s="410" t="n">
        <x:v>47</x:v>
      </x:c>
    </x:row>
    <x:row r="2766">
      <x:c r="A2766" t="str">
        <x:v>Stage01</x:v>
      </x:c>
      <x:c r="B2766" t="str">
        <x:v>WAVE_56</x:v>
      </x:c>
      <x:c r="C2766" s="409" t="n">
        <x:v>556.5</x:v>
      </x:c>
      <x:c r="D2766" s="410" t="n">
        <x:v>72</x:v>
      </x:c>
      <x:c r="E2766" t="str">
        <x:v>TOP_02</x:v>
      </x:c>
      <x:c r="F2766" t="str">
        <x:v>GoblinMelee</x:v>
      </x:c>
      <x:c r="G2766" s="410" t="n">
        <x:v>48</x:v>
      </x:c>
    </x:row>
    <x:row r="2767">
      <x:c r="A2767" t="str">
        <x:v>Stage01</x:v>
      </x:c>
      <x:c r="B2767" t="str">
        <x:v>WAVE_56</x:v>
      </x:c>
      <x:c r="C2767" s="409" t="n">
        <x:v>556.58</x:v>
      </x:c>
      <x:c r="D2767" s="410" t="n">
        <x:v>73</x:v>
      </x:c>
      <x:c r="E2767" t="str">
        <x:v>RIGHT_03</x:v>
      </x:c>
      <x:c r="F2767" t="str">
        <x:v>GoblinRanged</x:v>
      </x:c>
      <x:c r="G2767" s="410" t="n">
        <x:v>48</x:v>
      </x:c>
    </x:row>
    <x:row r="2768">
      <x:c r="A2768" t="str">
        <x:v>Stage01</x:v>
      </x:c>
      <x:c r="B2768" t="str">
        <x:v>WAVE_56</x:v>
      </x:c>
      <x:c r="C2768" s="409" t="n">
        <x:v>556.66</x:v>
      </x:c>
      <x:c r="D2768" s="410" t="n">
        <x:v>74</x:v>
      </x:c>
      <x:c r="E2768" t="str">
        <x:v>BOTTOM_04</x:v>
      </x:c>
      <x:c r="F2768" t="str">
        <x:v>GoblinMelee</x:v>
      </x:c>
      <x:c r="G2768" s="410" t="n">
        <x:v>48</x:v>
      </x:c>
    </x:row>
    <x:row r="2769">
      <x:c r="A2769" t="str">
        <x:v>Stage01</x:v>
      </x:c>
      <x:c r="B2769" t="str">
        <x:v>WAVE_56</x:v>
      </x:c>
      <x:c r="C2769" s="409" t="n">
        <x:v>556.73</x:v>
      </x:c>
      <x:c r="D2769" s="410" t="n">
        <x:v>75</x:v>
      </x:c>
      <x:c r="E2769" t="str">
        <x:v>LEFT_05</x:v>
      </x:c>
      <x:c r="F2769" t="str">
        <x:v>ShieldSkeleton</x:v>
      </x:c>
      <x:c r="G2769" s="410" t="n">
        <x:v>48</x:v>
      </x:c>
    </x:row>
    <x:row r="2770">
      <x:c r="A2770" t="str">
        <x:v>Stage01</x:v>
      </x:c>
      <x:c r="B2770" t="str">
        <x:v>WAVE_56</x:v>
      </x:c>
      <x:c r="C2770" s="409" t="n">
        <x:v>556.81</x:v>
      </x:c>
      <x:c r="D2770" s="410" t="n">
        <x:v>76</x:v>
      </x:c>
      <x:c r="E2770" t="str">
        <x:v>TOP_07</x:v>
      </x:c>
      <x:c r="F2770" t="str">
        <x:v>GoblinMelee</x:v>
      </x:c>
      <x:c r="G2770" s="410" t="n">
        <x:v>48</x:v>
      </x:c>
    </x:row>
    <x:row r="2771">
      <x:c r="A2771" t="str">
        <x:v>Stage01</x:v>
      </x:c>
      <x:c r="B2771" t="str">
        <x:v>WAVE_56</x:v>
      </x:c>
      <x:c r="C2771" s="409" t="n">
        <x:v>556.89</x:v>
      </x:c>
      <x:c r="D2771" s="410" t="n">
        <x:v>77</x:v>
      </x:c>
      <x:c r="E2771" t="str">
        <x:v>RIGHT_08</x:v>
      </x:c>
      <x:c r="F2771" t="str">
        <x:v>GoblinRanged</x:v>
      </x:c>
      <x:c r="G2771" s="410" t="n">
        <x:v>48</x:v>
      </x:c>
    </x:row>
    <x:row r="2772">
      <x:c r="A2772" t="str">
        <x:v>Stage01</x:v>
      </x:c>
      <x:c r="B2772" t="str">
        <x:v>WAVE_56</x:v>
      </x:c>
      <x:c r="C2772" s="409" t="n">
        <x:v>556.97</x:v>
      </x:c>
      <x:c r="D2772" s="410" t="n">
        <x:v>78</x:v>
      </x:c>
      <x:c r="E2772" t="str">
        <x:v>BOTTOM_01</x:v>
      </x:c>
      <x:c r="F2772" t="str">
        <x:v>GoblinMelee</x:v>
      </x:c>
      <x:c r="G2772" s="410" t="n">
        <x:v>48</x:v>
      </x:c>
    </x:row>
    <x:row r="2773">
      <x:c r="A2773" t="str">
        <x:v>Stage01</x:v>
      </x:c>
      <x:c r="B2773" t="str">
        <x:v>WAVE_56</x:v>
      </x:c>
      <x:c r="C2773" s="409" t="n">
        <x:v>557.04</x:v>
      </x:c>
      <x:c r="D2773" s="410" t="n">
        <x:v>79</x:v>
      </x:c>
      <x:c r="E2773" t="str">
        <x:v>LEFT_02</x:v>
      </x:c>
      <x:c r="F2773" t="str">
        <x:v>GoblinMelee</x:v>
      </x:c>
      <x:c r="G2773" s="410" t="n">
        <x:v>47</x:v>
      </x:c>
    </x:row>
    <x:row r="2774">
      <x:c r="A2774" t="str">
        <x:v>Stage01</x:v>
      </x:c>
      <x:c r="B2774" t="str">
        <x:v>WAVE_56</x:v>
      </x:c>
      <x:c r="C2774" s="409" t="n">
        <x:v>557.12</x:v>
      </x:c>
      <x:c r="D2774" s="410" t="n">
        <x:v>80</x:v>
      </x:c>
      <x:c r="E2774" t="str">
        <x:v>TOP_04</x:v>
      </x:c>
      <x:c r="F2774" t="str">
        <x:v>GoblinRanged</x:v>
      </x:c>
      <x:c r="G2774" s="410" t="n">
        <x:v>48</x:v>
      </x:c>
    </x:row>
    <x:row r="2775">
      <x:c r="A2775" t="str">
        <x:v>Stage01</x:v>
      </x:c>
      <x:c r="B2775" t="str">
        <x:v>WAVE_56</x:v>
      </x:c>
      <x:c r="C2775" s="409" t="n">
        <x:v>557.2</x:v>
      </x:c>
      <x:c r="D2775" s="410" t="n">
        <x:v>81</x:v>
      </x:c>
      <x:c r="E2775" t="str">
        <x:v>RIGHT_05</x:v>
      </x:c>
      <x:c r="F2775" t="str">
        <x:v>ShieldSkeleton</x:v>
      </x:c>
      <x:c r="G2775" s="410" t="n">
        <x:v>48</x:v>
      </x:c>
    </x:row>
    <x:row r="2776">
      <x:c r="A2776" t="str">
        <x:v>Stage01</x:v>
      </x:c>
      <x:c r="B2776" t="str">
        <x:v>WAVE_56</x:v>
      </x:c>
      <x:c r="C2776" s="409" t="n">
        <x:v>557.28</x:v>
      </x:c>
      <x:c r="D2776" s="410" t="n">
        <x:v>82</x:v>
      </x:c>
      <x:c r="E2776" t="str">
        <x:v>BOTTOM_06</x:v>
      </x:c>
      <x:c r="F2776" t="str">
        <x:v>GoblinMelee</x:v>
      </x:c>
      <x:c r="G2776" s="410" t="n">
        <x:v>48</x:v>
      </x:c>
    </x:row>
    <x:row r="2777">
      <x:c r="A2777" t="str">
        <x:v>Stage01</x:v>
      </x:c>
      <x:c r="B2777" t="str">
        <x:v>WAVE_56</x:v>
      </x:c>
      <x:c r="C2777" s="409" t="n">
        <x:v>557.35</x:v>
      </x:c>
      <x:c r="D2777" s="410" t="n">
        <x:v>83</x:v>
      </x:c>
      <x:c r="E2777" t="str">
        <x:v>LEFT_07</x:v>
      </x:c>
      <x:c r="F2777" t="str">
        <x:v>GoblinMelee</x:v>
      </x:c>
      <x:c r="G2777" s="410" t="n">
        <x:v>48</x:v>
      </x:c>
    </x:row>
    <x:row r="2778">
      <x:c r="A2778" t="str">
        <x:v>Stage01</x:v>
      </x:c>
      <x:c r="B2778" t="str">
        <x:v>WAVE_56</x:v>
      </x:c>
      <x:c r="C2778" s="409" t="n">
        <x:v>557.43</x:v>
      </x:c>
      <x:c r="D2778" s="410" t="n">
        <x:v>84</x:v>
      </x:c>
      <x:c r="E2778" t="str">
        <x:v>TOP_01</x:v>
      </x:c>
      <x:c r="F2778" t="str">
        <x:v>GoblinRanged</x:v>
      </x:c>
      <x:c r="G2778" s="410" t="n">
        <x:v>48</x:v>
      </x:c>
    </x:row>
    <x:row r="2779">
      <x:c r="A2779" t="str">
        <x:v>Stage01</x:v>
      </x:c>
      <x:c r="B2779" t="str">
        <x:v>WAVE_56</x:v>
      </x:c>
      <x:c r="C2779" s="409" t="n">
        <x:v>557.51</x:v>
      </x:c>
      <x:c r="D2779" s="410" t="n">
        <x:v>85</x:v>
      </x:c>
      <x:c r="E2779" t="str">
        <x:v>RIGHT_02</x:v>
      </x:c>
      <x:c r="F2779" t="str">
        <x:v>FlyingEye</x:v>
      </x:c>
      <x:c r="G2779" s="410" t="n">
        <x:v>48</x:v>
      </x:c>
    </x:row>
    <x:row r="2780">
      <x:c r="A2780" t="str">
        <x:v>Stage01</x:v>
      </x:c>
      <x:c r="B2780" t="str">
        <x:v>WAVE_56</x:v>
      </x:c>
      <x:c r="C2780" s="409" t="n">
        <x:v>557.59</x:v>
      </x:c>
      <x:c r="D2780" s="410" t="n">
        <x:v>86</x:v>
      </x:c>
      <x:c r="E2780" t="str">
        <x:v>BOTTOM_03</x:v>
      </x:c>
      <x:c r="F2780" t="str">
        <x:v>GoblinMelee</x:v>
      </x:c>
      <x:c r="G2780" s="410" t="n">
        <x:v>47</x:v>
      </x:c>
    </x:row>
    <x:row r="2781">
      <x:c r="A2781" t="str">
        <x:v>Stage01</x:v>
      </x:c>
      <x:c r="B2781" t="str">
        <x:v>WAVE_56</x:v>
      </x:c>
      <x:c r="C2781" s="409" t="n">
        <x:v>557.66</x:v>
      </x:c>
      <x:c r="D2781" s="410" t="n">
        <x:v>87</x:v>
      </x:c>
      <x:c r="E2781" t="str">
        <x:v>LEFT_04</x:v>
      </x:c>
      <x:c r="F2781" t="str">
        <x:v>GoblinRanged</x:v>
      </x:c>
      <x:c r="G2781" s="410" t="n">
        <x:v>48</x:v>
      </x:c>
    </x:row>
    <x:row r="2782">
      <x:c r="A2782" t="str">
        <x:v>Stage01</x:v>
      </x:c>
      <x:c r="B2782" t="str">
        <x:v>WAVE_56</x:v>
      </x:c>
      <x:c r="C2782" s="409" t="n">
        <x:v>557.74</x:v>
      </x:c>
      <x:c r="D2782" s="410" t="n">
        <x:v>88</x:v>
      </x:c>
      <x:c r="E2782" t="str">
        <x:v>TOP_06</x:v>
      </x:c>
      <x:c r="F2782" t="str">
        <x:v>ShieldSkeleton</x:v>
      </x:c>
      <x:c r="G2782" s="410" t="n">
        <x:v>48</x:v>
      </x:c>
    </x:row>
    <x:row r="2783">
      <x:c r="A2783" t="str">
        <x:v>Stage01</x:v>
      </x:c>
      <x:c r="B2783" t="str">
        <x:v>WAVE_56</x:v>
      </x:c>
      <x:c r="C2783" s="409" t="n">
        <x:v>557.82</x:v>
      </x:c>
      <x:c r="D2783" s="410" t="n">
        <x:v>89</x:v>
      </x:c>
      <x:c r="E2783" t="str">
        <x:v>RIGHT_07</x:v>
      </x:c>
      <x:c r="F2783" t="str">
        <x:v>GoblinMelee</x:v>
      </x:c>
      <x:c r="G2783" s="410" t="n">
        <x:v>48</x:v>
      </x:c>
    </x:row>
    <x:row r="2784">
      <x:c r="A2784" t="str">
        <x:v>Stage01</x:v>
      </x:c>
      <x:c r="B2784" t="str">
        <x:v>WAVE_56</x:v>
      </x:c>
      <x:c r="C2784" s="409" t="n">
        <x:v>557.9</x:v>
      </x:c>
      <x:c r="D2784" s="410" t="n">
        <x:v>90</x:v>
      </x:c>
      <x:c r="E2784" t="str">
        <x:v>BOTTOM_08</x:v>
      </x:c>
      <x:c r="F2784" t="str">
        <x:v>GoblinMelee</x:v>
      </x:c>
      <x:c r="G2784" s="410" t="n">
        <x:v>48</x:v>
      </x:c>
    </x:row>
    <x:row r="2785">
      <x:c r="A2785" t="str">
        <x:v>Stage01</x:v>
      </x:c>
      <x:c r="B2785" t="str">
        <x:v>WAVE_56</x:v>
      </x:c>
      <x:c r="C2785" s="409" t="n">
        <x:v>557.97</x:v>
      </x:c>
      <x:c r="D2785" s="410" t="n">
        <x:v>91</x:v>
      </x:c>
      <x:c r="E2785" t="str">
        <x:v>LEFT_01</x:v>
      </x:c>
      <x:c r="F2785" t="str">
        <x:v>GoblinRanged</x:v>
      </x:c>
      <x:c r="G2785" s="410" t="n">
        <x:v>48</x:v>
      </x:c>
    </x:row>
    <x:row r="2786">
      <x:c r="A2786" t="str">
        <x:v>Stage01</x:v>
      </x:c>
      <x:c r="B2786" t="str">
        <x:v>WAVE_56</x:v>
      </x:c>
      <x:c r="C2786" s="409" t="n">
        <x:v>558.05</x:v>
      </x:c>
      <x:c r="D2786" s="410" t="n">
        <x:v>92</x:v>
      </x:c>
      <x:c r="E2786" t="str">
        <x:v>TOP_03</x:v>
      </x:c>
      <x:c r="F2786" t="str">
        <x:v>GoblinMelee</x:v>
      </x:c>
      <x:c r="G2786" s="410" t="n">
        <x:v>48</x:v>
      </x:c>
    </x:row>
    <x:row r="2787">
      <x:c r="A2787" t="str">
        <x:v>Stage01</x:v>
      </x:c>
      <x:c r="B2787" t="str">
        <x:v>WAVE_56</x:v>
      </x:c>
      <x:c r="C2787" s="409" t="n">
        <x:v>558.13</x:v>
      </x:c>
      <x:c r="D2787" s="410" t="n">
        <x:v>93</x:v>
      </x:c>
      <x:c r="E2787" t="str">
        <x:v>RIGHT_04</x:v>
      </x:c>
      <x:c r="F2787" t="str">
        <x:v>GoblinRanged</x:v>
      </x:c>
      <x:c r="G2787" s="410" t="n">
        <x:v>48</x:v>
      </x:c>
    </x:row>
    <x:row r="2788">
      <x:c r="A2788" t="str">
        <x:v>Stage01</x:v>
      </x:c>
      <x:c r="B2788" t="str">
        <x:v>WAVE_56</x:v>
      </x:c>
      <x:c r="C2788" s="409" t="n">
        <x:v>558.21</x:v>
      </x:c>
      <x:c r="D2788" s="410" t="n">
        <x:v>94</x:v>
      </x:c>
      <x:c r="E2788" t="str">
        <x:v>BOTTOM_05</x:v>
      </x:c>
      <x:c r="F2788" t="str">
        <x:v>GoblinMelee</x:v>
      </x:c>
      <x:c r="G2788" s="410" t="n">
        <x:v>47</x:v>
      </x:c>
    </x:row>
    <x:row r="2789">
      <x:c r="A2789" t="str">
        <x:v>Stage01</x:v>
      </x:c>
      <x:c r="B2789" t="str">
        <x:v>WAVE_56</x:v>
      </x:c>
      <x:c r="C2789" s="409" t="n">
        <x:v>558.28</x:v>
      </x:c>
      <x:c r="D2789" s="410" t="n">
        <x:v>95</x:v>
      </x:c>
      <x:c r="E2789" t="str">
        <x:v>LEFT_06</x:v>
      </x:c>
      <x:c r="F2789" t="str">
        <x:v>ShieldSkeleton</x:v>
      </x:c>
      <x:c r="G2789" s="410" t="n">
        <x:v>48</x:v>
      </x:c>
    </x:row>
    <x:row r="2790">
      <x:c r="A2790" t="str">
        <x:v>Stage01</x:v>
      </x:c>
      <x:c r="B2790" t="str">
        <x:v>WAVE_56</x:v>
      </x:c>
      <x:c r="C2790" s="409" t="n">
        <x:v>558.36</x:v>
      </x:c>
      <x:c r="D2790" s="410" t="n">
        <x:v>96</x:v>
      </x:c>
      <x:c r="E2790" t="str">
        <x:v>TOP_08</x:v>
      </x:c>
      <x:c r="F2790" t="str">
        <x:v>GoblinMelee</x:v>
      </x:c>
      <x:c r="G2790" s="410" t="n">
        <x:v>48</x:v>
      </x:c>
    </x:row>
    <x:row r="2791">
      <x:c r="A2791" t="str">
        <x:v>Stage01</x:v>
      </x:c>
      <x:c r="B2791" t="str">
        <x:v>WAVE_56</x:v>
      </x:c>
      <x:c r="C2791" s="409" t="n">
        <x:v>558.44</x:v>
      </x:c>
      <x:c r="D2791" s="410" t="n">
        <x:v>97</x:v>
      </x:c>
      <x:c r="E2791" t="str">
        <x:v>RIGHT_01</x:v>
      </x:c>
      <x:c r="F2791" t="str">
        <x:v>GoblinRanged</x:v>
      </x:c>
      <x:c r="G2791" s="410" t="n">
        <x:v>48</x:v>
      </x:c>
    </x:row>
    <x:row r="2792">
      <x:c r="A2792" t="str">
        <x:v>Stage01</x:v>
      </x:c>
      <x:c r="B2792" t="str">
        <x:v>WAVE_56</x:v>
      </x:c>
      <x:c r="C2792" s="409" t="n">
        <x:v>558.52</x:v>
      </x:c>
      <x:c r="D2792" s="410" t="n">
        <x:v>98</x:v>
      </x:c>
      <x:c r="E2792" t="str">
        <x:v>BOTTOM_02</x:v>
      </x:c>
      <x:c r="F2792" t="str">
        <x:v>GoblinMelee</x:v>
      </x:c>
      <x:c r="G2792" s="410" t="n">
        <x:v>48</x:v>
      </x:c>
    </x:row>
    <x:row r="2793">
      <x:c r="A2793" t="str">
        <x:v>Stage01</x:v>
      </x:c>
      <x:c r="B2793" t="str">
        <x:v>WAVE_56</x:v>
      </x:c>
      <x:c r="C2793" s="409" t="n">
        <x:v>558.59</x:v>
      </x:c>
      <x:c r="D2793" s="410" t="n">
        <x:v>99</x:v>
      </x:c>
      <x:c r="E2793" t="str">
        <x:v>LEFT_03</x:v>
      </x:c>
      <x:c r="F2793" t="str">
        <x:v>FlyingEye</x:v>
      </x:c>
      <x:c r="G2793" s="410" t="n">
        <x:v>48</x:v>
      </x:c>
    </x:row>
    <x:row r="2794">
      <x:c r="A2794" t="str">
        <x:v>Stage01</x:v>
      </x:c>
      <x:c r="B2794" t="str">
        <x:v>WAVE_56</x:v>
      </x:c>
      <x:c r="C2794" s="409" t="n">
        <x:v>558.67</x:v>
      </x:c>
      <x:c r="D2794" s="410" t="n">
        <x:v>100</x:v>
      </x:c>
      <x:c r="E2794" t="str">
        <x:v>TOP_05</x:v>
      </x:c>
      <x:c r="F2794" t="str">
        <x:v>GoblinRanged</x:v>
      </x:c>
      <x:c r="G2794" s="410" t="n">
        <x:v>48</x:v>
      </x:c>
    </x:row>
    <x:row r="2795">
      <x:c r="A2795" t="str">
        <x:v>Stage01</x:v>
      </x:c>
      <x:c r="B2795" t="str">
        <x:v>WAVE_56</x:v>
      </x:c>
      <x:c r="C2795" s="409" t="n">
        <x:v>558.75</x:v>
      </x:c>
      <x:c r="D2795" s="410" t="n">
        <x:v>101</x:v>
      </x:c>
      <x:c r="E2795" t="str">
        <x:v>RIGHT_06</x:v>
      </x:c>
      <x:c r="F2795" t="str">
        <x:v>GoblinMelee</x:v>
      </x:c>
      <x:c r="G2795" s="410" t="n">
        <x:v>47</x:v>
      </x:c>
    </x:row>
    <x:row r="2796">
      <x:c r="A2796" t="str">
        <x:v>Stage01</x:v>
      </x:c>
      <x:c r="B2796" t="str">
        <x:v>WAVE_56</x:v>
      </x:c>
      <x:c r="C2796" s="409" t="n">
        <x:v>558.83</x:v>
      </x:c>
      <x:c r="D2796" s="410" t="n">
        <x:v>102</x:v>
      </x:c>
      <x:c r="E2796" t="str">
        <x:v>BOTTOM_07</x:v>
      </x:c>
      <x:c r="F2796" t="str">
        <x:v>ShieldSkeleton</x:v>
      </x:c>
      <x:c r="G2796" s="410" t="n">
        <x:v>48</x:v>
      </x:c>
    </x:row>
    <x:row r="2797">
      <x:c r="A2797" t="str">
        <x:v>Stage01</x:v>
      </x:c>
      <x:c r="B2797" t="str">
        <x:v>WAVE_56</x:v>
      </x:c>
      <x:c r="C2797" s="409" t="n">
        <x:v>558.9</x:v>
      </x:c>
      <x:c r="D2797" s="410" t="n">
        <x:v>103</x:v>
      </x:c>
      <x:c r="E2797" t="str">
        <x:v>LEFT_08</x:v>
      </x:c>
      <x:c r="F2797" t="str">
        <x:v>GoblinMelee</x:v>
      </x:c>
      <x:c r="G2797" s="410" t="n">
        <x:v>48</x:v>
      </x:c>
    </x:row>
    <x:row r="2798">
      <x:c r="A2798" t="str">
        <x:v>Stage01</x:v>
      </x:c>
      <x:c r="B2798" t="str">
        <x:v>WAVE_56</x:v>
      </x:c>
      <x:c r="C2798" s="409" t="n">
        <x:v>558.98</x:v>
      </x:c>
      <x:c r="D2798" s="410" t="n">
        <x:v>104</x:v>
      </x:c>
      <x:c r="E2798" t="str">
        <x:v>TOP_02</x:v>
      </x:c>
      <x:c r="F2798" t="str">
        <x:v>GoblinRanged</x:v>
      </x:c>
      <x:c r="G2798" s="410" t="n">
        <x:v>48</x:v>
      </x:c>
    </x:row>
    <x:row r="2799">
      <x:c r="A2799" t="str">
        <x:v>Stage01</x:v>
      </x:c>
      <x:c r="B2799" t="str">
        <x:v>WAVE_56</x:v>
      </x:c>
      <x:c r="C2799" s="409" t="n">
        <x:v>559.06</x:v>
      </x:c>
      <x:c r="D2799" s="410" t="n">
        <x:v>105</x:v>
      </x:c>
      <x:c r="E2799" t="str">
        <x:v>RIGHT_03</x:v>
      </x:c>
      <x:c r="F2799" t="str">
        <x:v>GoblinMelee</x:v>
      </x:c>
      <x:c r="G2799" s="410" t="n">
        <x:v>48</x:v>
      </x:c>
    </x:row>
    <x:row r="2800">
      <x:c r="A2800" t="str">
        <x:v>Stage01</x:v>
      </x:c>
      <x:c r="B2800" t="str">
        <x:v>WAVE_56</x:v>
      </x:c>
      <x:c r="C2800" s="409" t="n">
        <x:v>559.14</x:v>
      </x:c>
      <x:c r="D2800" s="410" t="n">
        <x:v>106</x:v>
      </x:c>
      <x:c r="E2800" t="str">
        <x:v>BOTTOM_04</x:v>
      </x:c>
      <x:c r="F2800" t="str">
        <x:v>GoblinMelee</x:v>
      </x:c>
      <x:c r="G2800" s="410" t="n">
        <x:v>48</x:v>
      </x:c>
    </x:row>
    <x:row r="2801">
      <x:c r="A2801" t="str">
        <x:v>Stage01</x:v>
      </x:c>
      <x:c r="B2801" t="str">
        <x:v>WAVE_56</x:v>
      </x:c>
      <x:c r="C2801" s="409" t="n">
        <x:v>559.21</x:v>
      </x:c>
      <x:c r="D2801" s="410" t="n">
        <x:v>107</x:v>
      </x:c>
      <x:c r="E2801" t="str">
        <x:v>LEFT_05</x:v>
      </x:c>
      <x:c r="F2801" t="str">
        <x:v>GoblinRanged</x:v>
      </x:c>
      <x:c r="G2801" s="410" t="n">
        <x:v>48</x:v>
      </x:c>
    </x:row>
    <x:row r="2802">
      <x:c r="A2802" t="str">
        <x:v>Stage01</x:v>
      </x:c>
      <x:c r="B2802" t="str">
        <x:v>WAVE_56</x:v>
      </x:c>
      <x:c r="C2802" s="409" t="n">
        <x:v>559.29</x:v>
      </x:c>
      <x:c r="D2802" s="410" t="n">
        <x:v>108</x:v>
      </x:c>
      <x:c r="E2802" t="str">
        <x:v>TOP_07</x:v>
      </x:c>
      <x:c r="F2802" t="str">
        <x:v>GoblinMelee</x:v>
      </x:c>
      <x:c r="G2802" s="410" t="n">
        <x:v>48</x:v>
      </x:c>
    </x:row>
    <x:row r="2803">
      <x:c r="A2803" t="str">
        <x:v>Stage01</x:v>
      </x:c>
      <x:c r="B2803" t="str">
        <x:v>WAVE_56</x:v>
      </x:c>
      <x:c r="C2803" s="409" t="n">
        <x:v>559.37</x:v>
      </x:c>
      <x:c r="D2803" s="410" t="n">
        <x:v>109</x:v>
      </x:c>
      <x:c r="E2803" t="str">
        <x:v>RIGHT_08</x:v>
      </x:c>
      <x:c r="F2803" t="str">
        <x:v>ShieldSkeleton</x:v>
      </x:c>
      <x:c r="G2803" s="410" t="n">
        <x:v>47</x:v>
      </x:c>
    </x:row>
    <x:row r="2804">
      <x:c r="A2804" t="str">
        <x:v>Stage01</x:v>
      </x:c>
      <x:c r="B2804" t="str">
        <x:v>WAVE_56</x:v>
      </x:c>
      <x:c r="C2804" s="409" t="n">
        <x:v>559.45</x:v>
      </x:c>
      <x:c r="D2804" s="410" t="n">
        <x:v>110</x:v>
      </x:c>
      <x:c r="E2804" t="str">
        <x:v>BOTTOM_01</x:v>
      </x:c>
      <x:c r="F2804" t="str">
        <x:v>GoblinMelee</x:v>
      </x:c>
      <x:c r="G2804" s="410" t="n">
        <x:v>48</x:v>
      </x:c>
    </x:row>
    <x:row r="2805">
      <x:c r="A2805" t="str">
        <x:v>Stage01</x:v>
      </x:c>
      <x:c r="B2805" t="str">
        <x:v>WAVE_56</x:v>
      </x:c>
      <x:c r="C2805" s="409" t="n">
        <x:v>559.52</x:v>
      </x:c>
      <x:c r="D2805" s="410" t="n">
        <x:v>111</x:v>
      </x:c>
      <x:c r="E2805" t="str">
        <x:v>LEFT_02</x:v>
      </x:c>
      <x:c r="F2805" t="str">
        <x:v>GoblinRanged</x:v>
      </x:c>
      <x:c r="G2805" s="410" t="n">
        <x:v>48</x:v>
      </x:c>
    </x:row>
    <x:row r="2806">
      <x:c r="A2806" t="str">
        <x:v>Stage01</x:v>
      </x:c>
      <x:c r="B2806" t="str">
        <x:v>WAVE_56</x:v>
      </x:c>
      <x:c r="C2806" s="409" t="n">
        <x:v>559.6</x:v>
      </x:c>
      <x:c r="D2806" s="410" t="n">
        <x:v>112</x:v>
      </x:c>
      <x:c r="E2806" t="str">
        <x:v>TOP_04</x:v>
      </x:c>
      <x:c r="F2806" t="str">
        <x:v>GoblinMelee</x:v>
      </x:c>
      <x:c r="G2806" s="410" t="n">
        <x:v>48</x:v>
      </x:c>
    </x:row>
    <x:row r="2807">
      <x:c r="A2807" t="str">
        <x:v>Stage01</x:v>
      </x:c>
      <x:c r="B2807" t="str">
        <x:v>WAVE_57</x:v>
      </x:c>
      <x:c r="C2807" s="409" t="n">
        <x:v>561</x:v>
      </x:c>
      <x:c r="D2807" s="410" t="n">
        <x:v>1</x:v>
      </x:c>
      <x:c r="E2807" t="str">
        <x:v>TOP_07</x:v>
      </x:c>
      <x:c r="F2807" t="str">
        <x:v>GoblinMelee</x:v>
      </x:c>
      <x:c r="G2807" s="410" t="n">
        <x:v>49</x:v>
      </x:c>
    </x:row>
    <x:row r="2808">
      <x:c r="A2808" t="str">
        <x:v>Stage01</x:v>
      </x:c>
      <x:c r="B2808" t="str">
        <x:v>WAVE_57</x:v>
      </x:c>
      <x:c r="C2808" s="409" t="n">
        <x:v>561.08</x:v>
      </x:c>
      <x:c r="D2808" s="410" t="n">
        <x:v>2</x:v>
      </x:c>
      <x:c r="E2808" t="str">
        <x:v>RIGHT_08</x:v>
      </x:c>
      <x:c r="F2808" t="str">
        <x:v>GoblinRanged</x:v>
      </x:c>
      <x:c r="G2808" s="410" t="n">
        <x:v>49</x:v>
      </x:c>
    </x:row>
    <x:row r="2809">
      <x:c r="A2809" t="str">
        <x:v>Stage01</x:v>
      </x:c>
      <x:c r="B2809" t="str">
        <x:v>WAVE_57</x:v>
      </x:c>
      <x:c r="C2809" s="409" t="n">
        <x:v>561.15</x:v>
      </x:c>
      <x:c r="D2809" s="410" t="n">
        <x:v>3</x:v>
      </x:c>
      <x:c r="E2809" t="str">
        <x:v>BOTTOM_01</x:v>
      </x:c>
      <x:c r="F2809" t="str">
        <x:v>GoblinMelee</x:v>
      </x:c>
      <x:c r="G2809" s="410" t="n">
        <x:v>49</x:v>
      </x:c>
    </x:row>
    <x:row r="2810">
      <x:c r="A2810" t="str">
        <x:v>Stage01</x:v>
      </x:c>
      <x:c r="B2810" t="str">
        <x:v>WAVE_57</x:v>
      </x:c>
      <x:c r="C2810" s="409" t="n">
        <x:v>561.23</x:v>
      </x:c>
      <x:c r="D2810" s="410" t="n">
        <x:v>4</x:v>
      </x:c>
      <x:c r="E2810" t="str">
        <x:v>LEFT_02</x:v>
      </x:c>
      <x:c r="F2810" t="str">
        <x:v>ShieldSkeleton</x:v>
      </x:c>
      <x:c r="G2810" s="410" t="n">
        <x:v>49</x:v>
      </x:c>
    </x:row>
    <x:row r="2811">
      <x:c r="A2811" t="str">
        <x:v>Stage01</x:v>
      </x:c>
      <x:c r="B2811" t="str">
        <x:v>WAVE_57</x:v>
      </x:c>
      <x:c r="C2811" s="409" t="n">
        <x:v>561.3</x:v>
      </x:c>
      <x:c r="D2811" s="410" t="n">
        <x:v>5</x:v>
      </x:c>
      <x:c r="E2811" t="str">
        <x:v>TOP_04</x:v>
      </x:c>
      <x:c r="F2811" t="str">
        <x:v>GoblinMelee</x:v>
      </x:c>
      <x:c r="G2811" s="410" t="n">
        <x:v>48</x:v>
      </x:c>
    </x:row>
    <x:row r="2812">
      <x:c r="A2812" t="str">
        <x:v>Stage01</x:v>
      </x:c>
      <x:c r="B2812" t="str">
        <x:v>WAVE_57</x:v>
      </x:c>
      <x:c r="C2812" s="409" t="n">
        <x:v>561.38</x:v>
      </x:c>
      <x:c r="D2812" s="410" t="n">
        <x:v>6</x:v>
      </x:c>
      <x:c r="E2812" t="str">
        <x:v>RIGHT_05</x:v>
      </x:c>
      <x:c r="F2812" t="str">
        <x:v>GoblinRanged</x:v>
      </x:c>
      <x:c r="G2812" s="410" t="n">
        <x:v>49</x:v>
      </x:c>
    </x:row>
    <x:row r="2813">
      <x:c r="A2813" t="str">
        <x:v>Stage01</x:v>
      </x:c>
      <x:c r="B2813" t="str">
        <x:v>WAVE_57</x:v>
      </x:c>
      <x:c r="C2813" s="409" t="n">
        <x:v>561.45</x:v>
      </x:c>
      <x:c r="D2813" s="410" t="n">
        <x:v>7</x:v>
      </x:c>
      <x:c r="E2813" t="str">
        <x:v>BOTTOM_06</x:v>
      </x:c>
      <x:c r="F2813" t="str">
        <x:v>GoblinMelee</x:v>
      </x:c>
      <x:c r="G2813" s="410" t="n">
        <x:v>49</x:v>
      </x:c>
    </x:row>
    <x:row r="2814">
      <x:c r="A2814" t="str">
        <x:v>Stage01</x:v>
      </x:c>
      <x:c r="B2814" t="str">
        <x:v>WAVE_57</x:v>
      </x:c>
      <x:c r="C2814" s="409" t="n">
        <x:v>561.53</x:v>
      </x:c>
      <x:c r="D2814" s="410" t="n">
        <x:v>8</x:v>
      </x:c>
      <x:c r="E2814" t="str">
        <x:v>LEFT_07</x:v>
      </x:c>
      <x:c r="F2814" t="str">
        <x:v>GoblinMelee</x:v>
      </x:c>
      <x:c r="G2814" s="410" t="n">
        <x:v>49</x:v>
      </x:c>
    </x:row>
    <x:row r="2815">
      <x:c r="A2815" t="str">
        <x:v>Stage01</x:v>
      </x:c>
      <x:c r="B2815" t="str">
        <x:v>WAVE_57</x:v>
      </x:c>
      <x:c r="C2815" s="409" t="n">
        <x:v>561.6</x:v>
      </x:c>
      <x:c r="D2815" s="410" t="n">
        <x:v>9</x:v>
      </x:c>
      <x:c r="E2815" t="str">
        <x:v>TOP_01</x:v>
      </x:c>
      <x:c r="F2815" t="str">
        <x:v>GoblinRanged</x:v>
      </x:c>
      <x:c r="G2815" s="410" t="n">
        <x:v>49</x:v>
      </x:c>
    </x:row>
    <x:row r="2816">
      <x:c r="A2816" t="str">
        <x:v>Stage01</x:v>
      </x:c>
      <x:c r="B2816" t="str">
        <x:v>WAVE_57</x:v>
      </x:c>
      <x:c r="C2816" s="409" t="n">
        <x:v>561.68</x:v>
      </x:c>
      <x:c r="D2816" s="410" t="n">
        <x:v>10</x:v>
      </x:c>
      <x:c r="E2816" t="str">
        <x:v>RIGHT_02</x:v>
      </x:c>
      <x:c r="F2816" t="str">
        <x:v>GoblinMelee</x:v>
      </x:c>
      <x:c r="G2816" s="410" t="n">
        <x:v>49</x:v>
      </x:c>
    </x:row>
    <x:row r="2817">
      <x:c r="A2817" t="str">
        <x:v>Stage01</x:v>
      </x:c>
      <x:c r="B2817" t="str">
        <x:v>WAVE_57</x:v>
      </x:c>
      <x:c r="C2817" s="409" t="n">
        <x:v>561.75</x:v>
      </x:c>
      <x:c r="D2817" s="410" t="n">
        <x:v>11</x:v>
      </x:c>
      <x:c r="E2817" t="str">
        <x:v>BOTTOM_03</x:v>
      </x:c>
      <x:c r="F2817" t="str">
        <x:v>ShieldSkeleton</x:v>
      </x:c>
      <x:c r="G2817" s="410" t="n">
        <x:v>49</x:v>
      </x:c>
    </x:row>
    <x:row r="2818">
      <x:c r="A2818" t="str">
        <x:v>Stage01</x:v>
      </x:c>
      <x:c r="B2818" t="str">
        <x:v>WAVE_57</x:v>
      </x:c>
      <x:c r="C2818" s="409" t="n">
        <x:v>561.83</x:v>
      </x:c>
      <x:c r="D2818" s="410" t="n">
        <x:v>12</x:v>
      </x:c>
      <x:c r="E2818" t="str">
        <x:v>LEFT_04</x:v>
      </x:c>
      <x:c r="F2818" t="str">
        <x:v>GoblinMelee</x:v>
      </x:c>
      <x:c r="G2818" s="410" t="n">
        <x:v>49</x:v>
      </x:c>
    </x:row>
    <x:row r="2819">
      <x:c r="A2819" t="str">
        <x:v>Stage01</x:v>
      </x:c>
      <x:c r="B2819" t="str">
        <x:v>WAVE_57</x:v>
      </x:c>
      <x:c r="C2819" s="409" t="n">
        <x:v>561.91</x:v>
      </x:c>
      <x:c r="D2819" s="410" t="n">
        <x:v>13</x:v>
      </x:c>
      <x:c r="E2819" t="str">
        <x:v>TOP_06</x:v>
      </x:c>
      <x:c r="F2819" t="str">
        <x:v>GoblinRanged</x:v>
      </x:c>
      <x:c r="G2819" s="410" t="n">
        <x:v>49</x:v>
      </x:c>
    </x:row>
    <x:row r="2820">
      <x:c r="A2820" t="str">
        <x:v>Stage01</x:v>
      </x:c>
      <x:c r="B2820" t="str">
        <x:v>WAVE_57</x:v>
      </x:c>
      <x:c r="C2820" s="409" t="n">
        <x:v>561.98</x:v>
      </x:c>
      <x:c r="D2820" s="410" t="n">
        <x:v>14</x:v>
      </x:c>
      <x:c r="E2820" t="str">
        <x:v>RIGHT_07</x:v>
      </x:c>
      <x:c r="F2820" t="str">
        <x:v>FlyingEye</x:v>
      </x:c>
      <x:c r="G2820" s="410" t="n">
        <x:v>49</x:v>
      </x:c>
    </x:row>
    <x:row r="2821">
      <x:c r="A2821" t="str">
        <x:v>Stage01</x:v>
      </x:c>
      <x:c r="B2821" t="str">
        <x:v>WAVE_57</x:v>
      </x:c>
      <x:c r="C2821" s="409" t="n">
        <x:v>562.06</x:v>
      </x:c>
      <x:c r="D2821" s="410" t="n">
        <x:v>15</x:v>
      </x:c>
      <x:c r="E2821" t="str">
        <x:v>BOTTOM_08</x:v>
      </x:c>
      <x:c r="F2821" t="str">
        <x:v>GoblinRanged</x:v>
      </x:c>
      <x:c r="G2821" s="410" t="n">
        <x:v>48</x:v>
      </x:c>
    </x:row>
    <x:row r="2822">
      <x:c r="A2822" t="str">
        <x:v>Stage01</x:v>
      </x:c>
      <x:c r="B2822" t="str">
        <x:v>WAVE_57</x:v>
      </x:c>
      <x:c r="C2822" s="409" t="n">
        <x:v>562.13</x:v>
      </x:c>
      <x:c r="D2822" s="410" t="n">
        <x:v>16</x:v>
      </x:c>
      <x:c r="E2822" t="str">
        <x:v>LEFT_01</x:v>
      </x:c>
      <x:c r="F2822" t="str">
        <x:v>GoblinMelee</x:v>
      </x:c>
      <x:c r="G2822" s="410" t="n">
        <x:v>49</x:v>
      </x:c>
    </x:row>
    <x:row r="2823">
      <x:c r="A2823" t="str">
        <x:v>Stage01</x:v>
      </x:c>
      <x:c r="B2823" t="str">
        <x:v>WAVE_57</x:v>
      </x:c>
      <x:c r="C2823" s="409" t="n">
        <x:v>562.21</x:v>
      </x:c>
      <x:c r="D2823" s="410" t="n">
        <x:v>17</x:v>
      </x:c>
      <x:c r="E2823" t="str">
        <x:v>TOP_03</x:v>
      </x:c>
      <x:c r="F2823" t="str">
        <x:v>ShieldSkeleton</x:v>
      </x:c>
      <x:c r="G2823" s="410" t="n">
        <x:v>49</x:v>
      </x:c>
    </x:row>
    <x:row r="2824">
      <x:c r="A2824" t="str">
        <x:v>Stage01</x:v>
      </x:c>
      <x:c r="B2824" t="str">
        <x:v>WAVE_57</x:v>
      </x:c>
      <x:c r="C2824" s="409" t="n">
        <x:v>562.28</x:v>
      </x:c>
      <x:c r="D2824" s="410" t="n">
        <x:v>18</x:v>
      </x:c>
      <x:c r="E2824" t="str">
        <x:v>RIGHT_04</x:v>
      </x:c>
      <x:c r="F2824" t="str">
        <x:v>GoblinMelee</x:v>
      </x:c>
      <x:c r="G2824" s="410" t="n">
        <x:v>49</x:v>
      </x:c>
    </x:row>
    <x:row r="2825">
      <x:c r="A2825" t="str">
        <x:v>Stage01</x:v>
      </x:c>
      <x:c r="B2825" t="str">
        <x:v>WAVE_57</x:v>
      </x:c>
      <x:c r="C2825" s="409" t="n">
        <x:v>562.36</x:v>
      </x:c>
      <x:c r="D2825" s="410" t="n">
        <x:v>19</x:v>
      </x:c>
      <x:c r="E2825" t="str">
        <x:v>BOTTOM_05</x:v>
      </x:c>
      <x:c r="F2825" t="str">
        <x:v>GoblinRanged</x:v>
      </x:c>
      <x:c r="G2825" s="410" t="n">
        <x:v>49</x:v>
      </x:c>
    </x:row>
    <x:row r="2826">
      <x:c r="A2826" t="str">
        <x:v>Stage01</x:v>
      </x:c>
      <x:c r="B2826" t="str">
        <x:v>WAVE_57</x:v>
      </x:c>
      <x:c r="C2826" s="409" t="n">
        <x:v>562.43</x:v>
      </x:c>
      <x:c r="D2826" s="410" t="n">
        <x:v>20</x:v>
      </x:c>
      <x:c r="E2826" t="str">
        <x:v>LEFT_06</x:v>
      </x:c>
      <x:c r="F2826" t="str">
        <x:v>GoblinMelee</x:v>
      </x:c>
      <x:c r="G2826" s="410" t="n">
        <x:v>49</x:v>
      </x:c>
    </x:row>
    <x:row r="2827">
      <x:c r="A2827" t="str">
        <x:v>Stage01</x:v>
      </x:c>
      <x:c r="B2827" t="str">
        <x:v>WAVE_57</x:v>
      </x:c>
      <x:c r="C2827" s="409" t="n">
        <x:v>562.51</x:v>
      </x:c>
      <x:c r="D2827" s="410" t="n">
        <x:v>21</x:v>
      </x:c>
      <x:c r="E2827" t="str">
        <x:v>TOP_08</x:v>
      </x:c>
      <x:c r="F2827" t="str">
        <x:v>GoblinMelee</x:v>
      </x:c>
      <x:c r="G2827" s="410" t="n">
        <x:v>49</x:v>
      </x:c>
    </x:row>
    <x:row r="2828">
      <x:c r="A2828" t="str">
        <x:v>Stage01</x:v>
      </x:c>
      <x:c r="B2828" t="str">
        <x:v>WAVE_57</x:v>
      </x:c>
      <x:c r="C2828" s="409" t="n">
        <x:v>562.58</x:v>
      </x:c>
      <x:c r="D2828" s="410" t="n">
        <x:v>22</x:v>
      </x:c>
      <x:c r="E2828" t="str">
        <x:v>RIGHT_01</x:v>
      </x:c>
      <x:c r="F2828" t="str">
        <x:v>GoblinRanged</x:v>
      </x:c>
      <x:c r="G2828" s="410" t="n">
        <x:v>49</x:v>
      </x:c>
    </x:row>
    <x:row r="2829">
      <x:c r="A2829" t="str">
        <x:v>Stage01</x:v>
      </x:c>
      <x:c r="B2829" t="str">
        <x:v>WAVE_57</x:v>
      </x:c>
      <x:c r="C2829" s="409" t="n">
        <x:v>562.66</x:v>
      </x:c>
      <x:c r="D2829" s="410" t="n">
        <x:v>23</x:v>
      </x:c>
      <x:c r="E2829" t="str">
        <x:v>BOTTOM_02</x:v>
      </x:c>
      <x:c r="F2829" t="str">
        <x:v>GoblinMelee</x:v>
      </x:c>
      <x:c r="G2829" s="410" t="n">
        <x:v>49</x:v>
      </x:c>
    </x:row>
    <x:row r="2830">
      <x:c r="A2830" t="str">
        <x:v>Stage01</x:v>
      </x:c>
      <x:c r="B2830" t="str">
        <x:v>WAVE_57</x:v>
      </x:c>
      <x:c r="C2830" s="409" t="n">
        <x:v>562.74</x:v>
      </x:c>
      <x:c r="D2830" s="410" t="n">
        <x:v>24</x:v>
      </x:c>
      <x:c r="E2830" t="str">
        <x:v>LEFT_03</x:v>
      </x:c>
      <x:c r="F2830" t="str">
        <x:v>ShieldSkeleton</x:v>
      </x:c>
      <x:c r="G2830" s="410" t="n">
        <x:v>48</x:v>
      </x:c>
    </x:row>
    <x:row r="2831">
      <x:c r="A2831" t="str">
        <x:v>Stage01</x:v>
      </x:c>
      <x:c r="B2831" t="str">
        <x:v>WAVE_57</x:v>
      </x:c>
      <x:c r="C2831" s="409" t="n">
        <x:v>562.81</x:v>
      </x:c>
      <x:c r="D2831" s="410" t="n">
        <x:v>25</x:v>
      </x:c>
      <x:c r="E2831" t="str">
        <x:v>TOP_05</x:v>
      </x:c>
      <x:c r="F2831" t="str">
        <x:v>GoblinMelee</x:v>
      </x:c>
      <x:c r="G2831" s="410" t="n">
        <x:v>49</x:v>
      </x:c>
    </x:row>
    <x:row r="2832">
      <x:c r="A2832" t="str">
        <x:v>Stage01</x:v>
      </x:c>
      <x:c r="B2832" t="str">
        <x:v>WAVE_57</x:v>
      </x:c>
      <x:c r="C2832" s="409" t="n">
        <x:v>562.89</x:v>
      </x:c>
      <x:c r="D2832" s="410" t="n">
        <x:v>26</x:v>
      </x:c>
      <x:c r="E2832" t="str">
        <x:v>RIGHT_06</x:v>
      </x:c>
      <x:c r="F2832" t="str">
        <x:v>GoblinRanged</x:v>
      </x:c>
      <x:c r="G2832" s="410" t="n">
        <x:v>49</x:v>
      </x:c>
    </x:row>
    <x:row r="2833">
      <x:c r="A2833" t="str">
        <x:v>Stage01</x:v>
      </x:c>
      <x:c r="B2833" t="str">
        <x:v>WAVE_57</x:v>
      </x:c>
      <x:c r="C2833" s="409" t="n">
        <x:v>562.96</x:v>
      </x:c>
      <x:c r="D2833" s="410" t="n">
        <x:v>27</x:v>
      </x:c>
      <x:c r="E2833" t="str">
        <x:v>BOTTOM_07</x:v>
      </x:c>
      <x:c r="F2833" t="str">
        <x:v>GoblinMelee</x:v>
      </x:c>
      <x:c r="G2833" s="410" t="n">
        <x:v>49</x:v>
      </x:c>
    </x:row>
    <x:row r="2834">
      <x:c r="A2834" t="str">
        <x:v>Stage01</x:v>
      </x:c>
      <x:c r="B2834" t="str">
        <x:v>WAVE_57</x:v>
      </x:c>
      <x:c r="C2834" s="409" t="n">
        <x:v>563.04</x:v>
      </x:c>
      <x:c r="D2834" s="410" t="n">
        <x:v>28</x:v>
      </x:c>
      <x:c r="E2834" t="str">
        <x:v>LEFT_08</x:v>
      </x:c>
      <x:c r="F2834" t="str">
        <x:v>FlyingEye</x:v>
      </x:c>
      <x:c r="G2834" s="410" t="n">
        <x:v>49</x:v>
      </x:c>
    </x:row>
    <x:row r="2835">
      <x:c r="A2835" t="str">
        <x:v>Stage01</x:v>
      </x:c>
      <x:c r="B2835" t="str">
        <x:v>WAVE_57</x:v>
      </x:c>
      <x:c r="C2835" s="409" t="n">
        <x:v>563.11</x:v>
      </x:c>
      <x:c r="D2835" s="410" t="n">
        <x:v>29</x:v>
      </x:c>
      <x:c r="E2835" t="str">
        <x:v>TOP_02</x:v>
      </x:c>
      <x:c r="F2835" t="str">
        <x:v>GoblinRanged</x:v>
      </x:c>
      <x:c r="G2835" s="410" t="n">
        <x:v>49</x:v>
      </x:c>
    </x:row>
    <x:row r="2836">
      <x:c r="A2836" t="str">
        <x:v>Stage01</x:v>
      </x:c>
      <x:c r="B2836" t="str">
        <x:v>WAVE_57</x:v>
      </x:c>
      <x:c r="C2836" s="409" t="n">
        <x:v>563.19</x:v>
      </x:c>
      <x:c r="D2836" s="410" t="n">
        <x:v>30</x:v>
      </x:c>
      <x:c r="E2836" t="str">
        <x:v>RIGHT_03</x:v>
      </x:c>
      <x:c r="F2836" t="str">
        <x:v>GoblinMelee</x:v>
      </x:c>
      <x:c r="G2836" s="410" t="n">
        <x:v>49</x:v>
      </x:c>
    </x:row>
    <x:row r="2837">
      <x:c r="A2837" t="str">
        <x:v>Stage01</x:v>
      </x:c>
      <x:c r="B2837" t="str">
        <x:v>WAVE_57</x:v>
      </x:c>
      <x:c r="C2837" s="409" t="n">
        <x:v>563.26</x:v>
      </x:c>
      <x:c r="D2837" s="410" t="n">
        <x:v>31</x:v>
      </x:c>
      <x:c r="E2837" t="str">
        <x:v>BOTTOM_04</x:v>
      </x:c>
      <x:c r="F2837" t="str">
        <x:v>ShieldSkeleton</x:v>
      </x:c>
      <x:c r="G2837" s="410" t="n">
        <x:v>49</x:v>
      </x:c>
    </x:row>
    <x:row r="2838">
      <x:c r="A2838" t="str">
        <x:v>Stage01</x:v>
      </x:c>
      <x:c r="B2838" t="str">
        <x:v>WAVE_57</x:v>
      </x:c>
      <x:c r="C2838" s="409" t="n">
        <x:v>563.34</x:v>
      </x:c>
      <x:c r="D2838" s="410" t="n">
        <x:v>32</x:v>
      </x:c>
      <x:c r="E2838" t="str">
        <x:v>LEFT_05</x:v>
      </x:c>
      <x:c r="F2838" t="str">
        <x:v>GoblinMelee</x:v>
      </x:c>
      <x:c r="G2838" s="410" t="n">
        <x:v>49</x:v>
      </x:c>
    </x:row>
    <x:row r="2839">
      <x:c r="A2839" t="str">
        <x:v>Stage01</x:v>
      </x:c>
      <x:c r="B2839" t="str">
        <x:v>WAVE_57</x:v>
      </x:c>
      <x:c r="C2839" s="409" t="n">
        <x:v>563.41</x:v>
      </x:c>
      <x:c r="D2839" s="410" t="n">
        <x:v>33</x:v>
      </x:c>
      <x:c r="E2839" t="str">
        <x:v>TOP_07</x:v>
      </x:c>
      <x:c r="F2839" t="str">
        <x:v>GoblinRanged</x:v>
      </x:c>
      <x:c r="G2839" s="410" t="n">
        <x:v>49</x:v>
      </x:c>
    </x:row>
    <x:row r="2840">
      <x:c r="A2840" t="str">
        <x:v>Stage01</x:v>
      </x:c>
      <x:c r="B2840" t="str">
        <x:v>WAVE_57</x:v>
      </x:c>
      <x:c r="C2840" s="409" t="n">
        <x:v>563.49</x:v>
      </x:c>
      <x:c r="D2840" s="410" t="n">
        <x:v>34</x:v>
      </x:c>
      <x:c r="E2840" t="str">
        <x:v>RIGHT_08</x:v>
      </x:c>
      <x:c r="F2840" t="str">
        <x:v>GoblinMelee</x:v>
      </x:c>
      <x:c r="G2840" s="410" t="n">
        <x:v>48</x:v>
      </x:c>
    </x:row>
    <x:row r="2841">
      <x:c r="A2841" t="str">
        <x:v>Stage01</x:v>
      </x:c>
      <x:c r="B2841" t="str">
        <x:v>WAVE_57</x:v>
      </x:c>
      <x:c r="C2841" s="409" t="n">
        <x:v>563.56</x:v>
      </x:c>
      <x:c r="D2841" s="410" t="n">
        <x:v>35</x:v>
      </x:c>
      <x:c r="E2841" t="str">
        <x:v>BOTTOM_01</x:v>
      </x:c>
      <x:c r="F2841" t="str">
        <x:v>GoblinMelee</x:v>
      </x:c>
      <x:c r="G2841" s="410" t="n">
        <x:v>49</x:v>
      </x:c>
    </x:row>
    <x:row r="2842">
      <x:c r="A2842" t="str">
        <x:v>Stage01</x:v>
      </x:c>
      <x:c r="B2842" t="str">
        <x:v>WAVE_57</x:v>
      </x:c>
      <x:c r="C2842" s="409" t="n">
        <x:v>563.64</x:v>
      </x:c>
      <x:c r="D2842" s="410" t="n">
        <x:v>36</x:v>
      </x:c>
      <x:c r="E2842" t="str">
        <x:v>LEFT_02</x:v>
      </x:c>
      <x:c r="F2842" t="str">
        <x:v>GoblinRanged</x:v>
      </x:c>
      <x:c r="G2842" s="410" t="n">
        <x:v>49</x:v>
      </x:c>
    </x:row>
    <x:row r="2843">
      <x:c r="A2843" t="str">
        <x:v>Stage01</x:v>
      </x:c>
      <x:c r="B2843" t="str">
        <x:v>WAVE_57</x:v>
      </x:c>
      <x:c r="C2843" s="409" t="n">
        <x:v>563.72</x:v>
      </x:c>
      <x:c r="D2843" s="410" t="n">
        <x:v>37</x:v>
      </x:c>
      <x:c r="E2843" t="str">
        <x:v>TOP_04</x:v>
      </x:c>
      <x:c r="F2843" t="str">
        <x:v>GoblinMelee</x:v>
      </x:c>
      <x:c r="G2843" s="410" t="n">
        <x:v>49</x:v>
      </x:c>
    </x:row>
    <x:row r="2844">
      <x:c r="A2844" t="str">
        <x:v>Stage01</x:v>
      </x:c>
      <x:c r="B2844" t="str">
        <x:v>WAVE_57</x:v>
      </x:c>
      <x:c r="C2844" s="409" t="n">
        <x:v>563.79</x:v>
      </x:c>
      <x:c r="D2844" s="410" t="n">
        <x:v>38</x:v>
      </x:c>
      <x:c r="E2844" t="str">
        <x:v>RIGHT_05</x:v>
      </x:c>
      <x:c r="F2844" t="str">
        <x:v>ShieldSkeleton</x:v>
      </x:c>
      <x:c r="G2844" s="410" t="n">
        <x:v>49</x:v>
      </x:c>
    </x:row>
    <x:row r="2845">
      <x:c r="A2845" t="str">
        <x:v>Stage01</x:v>
      </x:c>
      <x:c r="B2845" t="str">
        <x:v>WAVE_57</x:v>
      </x:c>
      <x:c r="C2845" s="409" t="n">
        <x:v>563.87</x:v>
      </x:c>
      <x:c r="D2845" s="410" t="n">
        <x:v>39</x:v>
      </x:c>
      <x:c r="E2845" t="str">
        <x:v>BOTTOM_06</x:v>
      </x:c>
      <x:c r="F2845" t="str">
        <x:v>GoblinMelee</x:v>
      </x:c>
      <x:c r="G2845" s="410" t="n">
        <x:v>49</x:v>
      </x:c>
    </x:row>
    <x:row r="2846">
      <x:c r="A2846" t="str">
        <x:v>Stage01</x:v>
      </x:c>
      <x:c r="B2846" t="str">
        <x:v>WAVE_57</x:v>
      </x:c>
      <x:c r="C2846" s="409" t="n">
        <x:v>563.94</x:v>
      </x:c>
      <x:c r="D2846" s="410" t="n">
        <x:v>40</x:v>
      </x:c>
      <x:c r="E2846" t="str">
        <x:v>LEFT_07</x:v>
      </x:c>
      <x:c r="F2846" t="str">
        <x:v>GoblinRanged</x:v>
      </x:c>
      <x:c r="G2846" s="410" t="n">
        <x:v>49</x:v>
      </x:c>
    </x:row>
    <x:row r="2847">
      <x:c r="A2847" t="str">
        <x:v>Stage01</x:v>
      </x:c>
      <x:c r="B2847" t="str">
        <x:v>WAVE_57</x:v>
      </x:c>
      <x:c r="C2847" s="409" t="n">
        <x:v>564.02</x:v>
      </x:c>
      <x:c r="D2847" s="410" t="n">
        <x:v>41</x:v>
      </x:c>
      <x:c r="E2847" t="str">
        <x:v>TOP_01</x:v>
      </x:c>
      <x:c r="F2847" t="str">
        <x:v>GoblinMelee</x:v>
      </x:c>
      <x:c r="G2847" s="410" t="n">
        <x:v>49</x:v>
      </x:c>
    </x:row>
    <x:row r="2848">
      <x:c r="A2848" t="str">
        <x:v>Stage01</x:v>
      </x:c>
      <x:c r="B2848" t="str">
        <x:v>WAVE_57</x:v>
      </x:c>
      <x:c r="C2848" s="409" t="n">
        <x:v>564.09</x:v>
      </x:c>
      <x:c r="D2848" s="410" t="n">
        <x:v>42</x:v>
      </x:c>
      <x:c r="E2848" t="str">
        <x:v>RIGHT_02</x:v>
      </x:c>
      <x:c r="F2848" t="str">
        <x:v>GoblinRanged</x:v>
      </x:c>
      <x:c r="G2848" s="410" t="n">
        <x:v>49</x:v>
      </x:c>
    </x:row>
    <x:row r="2849">
      <x:c r="A2849" t="str">
        <x:v>Stage01</x:v>
      </x:c>
      <x:c r="B2849" t="str">
        <x:v>WAVE_57</x:v>
      </x:c>
      <x:c r="C2849" s="409" t="n">
        <x:v>564.17</x:v>
      </x:c>
      <x:c r="D2849" s="410" t="n">
        <x:v>43</x:v>
      </x:c>
      <x:c r="E2849" t="str">
        <x:v>BOTTOM_03</x:v>
      </x:c>
      <x:c r="F2849" t="str">
        <x:v>FlyingEye</x:v>
      </x:c>
      <x:c r="G2849" s="410" t="n">
        <x:v>49</x:v>
      </x:c>
    </x:row>
    <x:row r="2850">
      <x:c r="A2850" t="str">
        <x:v>Stage01</x:v>
      </x:c>
      <x:c r="B2850" t="str">
        <x:v>WAVE_57</x:v>
      </x:c>
      <x:c r="C2850" s="409" t="n">
        <x:v>564.24</x:v>
      </x:c>
      <x:c r="D2850" s="410" t="n">
        <x:v>44</x:v>
      </x:c>
      <x:c r="E2850" t="str">
        <x:v>LEFT_04</x:v>
      </x:c>
      <x:c r="F2850" t="str">
        <x:v>ShieldSkeleton</x:v>
      </x:c>
      <x:c r="G2850" s="410" t="n">
        <x:v>48</x:v>
      </x:c>
    </x:row>
    <x:row r="2851">
      <x:c r="A2851" t="str">
        <x:v>Stage01</x:v>
      </x:c>
      <x:c r="B2851" t="str">
        <x:v>WAVE_57</x:v>
      </x:c>
      <x:c r="C2851" s="409" t="n">
        <x:v>564.32</x:v>
      </x:c>
      <x:c r="D2851" s="410" t="n">
        <x:v>45</x:v>
      </x:c>
      <x:c r="E2851" t="str">
        <x:v>TOP_06</x:v>
      </x:c>
      <x:c r="F2851" t="str">
        <x:v>GoblinMelee</x:v>
      </x:c>
      <x:c r="G2851" s="410" t="n">
        <x:v>49</x:v>
      </x:c>
    </x:row>
    <x:row r="2852">
      <x:c r="A2852" t="str">
        <x:v>Stage01</x:v>
      </x:c>
      <x:c r="B2852" t="str">
        <x:v>WAVE_57</x:v>
      </x:c>
      <x:c r="C2852" s="409" t="n">
        <x:v>564.39</x:v>
      </x:c>
      <x:c r="D2852" s="410" t="n">
        <x:v>46</x:v>
      </x:c>
      <x:c r="E2852" t="str">
        <x:v>RIGHT_07</x:v>
      </x:c>
      <x:c r="F2852" t="str">
        <x:v>GoblinMelee</x:v>
      </x:c>
      <x:c r="G2852" s="410" t="n">
        <x:v>49</x:v>
      </x:c>
    </x:row>
    <x:row r="2853">
      <x:c r="A2853" t="str">
        <x:v>Stage01</x:v>
      </x:c>
      <x:c r="B2853" t="str">
        <x:v>WAVE_57</x:v>
      </x:c>
      <x:c r="C2853" s="409" t="n">
        <x:v>564.47</x:v>
      </x:c>
      <x:c r="D2853" s="410" t="n">
        <x:v>47</x:v>
      </x:c>
      <x:c r="E2853" t="str">
        <x:v>BOTTOM_08</x:v>
      </x:c>
      <x:c r="F2853" t="str">
        <x:v>GoblinRanged</x:v>
      </x:c>
      <x:c r="G2853" s="410" t="n">
        <x:v>49</x:v>
      </x:c>
    </x:row>
    <x:row r="2854">
      <x:c r="A2854" t="str">
        <x:v>Stage01</x:v>
      </x:c>
      <x:c r="B2854" t="str">
        <x:v>WAVE_57</x:v>
      </x:c>
      <x:c r="C2854" s="409" t="n">
        <x:v>564.55</x:v>
      </x:c>
      <x:c r="D2854" s="410" t="n">
        <x:v>48</x:v>
      </x:c>
      <x:c r="E2854" t="str">
        <x:v>LEFT_01</x:v>
      </x:c>
      <x:c r="F2854" t="str">
        <x:v>GoblinMelee</x:v>
      </x:c>
      <x:c r="G2854" s="410" t="n">
        <x:v>49</x:v>
      </x:c>
    </x:row>
    <x:row r="2855">
      <x:c r="A2855" t="str">
        <x:v>Stage01</x:v>
      </x:c>
      <x:c r="B2855" t="str">
        <x:v>WAVE_57</x:v>
      </x:c>
      <x:c r="C2855" s="409" t="n">
        <x:v>564.62</x:v>
      </x:c>
      <x:c r="D2855" s="410" t="n">
        <x:v>49</x:v>
      </x:c>
      <x:c r="E2855" t="str">
        <x:v>TOP_03</x:v>
      </x:c>
      <x:c r="F2855" t="str">
        <x:v>GoblinRanged</x:v>
      </x:c>
      <x:c r="G2855" s="410" t="n">
        <x:v>49</x:v>
      </x:c>
    </x:row>
    <x:row r="2856">
      <x:c r="A2856" t="str">
        <x:v>Stage01</x:v>
      </x:c>
      <x:c r="B2856" t="str">
        <x:v>WAVE_57</x:v>
      </x:c>
      <x:c r="C2856" s="409" t="n">
        <x:v>564.7</x:v>
      </x:c>
      <x:c r="D2856" s="410" t="n">
        <x:v>50</x:v>
      </x:c>
      <x:c r="E2856" t="str">
        <x:v>RIGHT_04</x:v>
      </x:c>
      <x:c r="F2856" t="str">
        <x:v>GoblinMelee</x:v>
      </x:c>
      <x:c r="G2856" s="410" t="n">
        <x:v>49</x:v>
      </x:c>
    </x:row>
    <x:row r="2857">
      <x:c r="A2857" t="str">
        <x:v>Stage01</x:v>
      </x:c>
      <x:c r="B2857" t="str">
        <x:v>WAVE_57</x:v>
      </x:c>
      <x:c r="C2857" s="409" t="n">
        <x:v>564.77</x:v>
      </x:c>
      <x:c r="D2857" s="410" t="n">
        <x:v>51</x:v>
      </x:c>
      <x:c r="E2857" t="str">
        <x:v>BOTTOM_05</x:v>
      </x:c>
      <x:c r="F2857" t="str">
        <x:v>ShieldSkeleton</x:v>
      </x:c>
      <x:c r="G2857" s="410" t="n">
        <x:v>49</x:v>
      </x:c>
    </x:row>
    <x:row r="2858">
      <x:c r="A2858" t="str">
        <x:v>Stage01</x:v>
      </x:c>
      <x:c r="B2858" t="str">
        <x:v>WAVE_57</x:v>
      </x:c>
      <x:c r="C2858" s="409" t="n">
        <x:v>564.85</x:v>
      </x:c>
      <x:c r="D2858" s="410" t="n">
        <x:v>52</x:v>
      </x:c>
      <x:c r="E2858" t="str">
        <x:v>LEFT_06</x:v>
      </x:c>
      <x:c r="F2858" t="str">
        <x:v>GoblinMelee</x:v>
      </x:c>
      <x:c r="G2858" s="410" t="n">
        <x:v>49</x:v>
      </x:c>
    </x:row>
    <x:row r="2859">
      <x:c r="A2859" t="str">
        <x:v>Stage01</x:v>
      </x:c>
      <x:c r="B2859" t="str">
        <x:v>WAVE_57</x:v>
      </x:c>
      <x:c r="C2859" s="409" t="n">
        <x:v>564.92</x:v>
      </x:c>
      <x:c r="D2859" s="410" t="n">
        <x:v>53</x:v>
      </x:c>
      <x:c r="E2859" t="str">
        <x:v>TOP_08</x:v>
      </x:c>
      <x:c r="F2859" t="str">
        <x:v>GoblinRanged</x:v>
      </x:c>
      <x:c r="G2859" s="410" t="n">
        <x:v>48</x:v>
      </x:c>
    </x:row>
    <x:row r="2860">
      <x:c r="A2860" t="str">
        <x:v>Stage01</x:v>
      </x:c>
      <x:c r="B2860" t="str">
        <x:v>WAVE_57</x:v>
      </x:c>
      <x:c r="C2860" s="409" t="n">
        <x:v>565</x:v>
      </x:c>
      <x:c r="D2860" s="410" t="n">
        <x:v>54</x:v>
      </x:c>
      <x:c r="E2860" t="str">
        <x:v>RIGHT_01</x:v>
      </x:c>
      <x:c r="F2860" t="str">
        <x:v>GoblinMelee</x:v>
      </x:c>
      <x:c r="G2860" s="410" t="n">
        <x:v>49</x:v>
      </x:c>
    </x:row>
    <x:row r="2861">
      <x:c r="A2861" t="str">
        <x:v>Stage01</x:v>
      </x:c>
      <x:c r="B2861" t="str">
        <x:v>WAVE_57</x:v>
      </x:c>
      <x:c r="C2861" s="409" t="n">
        <x:v>565.07</x:v>
      </x:c>
      <x:c r="D2861" s="410" t="n">
        <x:v>55</x:v>
      </x:c>
      <x:c r="E2861" t="str">
        <x:v>BOTTOM_02</x:v>
      </x:c>
      <x:c r="F2861" t="str">
        <x:v>GoblinMelee</x:v>
      </x:c>
      <x:c r="G2861" s="410" t="n">
        <x:v>49</x:v>
      </x:c>
    </x:row>
    <x:row r="2862">
      <x:c r="A2862" t="str">
        <x:v>Stage01</x:v>
      </x:c>
      <x:c r="B2862" t="str">
        <x:v>WAVE_57</x:v>
      </x:c>
      <x:c r="C2862" s="409" t="n">
        <x:v>565.15</x:v>
      </x:c>
      <x:c r="D2862" s="410" t="n">
        <x:v>56</x:v>
      </x:c>
      <x:c r="E2862" t="str">
        <x:v>LEFT_03</x:v>
      </x:c>
      <x:c r="F2862" t="str">
        <x:v>GoblinRanged</x:v>
      </x:c>
      <x:c r="G2862" s="410" t="n">
        <x:v>49</x:v>
      </x:c>
    </x:row>
    <x:row r="2863">
      <x:c r="A2863" t="str">
        <x:v>Stage01</x:v>
      </x:c>
      <x:c r="B2863" t="str">
        <x:v>WAVE_57</x:v>
      </x:c>
      <x:c r="C2863" s="409" t="n">
        <x:v>565.22</x:v>
      </x:c>
      <x:c r="D2863" s="410" t="n">
        <x:v>57</x:v>
      </x:c>
      <x:c r="E2863" t="str">
        <x:v>TOP_05</x:v>
      </x:c>
      <x:c r="F2863" t="str">
        <x:v>FlyingEye</x:v>
      </x:c>
      <x:c r="G2863" s="410" t="n">
        <x:v>49</x:v>
      </x:c>
    </x:row>
    <x:row r="2864">
      <x:c r="A2864" t="str">
        <x:v>Stage01</x:v>
      </x:c>
      <x:c r="B2864" t="str">
        <x:v>WAVE_57</x:v>
      </x:c>
      <x:c r="C2864" s="409" t="n">
        <x:v>565.3</x:v>
      </x:c>
      <x:c r="D2864" s="410" t="n">
        <x:v>58</x:v>
      </x:c>
      <x:c r="E2864" t="str">
        <x:v>RIGHT_06</x:v>
      </x:c>
      <x:c r="F2864" t="str">
        <x:v>ShieldSkeleton</x:v>
      </x:c>
      <x:c r="G2864" s="410" t="n">
        <x:v>49</x:v>
      </x:c>
    </x:row>
    <x:row r="2865">
      <x:c r="A2865" t="str">
        <x:v>Stage01</x:v>
      </x:c>
      <x:c r="B2865" t="str">
        <x:v>WAVE_57</x:v>
      </x:c>
      <x:c r="C2865" s="409" t="n">
        <x:v>565.38</x:v>
      </x:c>
      <x:c r="D2865" s="410" t="n">
        <x:v>59</x:v>
      </x:c>
      <x:c r="E2865" t="str">
        <x:v>BOTTOM_07</x:v>
      </x:c>
      <x:c r="F2865" t="str">
        <x:v>GoblinMelee</x:v>
      </x:c>
      <x:c r="G2865" s="410" t="n">
        <x:v>49</x:v>
      </x:c>
    </x:row>
    <x:row r="2866">
      <x:c r="A2866" t="str">
        <x:v>Stage01</x:v>
      </x:c>
      <x:c r="B2866" t="str">
        <x:v>WAVE_57</x:v>
      </x:c>
      <x:c r="C2866" s="409" t="n">
        <x:v>565.45</x:v>
      </x:c>
      <x:c r="D2866" s="410" t="n">
        <x:v>60</x:v>
      </x:c>
      <x:c r="E2866" t="str">
        <x:v>LEFT_08</x:v>
      </x:c>
      <x:c r="F2866" t="str">
        <x:v>GoblinRanged</x:v>
      </x:c>
      <x:c r="G2866" s="410" t="n">
        <x:v>49</x:v>
      </x:c>
    </x:row>
    <x:row r="2867">
      <x:c r="A2867" t="str">
        <x:v>Stage01</x:v>
      </x:c>
      <x:c r="B2867" t="str">
        <x:v>WAVE_57</x:v>
      </x:c>
      <x:c r="C2867" s="409" t="n">
        <x:v>565.53</x:v>
      </x:c>
      <x:c r="D2867" s="410" t="n">
        <x:v>61</x:v>
      </x:c>
      <x:c r="E2867" t="str">
        <x:v>TOP_02</x:v>
      </x:c>
      <x:c r="F2867" t="str">
        <x:v>GoblinMelee</x:v>
      </x:c>
      <x:c r="G2867" s="410" t="n">
        <x:v>49</x:v>
      </x:c>
    </x:row>
    <x:row r="2868">
      <x:c r="A2868" t="str">
        <x:v>Stage01</x:v>
      </x:c>
      <x:c r="B2868" t="str">
        <x:v>WAVE_57</x:v>
      </x:c>
      <x:c r="C2868" s="409" t="n">
        <x:v>565.6</x:v>
      </x:c>
      <x:c r="D2868" s="410" t="n">
        <x:v>62</x:v>
      </x:c>
      <x:c r="E2868" t="str">
        <x:v>RIGHT_03</x:v>
      </x:c>
      <x:c r="F2868" t="str">
        <x:v>GoblinMelee</x:v>
      </x:c>
      <x:c r="G2868" s="410" t="n">
        <x:v>49</x:v>
      </x:c>
    </x:row>
    <x:row r="2869">
      <x:c r="A2869" t="str">
        <x:v>Stage01</x:v>
      </x:c>
      <x:c r="B2869" t="str">
        <x:v>WAVE_57</x:v>
      </x:c>
      <x:c r="C2869" s="409" t="n">
        <x:v>565.68</x:v>
      </x:c>
      <x:c r="D2869" s="410" t="n">
        <x:v>63</x:v>
      </x:c>
      <x:c r="E2869" t="str">
        <x:v>BOTTOM_04</x:v>
      </x:c>
      <x:c r="F2869" t="str">
        <x:v>GoblinRanged</x:v>
      </x:c>
      <x:c r="G2869" s="410" t="n">
        <x:v>48</x:v>
      </x:c>
    </x:row>
    <x:row r="2870">
      <x:c r="A2870" t="str">
        <x:v>Stage01</x:v>
      </x:c>
      <x:c r="B2870" t="str">
        <x:v>WAVE_57</x:v>
      </x:c>
      <x:c r="C2870" s="409" t="n">
        <x:v>565.75</x:v>
      </x:c>
      <x:c r="D2870" s="410" t="n">
        <x:v>64</x:v>
      </x:c>
      <x:c r="E2870" t="str">
        <x:v>LEFT_05</x:v>
      </x:c>
      <x:c r="F2870" t="str">
        <x:v>GoblinMelee</x:v>
      </x:c>
      <x:c r="G2870" s="410" t="n">
        <x:v>49</x:v>
      </x:c>
    </x:row>
    <x:row r="2871">
      <x:c r="A2871" t="str">
        <x:v>Stage01</x:v>
      </x:c>
      <x:c r="B2871" t="str">
        <x:v>WAVE_57</x:v>
      </x:c>
      <x:c r="C2871" s="409" t="n">
        <x:v>565.83</x:v>
      </x:c>
      <x:c r="D2871" s="410" t="n">
        <x:v>65</x:v>
      </x:c>
      <x:c r="E2871" t="str">
        <x:v>TOP_07</x:v>
      </x:c>
      <x:c r="F2871" t="str">
        <x:v>ShieldSkeleton</x:v>
      </x:c>
      <x:c r="G2871" s="410" t="n">
        <x:v>49</x:v>
      </x:c>
    </x:row>
    <x:row r="2872">
      <x:c r="A2872" t="str">
        <x:v>Stage01</x:v>
      </x:c>
      <x:c r="B2872" t="str">
        <x:v>WAVE_57</x:v>
      </x:c>
      <x:c r="C2872" s="409" t="n">
        <x:v>565.9</x:v>
      </x:c>
      <x:c r="D2872" s="410" t="n">
        <x:v>66</x:v>
      </x:c>
      <x:c r="E2872" t="str">
        <x:v>RIGHT_08</x:v>
      </x:c>
      <x:c r="F2872" t="str">
        <x:v>GoblinMelee</x:v>
      </x:c>
      <x:c r="G2872" s="410" t="n">
        <x:v>49</x:v>
      </x:c>
    </x:row>
    <x:row r="2873">
      <x:c r="A2873" t="str">
        <x:v>Stage01</x:v>
      </x:c>
      <x:c r="B2873" t="str">
        <x:v>WAVE_57</x:v>
      </x:c>
      <x:c r="C2873" s="409" t="n">
        <x:v>565.98</x:v>
      </x:c>
      <x:c r="D2873" s="410" t="n">
        <x:v>67</x:v>
      </x:c>
      <x:c r="E2873" t="str">
        <x:v>BOTTOM_01</x:v>
      </x:c>
      <x:c r="F2873" t="str">
        <x:v>GoblinRanged</x:v>
      </x:c>
      <x:c r="G2873" s="410" t="n">
        <x:v>49</x:v>
      </x:c>
    </x:row>
    <x:row r="2874">
      <x:c r="A2874" t="str">
        <x:v>Stage01</x:v>
      </x:c>
      <x:c r="B2874" t="str">
        <x:v>WAVE_57</x:v>
      </x:c>
      <x:c r="C2874" s="409" t="n">
        <x:v>566.05</x:v>
      </x:c>
      <x:c r="D2874" s="410" t="n">
        <x:v>68</x:v>
      </x:c>
      <x:c r="E2874" t="str">
        <x:v>LEFT_02</x:v>
      </x:c>
      <x:c r="F2874" t="str">
        <x:v>GoblinMelee</x:v>
      </x:c>
      <x:c r="G2874" s="410" t="n">
        <x:v>49</x:v>
      </x:c>
    </x:row>
    <x:row r="2875">
      <x:c r="A2875" t="str">
        <x:v>Stage01</x:v>
      </x:c>
      <x:c r="B2875" t="str">
        <x:v>WAVE_57</x:v>
      </x:c>
      <x:c r="C2875" s="409" t="n">
        <x:v>566.13</x:v>
      </x:c>
      <x:c r="D2875" s="410" t="n">
        <x:v>69</x:v>
      </x:c>
      <x:c r="E2875" t="str">
        <x:v>TOP_04</x:v>
      </x:c>
      <x:c r="F2875" t="str">
        <x:v>GoblinMelee</x:v>
      </x:c>
      <x:c r="G2875" s="410" t="n">
        <x:v>49</x:v>
      </x:c>
    </x:row>
    <x:row r="2876">
      <x:c r="A2876" t="str">
        <x:v>Stage01</x:v>
      </x:c>
      <x:c r="B2876" t="str">
        <x:v>WAVE_57</x:v>
      </x:c>
      <x:c r="C2876" s="409" t="n">
        <x:v>566.21</x:v>
      </x:c>
      <x:c r="D2876" s="410" t="n">
        <x:v>70</x:v>
      </x:c>
      <x:c r="E2876" t="str">
        <x:v>RIGHT_05</x:v>
      </x:c>
      <x:c r="F2876" t="str">
        <x:v>GoblinRanged</x:v>
      </x:c>
      <x:c r="G2876" s="410" t="n">
        <x:v>49</x:v>
      </x:c>
    </x:row>
    <x:row r="2877">
      <x:c r="A2877" t="str">
        <x:v>Stage01</x:v>
      </x:c>
      <x:c r="B2877" t="str">
        <x:v>WAVE_57</x:v>
      </x:c>
      <x:c r="C2877" s="409" t="n">
        <x:v>566.28</x:v>
      </x:c>
      <x:c r="D2877" s="410" t="n">
        <x:v>71</x:v>
      </x:c>
      <x:c r="E2877" t="str">
        <x:v>BOTTOM_06</x:v>
      </x:c>
      <x:c r="F2877" t="str">
        <x:v>FlyingEye</x:v>
      </x:c>
      <x:c r="G2877" s="410" t="n">
        <x:v>49</x:v>
      </x:c>
    </x:row>
    <x:row r="2878">
      <x:c r="A2878" t="str">
        <x:v>Stage01</x:v>
      </x:c>
      <x:c r="B2878" t="str">
        <x:v>WAVE_57</x:v>
      </x:c>
      <x:c r="C2878" s="409" t="n">
        <x:v>566.36</x:v>
      </x:c>
      <x:c r="D2878" s="410" t="n">
        <x:v>72</x:v>
      </x:c>
      <x:c r="E2878" t="str">
        <x:v>LEFT_07</x:v>
      </x:c>
      <x:c r="F2878" t="str">
        <x:v>ShieldSkeleton</x:v>
      </x:c>
      <x:c r="G2878" s="410" t="n">
        <x:v>48</x:v>
      </x:c>
    </x:row>
    <x:row r="2879">
      <x:c r="A2879" t="str">
        <x:v>Stage01</x:v>
      </x:c>
      <x:c r="B2879" t="str">
        <x:v>WAVE_57</x:v>
      </x:c>
      <x:c r="C2879" s="409" t="n">
        <x:v>566.43</x:v>
      </x:c>
      <x:c r="D2879" s="410" t="n">
        <x:v>73</x:v>
      </x:c>
      <x:c r="E2879" t="str">
        <x:v>TOP_01</x:v>
      </x:c>
      <x:c r="F2879" t="str">
        <x:v>GoblinMelee</x:v>
      </x:c>
      <x:c r="G2879" s="410" t="n">
        <x:v>49</x:v>
      </x:c>
    </x:row>
    <x:row r="2880">
      <x:c r="A2880" t="str">
        <x:v>Stage01</x:v>
      </x:c>
      <x:c r="B2880" t="str">
        <x:v>WAVE_57</x:v>
      </x:c>
      <x:c r="C2880" s="409" t="n">
        <x:v>566.51</x:v>
      </x:c>
      <x:c r="D2880" s="410" t="n">
        <x:v>74</x:v>
      </x:c>
      <x:c r="E2880" t="str">
        <x:v>RIGHT_02</x:v>
      </x:c>
      <x:c r="F2880" t="str">
        <x:v>GoblinRanged</x:v>
      </x:c>
      <x:c r="G2880" s="410" t="n">
        <x:v>49</x:v>
      </x:c>
    </x:row>
    <x:row r="2881">
      <x:c r="A2881" t="str">
        <x:v>Stage01</x:v>
      </x:c>
      <x:c r="B2881" t="str">
        <x:v>WAVE_57</x:v>
      </x:c>
      <x:c r="C2881" s="409" t="n">
        <x:v>566.58</x:v>
      </x:c>
      <x:c r="D2881" s="410" t="n">
        <x:v>75</x:v>
      </x:c>
      <x:c r="E2881" t="str">
        <x:v>BOTTOM_03</x:v>
      </x:c>
      <x:c r="F2881" t="str">
        <x:v>GoblinMelee</x:v>
      </x:c>
      <x:c r="G2881" s="410" t="n">
        <x:v>49</x:v>
      </x:c>
    </x:row>
    <x:row r="2882">
      <x:c r="A2882" t="str">
        <x:v>Stage01</x:v>
      </x:c>
      <x:c r="B2882" t="str">
        <x:v>WAVE_57</x:v>
      </x:c>
      <x:c r="C2882" s="409" t="n">
        <x:v>566.66</x:v>
      </x:c>
      <x:c r="D2882" s="410" t="n">
        <x:v>76</x:v>
      </x:c>
      <x:c r="E2882" t="str">
        <x:v>LEFT_04</x:v>
      </x:c>
      <x:c r="F2882" t="str">
        <x:v>GoblinRanged</x:v>
      </x:c>
      <x:c r="G2882" s="410" t="n">
        <x:v>49</x:v>
      </x:c>
    </x:row>
    <x:row r="2883">
      <x:c r="A2883" t="str">
        <x:v>Stage01</x:v>
      </x:c>
      <x:c r="B2883" t="str">
        <x:v>WAVE_57</x:v>
      </x:c>
      <x:c r="C2883" s="409" t="n">
        <x:v>566.73</x:v>
      </x:c>
      <x:c r="D2883" s="410" t="n">
        <x:v>77</x:v>
      </x:c>
      <x:c r="E2883" t="str">
        <x:v>TOP_06</x:v>
      </x:c>
      <x:c r="F2883" t="str">
        <x:v>GoblinMelee</x:v>
      </x:c>
      <x:c r="G2883" s="410" t="n">
        <x:v>49</x:v>
      </x:c>
    </x:row>
    <x:row r="2884">
      <x:c r="A2884" t="str">
        <x:v>Stage01</x:v>
      </x:c>
      <x:c r="B2884" t="str">
        <x:v>WAVE_57</x:v>
      </x:c>
      <x:c r="C2884" s="409" t="n">
        <x:v>566.81</x:v>
      </x:c>
      <x:c r="D2884" s="410" t="n">
        <x:v>78</x:v>
      </x:c>
      <x:c r="E2884" t="str">
        <x:v>RIGHT_07</x:v>
      </x:c>
      <x:c r="F2884" t="str">
        <x:v>ShieldSkeleton</x:v>
      </x:c>
      <x:c r="G2884" s="410" t="n">
        <x:v>49</x:v>
      </x:c>
    </x:row>
    <x:row r="2885">
      <x:c r="A2885" t="str">
        <x:v>Stage01</x:v>
      </x:c>
      <x:c r="B2885" t="str">
        <x:v>WAVE_57</x:v>
      </x:c>
      <x:c r="C2885" s="409" t="n">
        <x:v>566.88</x:v>
      </x:c>
      <x:c r="D2885" s="410" t="n">
        <x:v>79</x:v>
      </x:c>
      <x:c r="E2885" t="str">
        <x:v>BOTTOM_08</x:v>
      </x:c>
      <x:c r="F2885" t="str">
        <x:v>GoblinMelee</x:v>
      </x:c>
      <x:c r="G2885" s="410" t="n">
        <x:v>49</x:v>
      </x:c>
    </x:row>
    <x:row r="2886">
      <x:c r="A2886" t="str">
        <x:v>Stage01</x:v>
      </x:c>
      <x:c r="B2886" t="str">
        <x:v>WAVE_57</x:v>
      </x:c>
      <x:c r="C2886" s="409" t="n">
        <x:v>566.96</x:v>
      </x:c>
      <x:c r="D2886" s="410" t="n">
        <x:v>80</x:v>
      </x:c>
      <x:c r="E2886" t="str">
        <x:v>LEFT_01</x:v>
      </x:c>
      <x:c r="F2886" t="str">
        <x:v>GoblinRanged</x:v>
      </x:c>
      <x:c r="G2886" s="410" t="n">
        <x:v>49</x:v>
      </x:c>
    </x:row>
    <x:row r="2887">
      <x:c r="A2887" t="str">
        <x:v>Stage01</x:v>
      </x:c>
      <x:c r="B2887" t="str">
        <x:v>WAVE_57</x:v>
      </x:c>
      <x:c r="C2887" s="409" t="n">
        <x:v>567.04</x:v>
      </x:c>
      <x:c r="D2887" s="410" t="n">
        <x:v>81</x:v>
      </x:c>
      <x:c r="E2887" t="str">
        <x:v>TOP_03</x:v>
      </x:c>
      <x:c r="F2887" t="str">
        <x:v>GoblinMelee</x:v>
      </x:c>
      <x:c r="G2887" s="410" t="n">
        <x:v>49</x:v>
      </x:c>
    </x:row>
    <x:row r="2888">
      <x:c r="A2888" t="str">
        <x:v>Stage01</x:v>
      </x:c>
      <x:c r="B2888" t="str">
        <x:v>WAVE_57</x:v>
      </x:c>
      <x:c r="C2888" s="409" t="n">
        <x:v>567.11</x:v>
      </x:c>
      <x:c r="D2888" s="410" t="n">
        <x:v>82</x:v>
      </x:c>
      <x:c r="E2888" t="str">
        <x:v>RIGHT_04</x:v>
      </x:c>
      <x:c r="F2888" t="str">
        <x:v>GoblinMelee</x:v>
      </x:c>
      <x:c r="G2888" s="410" t="n">
        <x:v>48</x:v>
      </x:c>
    </x:row>
    <x:row r="2889">
      <x:c r="A2889" t="str">
        <x:v>Stage01</x:v>
      </x:c>
      <x:c r="B2889" t="str">
        <x:v>WAVE_57</x:v>
      </x:c>
      <x:c r="C2889" s="409" t="n">
        <x:v>567.19</x:v>
      </x:c>
      <x:c r="D2889" s="410" t="n">
        <x:v>83</x:v>
      </x:c>
      <x:c r="E2889" t="str">
        <x:v>BOTTOM_05</x:v>
      </x:c>
      <x:c r="F2889" t="str">
        <x:v>GoblinRanged</x:v>
      </x:c>
      <x:c r="G2889" s="410" t="n">
        <x:v>49</x:v>
      </x:c>
    </x:row>
    <x:row r="2890">
      <x:c r="A2890" t="str">
        <x:v>Stage01</x:v>
      </x:c>
      <x:c r="B2890" t="str">
        <x:v>WAVE_57</x:v>
      </x:c>
      <x:c r="C2890" s="409" t="n">
        <x:v>567.26</x:v>
      </x:c>
      <x:c r="D2890" s="410" t="n">
        <x:v>84</x:v>
      </x:c>
      <x:c r="E2890" t="str">
        <x:v>LEFT_06</x:v>
      </x:c>
      <x:c r="F2890" t="str">
        <x:v>GoblinMelee</x:v>
      </x:c>
      <x:c r="G2890" s="410" t="n">
        <x:v>49</x:v>
      </x:c>
    </x:row>
    <x:row r="2891">
      <x:c r="A2891" t="str">
        <x:v>Stage01</x:v>
      </x:c>
      <x:c r="B2891" t="str">
        <x:v>WAVE_57</x:v>
      </x:c>
      <x:c r="C2891" s="409" t="n">
        <x:v>567.34</x:v>
      </x:c>
      <x:c r="D2891" s="410" t="n">
        <x:v>85</x:v>
      </x:c>
      <x:c r="E2891" t="str">
        <x:v>TOP_08</x:v>
      </x:c>
      <x:c r="F2891" t="str">
        <x:v>ShieldSkeleton</x:v>
      </x:c>
      <x:c r="G2891" s="410" t="n">
        <x:v>49</x:v>
      </x:c>
    </x:row>
    <x:row r="2892">
      <x:c r="A2892" t="str">
        <x:v>Stage01</x:v>
      </x:c>
      <x:c r="B2892" t="str">
        <x:v>WAVE_57</x:v>
      </x:c>
      <x:c r="C2892" s="409" t="n">
        <x:v>567.41</x:v>
      </x:c>
      <x:c r="D2892" s="410" t="n">
        <x:v>86</x:v>
      </x:c>
      <x:c r="E2892" t="str">
        <x:v>RIGHT_01</x:v>
      </x:c>
      <x:c r="F2892" t="str">
        <x:v>FlyingEye</x:v>
      </x:c>
      <x:c r="G2892" s="410" t="n">
        <x:v>49</x:v>
      </x:c>
    </x:row>
    <x:row r="2893">
      <x:c r="A2893" t="str">
        <x:v>Stage01</x:v>
      </x:c>
      <x:c r="B2893" t="str">
        <x:v>WAVE_57</x:v>
      </x:c>
      <x:c r="C2893" s="409" t="n">
        <x:v>567.49</x:v>
      </x:c>
      <x:c r="D2893" s="410" t="n">
        <x:v>87</x:v>
      </x:c>
      <x:c r="E2893" t="str">
        <x:v>BOTTOM_02</x:v>
      </x:c>
      <x:c r="F2893" t="str">
        <x:v>GoblinRanged</x:v>
      </x:c>
      <x:c r="G2893" s="410" t="n">
        <x:v>49</x:v>
      </x:c>
    </x:row>
    <x:row r="2894">
      <x:c r="A2894" t="str">
        <x:v>Stage01</x:v>
      </x:c>
      <x:c r="B2894" t="str">
        <x:v>WAVE_57</x:v>
      </x:c>
      <x:c r="C2894" s="409" t="n">
        <x:v>567.56</x:v>
      </x:c>
      <x:c r="D2894" s="410" t="n">
        <x:v>88</x:v>
      </x:c>
      <x:c r="E2894" t="str">
        <x:v>LEFT_03</x:v>
      </x:c>
      <x:c r="F2894" t="str">
        <x:v>GoblinMelee</x:v>
      </x:c>
      <x:c r="G2894" s="410" t="n">
        <x:v>49</x:v>
      </x:c>
    </x:row>
    <x:row r="2895">
      <x:c r="A2895" t="str">
        <x:v>Stage01</x:v>
      </x:c>
      <x:c r="B2895" t="str">
        <x:v>WAVE_57</x:v>
      </x:c>
      <x:c r="C2895" s="409" t="n">
        <x:v>567.64</x:v>
      </x:c>
      <x:c r="D2895" s="410" t="n">
        <x:v>89</x:v>
      </x:c>
      <x:c r="E2895" t="str">
        <x:v>TOP_05</x:v>
      </x:c>
      <x:c r="F2895" t="str">
        <x:v>GoblinMelee</x:v>
      </x:c>
      <x:c r="G2895" s="410" t="n">
        <x:v>49</x:v>
      </x:c>
    </x:row>
    <x:row r="2896">
      <x:c r="A2896" t="str">
        <x:v>Stage01</x:v>
      </x:c>
      <x:c r="B2896" t="str">
        <x:v>WAVE_57</x:v>
      </x:c>
      <x:c r="C2896" s="409" t="n">
        <x:v>567.71</x:v>
      </x:c>
      <x:c r="D2896" s="410" t="n">
        <x:v>90</x:v>
      </x:c>
      <x:c r="E2896" t="str">
        <x:v>RIGHT_06</x:v>
      </x:c>
      <x:c r="F2896" t="str">
        <x:v>GoblinRanged</x:v>
      </x:c>
      <x:c r="G2896" s="410" t="n">
        <x:v>49</x:v>
      </x:c>
    </x:row>
    <x:row r="2897">
      <x:c r="A2897" t="str">
        <x:v>Stage01</x:v>
      </x:c>
      <x:c r="B2897" t="str">
        <x:v>WAVE_57</x:v>
      </x:c>
      <x:c r="C2897" s="409" t="n">
        <x:v>567.79</x:v>
      </x:c>
      <x:c r="D2897" s="410" t="n">
        <x:v>91</x:v>
      </x:c>
      <x:c r="E2897" t="str">
        <x:v>BOTTOM_07</x:v>
      </x:c>
      <x:c r="F2897" t="str">
        <x:v>GoblinMelee</x:v>
      </x:c>
      <x:c r="G2897" s="410" t="n">
        <x:v>49</x:v>
      </x:c>
    </x:row>
    <x:row r="2898">
      <x:c r="A2898" t="str">
        <x:v>Stage01</x:v>
      </x:c>
      <x:c r="B2898" t="str">
        <x:v>WAVE_57</x:v>
      </x:c>
      <x:c r="C2898" s="409" t="n">
        <x:v>567.86</x:v>
      </x:c>
      <x:c r="D2898" s="410" t="n">
        <x:v>92</x:v>
      </x:c>
      <x:c r="E2898" t="str">
        <x:v>LEFT_08</x:v>
      </x:c>
      <x:c r="F2898" t="str">
        <x:v>ShieldSkeleton</x:v>
      </x:c>
      <x:c r="G2898" s="410" t="n">
        <x:v>48</x:v>
      </x:c>
    </x:row>
    <x:row r="2899">
      <x:c r="A2899" t="str">
        <x:v>Stage01</x:v>
      </x:c>
      <x:c r="B2899" t="str">
        <x:v>WAVE_57</x:v>
      </x:c>
      <x:c r="C2899" s="409" t="n">
        <x:v>567.94</x:v>
      </x:c>
      <x:c r="D2899" s="410" t="n">
        <x:v>93</x:v>
      </x:c>
      <x:c r="E2899" t="str">
        <x:v>TOP_02</x:v>
      </x:c>
      <x:c r="F2899" t="str">
        <x:v>GoblinMelee</x:v>
      </x:c>
      <x:c r="G2899" s="410" t="n">
        <x:v>49</x:v>
      </x:c>
    </x:row>
    <x:row r="2900">
      <x:c r="A2900" t="str">
        <x:v>Stage01</x:v>
      </x:c>
      <x:c r="B2900" t="str">
        <x:v>WAVE_57</x:v>
      </x:c>
      <x:c r="C2900" s="409" t="n">
        <x:v>568.02</x:v>
      </x:c>
      <x:c r="D2900" s="410" t="n">
        <x:v>94</x:v>
      </x:c>
      <x:c r="E2900" t="str">
        <x:v>RIGHT_03</x:v>
      </x:c>
      <x:c r="F2900" t="str">
        <x:v>GoblinRanged</x:v>
      </x:c>
      <x:c r="G2900" s="410" t="n">
        <x:v>49</x:v>
      </x:c>
    </x:row>
    <x:row r="2901">
      <x:c r="A2901" t="str">
        <x:v>Stage01</x:v>
      </x:c>
      <x:c r="B2901" t="str">
        <x:v>WAVE_57</x:v>
      </x:c>
      <x:c r="C2901" s="409" t="n">
        <x:v>568.09</x:v>
      </x:c>
      <x:c r="D2901" s="410" t="n">
        <x:v>95</x:v>
      </x:c>
      <x:c r="E2901" t="str">
        <x:v>BOTTOM_04</x:v>
      </x:c>
      <x:c r="F2901" t="str">
        <x:v>GoblinMelee</x:v>
      </x:c>
      <x:c r="G2901" s="410" t="n">
        <x:v>49</x:v>
      </x:c>
    </x:row>
    <x:row r="2902">
      <x:c r="A2902" t="str">
        <x:v>Stage01</x:v>
      </x:c>
      <x:c r="B2902" t="str">
        <x:v>WAVE_57</x:v>
      </x:c>
      <x:c r="C2902" s="409" t="n">
        <x:v>568.17</x:v>
      </x:c>
      <x:c r="D2902" s="410" t="n">
        <x:v>96</x:v>
      </x:c>
      <x:c r="E2902" t="str">
        <x:v>LEFT_05</x:v>
      </x:c>
      <x:c r="F2902" t="str">
        <x:v>GoblinMelee</x:v>
      </x:c>
      <x:c r="G2902" s="410" t="n">
        <x:v>49</x:v>
      </x:c>
    </x:row>
    <x:row r="2903">
      <x:c r="A2903" t="str">
        <x:v>Stage01</x:v>
      </x:c>
      <x:c r="B2903" t="str">
        <x:v>WAVE_57</x:v>
      </x:c>
      <x:c r="C2903" s="409" t="n">
        <x:v>568.24</x:v>
      </x:c>
      <x:c r="D2903" s="410" t="n">
        <x:v>97</x:v>
      </x:c>
      <x:c r="E2903" t="str">
        <x:v>TOP_07</x:v>
      </x:c>
      <x:c r="F2903" t="str">
        <x:v>GoblinRanged</x:v>
      </x:c>
      <x:c r="G2903" s="410" t="n">
        <x:v>49</x:v>
      </x:c>
    </x:row>
    <x:row r="2904">
      <x:c r="A2904" t="str">
        <x:v>Stage01</x:v>
      </x:c>
      <x:c r="B2904" t="str">
        <x:v>WAVE_57</x:v>
      </x:c>
      <x:c r="C2904" s="409" t="n">
        <x:v>568.32</x:v>
      </x:c>
      <x:c r="D2904" s="410" t="n">
        <x:v>98</x:v>
      </x:c>
      <x:c r="E2904" t="str">
        <x:v>RIGHT_08</x:v>
      </x:c>
      <x:c r="F2904" t="str">
        <x:v>GoblinMelee</x:v>
      </x:c>
      <x:c r="G2904" s="410" t="n">
        <x:v>49</x:v>
      </x:c>
    </x:row>
    <x:row r="2905">
      <x:c r="A2905" t="str">
        <x:v>Stage01</x:v>
      </x:c>
      <x:c r="B2905" t="str">
        <x:v>WAVE_57</x:v>
      </x:c>
      <x:c r="C2905" s="409" t="n">
        <x:v>568.39</x:v>
      </x:c>
      <x:c r="D2905" s="410" t="n">
        <x:v>99</x:v>
      </x:c>
      <x:c r="E2905" t="str">
        <x:v>BOTTOM_01</x:v>
      </x:c>
      <x:c r="F2905" t="str">
        <x:v>ShieldSkeleton</x:v>
      </x:c>
      <x:c r="G2905" s="410" t="n">
        <x:v>49</x:v>
      </x:c>
    </x:row>
    <x:row r="2906">
      <x:c r="A2906" t="str">
        <x:v>Stage01</x:v>
      </x:c>
      <x:c r="B2906" t="str">
        <x:v>WAVE_57</x:v>
      </x:c>
      <x:c r="C2906" s="409" t="n">
        <x:v>568.47</x:v>
      </x:c>
      <x:c r="D2906" s="410" t="n">
        <x:v>100</x:v>
      </x:c>
      <x:c r="E2906" t="str">
        <x:v>LEFT_02</x:v>
      </x:c>
      <x:c r="F2906" t="str">
        <x:v>FlyingEye</x:v>
      </x:c>
      <x:c r="G2906" s="410" t="n">
        <x:v>49</x:v>
      </x:c>
    </x:row>
    <x:row r="2907">
      <x:c r="A2907" t="str">
        <x:v>Stage01</x:v>
      </x:c>
      <x:c r="B2907" t="str">
        <x:v>WAVE_57</x:v>
      </x:c>
      <x:c r="C2907" s="409" t="n">
        <x:v>568.54</x:v>
      </x:c>
      <x:c r="D2907" s="410" t="n">
        <x:v>101</x:v>
      </x:c>
      <x:c r="E2907" t="str">
        <x:v>TOP_04</x:v>
      </x:c>
      <x:c r="F2907" t="str">
        <x:v>GoblinRanged</x:v>
      </x:c>
      <x:c r="G2907" s="410" t="n">
        <x:v>48</x:v>
      </x:c>
    </x:row>
    <x:row r="2908">
      <x:c r="A2908" t="str">
        <x:v>Stage01</x:v>
      </x:c>
      <x:c r="B2908" t="str">
        <x:v>WAVE_57</x:v>
      </x:c>
      <x:c r="C2908" s="409" t="n">
        <x:v>568.62</x:v>
      </x:c>
      <x:c r="D2908" s="410" t="n">
        <x:v>102</x:v>
      </x:c>
      <x:c r="E2908" t="str">
        <x:v>RIGHT_05</x:v>
      </x:c>
      <x:c r="F2908" t="str">
        <x:v>GoblinMelee</x:v>
      </x:c>
      <x:c r="G2908" s="410" t="n">
        <x:v>49</x:v>
      </x:c>
    </x:row>
    <x:row r="2909">
      <x:c r="A2909" t="str">
        <x:v>Stage01</x:v>
      </x:c>
      <x:c r="B2909" t="str">
        <x:v>WAVE_57</x:v>
      </x:c>
      <x:c r="C2909" s="409" t="n">
        <x:v>568.69</x:v>
      </x:c>
      <x:c r="D2909" s="410" t="n">
        <x:v>103</x:v>
      </x:c>
      <x:c r="E2909" t="str">
        <x:v>BOTTOM_06</x:v>
      </x:c>
      <x:c r="F2909" t="str">
        <x:v>GoblinRanged</x:v>
      </x:c>
      <x:c r="G2909" s="410" t="n">
        <x:v>49</x:v>
      </x:c>
    </x:row>
    <x:row r="2910">
      <x:c r="A2910" t="str">
        <x:v>Stage01</x:v>
      </x:c>
      <x:c r="B2910" t="str">
        <x:v>WAVE_57</x:v>
      </x:c>
      <x:c r="C2910" s="409" t="n">
        <x:v>568.77</x:v>
      </x:c>
      <x:c r="D2910" s="410" t="n">
        <x:v>104</x:v>
      </x:c>
      <x:c r="E2910" t="str">
        <x:v>LEFT_07</x:v>
      </x:c>
      <x:c r="F2910" t="str">
        <x:v>GoblinMelee</x:v>
      </x:c>
      <x:c r="G2910" s="410" t="n">
        <x:v>49</x:v>
      </x:c>
    </x:row>
    <x:row r="2911">
      <x:c r="A2911" t="str">
        <x:v>Stage01</x:v>
      </x:c>
      <x:c r="B2911" t="str">
        <x:v>WAVE_57</x:v>
      </x:c>
      <x:c r="C2911" s="409" t="n">
        <x:v>568.85</x:v>
      </x:c>
      <x:c r="D2911" s="410" t="n">
        <x:v>105</x:v>
      </x:c>
      <x:c r="E2911" t="str">
        <x:v>TOP_01</x:v>
      </x:c>
      <x:c r="F2911" t="str">
        <x:v>ShieldSkeleton</x:v>
      </x:c>
      <x:c r="G2911" s="410" t="n">
        <x:v>49</x:v>
      </x:c>
    </x:row>
    <x:row r="2912">
      <x:c r="A2912" t="str">
        <x:v>Stage01</x:v>
      </x:c>
      <x:c r="B2912" t="str">
        <x:v>WAVE_57</x:v>
      </x:c>
      <x:c r="C2912" s="409" t="n">
        <x:v>568.92</x:v>
      </x:c>
      <x:c r="D2912" s="410" t="n">
        <x:v>106</x:v>
      </x:c>
      <x:c r="E2912" t="str">
        <x:v>RIGHT_02</x:v>
      </x:c>
      <x:c r="F2912" t="str">
        <x:v>GoblinMelee</x:v>
      </x:c>
      <x:c r="G2912" s="410" t="n">
        <x:v>49</x:v>
      </x:c>
    </x:row>
    <x:row r="2913">
      <x:c r="A2913" t="str">
        <x:v>Stage01</x:v>
      </x:c>
      <x:c r="B2913" t="str">
        <x:v>WAVE_57</x:v>
      </x:c>
      <x:c r="C2913" s="409" t="n">
        <x:v>569</x:v>
      </x:c>
      <x:c r="D2913" s="410" t="n">
        <x:v>107</x:v>
      </x:c>
      <x:c r="E2913" t="str">
        <x:v>BOTTOM_03</x:v>
      </x:c>
      <x:c r="F2913" t="str">
        <x:v>GoblinRanged</x:v>
      </x:c>
      <x:c r="G2913" s="410" t="n">
        <x:v>49</x:v>
      </x:c>
    </x:row>
    <x:row r="2914">
      <x:c r="A2914" t="str">
        <x:v>Stage01</x:v>
      </x:c>
      <x:c r="B2914" t="str">
        <x:v>WAVE_57</x:v>
      </x:c>
      <x:c r="C2914" s="409" t="n">
        <x:v>569.07</x:v>
      </x:c>
      <x:c r="D2914" s="410" t="n">
        <x:v>108</x:v>
      </x:c>
      <x:c r="E2914" t="str">
        <x:v>LEFT_04</x:v>
      </x:c>
      <x:c r="F2914" t="str">
        <x:v>GoblinMelee</x:v>
      </x:c>
      <x:c r="G2914" s="410" t="n">
        <x:v>49</x:v>
      </x:c>
    </x:row>
    <x:row r="2915">
      <x:c r="A2915" t="str">
        <x:v>Stage01</x:v>
      </x:c>
      <x:c r="B2915" t="str">
        <x:v>WAVE_57</x:v>
      </x:c>
      <x:c r="C2915" s="409" t="n">
        <x:v>569.15</x:v>
      </x:c>
      <x:c r="D2915" s="410" t="n">
        <x:v>109</x:v>
      </x:c>
      <x:c r="E2915" t="str">
        <x:v>TOP_06</x:v>
      </x:c>
      <x:c r="F2915" t="str">
        <x:v>GoblinMelee</x:v>
      </x:c>
      <x:c r="G2915" s="410" t="n">
        <x:v>49</x:v>
      </x:c>
    </x:row>
    <x:row r="2916">
      <x:c r="A2916" t="str">
        <x:v>Stage01</x:v>
      </x:c>
      <x:c r="B2916" t="str">
        <x:v>WAVE_57</x:v>
      </x:c>
      <x:c r="C2916" s="409" t="n">
        <x:v>569.22</x:v>
      </x:c>
      <x:c r="D2916" s="410" t="n">
        <x:v>110</x:v>
      </x:c>
      <x:c r="E2916" t="str">
        <x:v>RIGHT_07</x:v>
      </x:c>
      <x:c r="F2916" t="str">
        <x:v>GoblinRanged</x:v>
      </x:c>
      <x:c r="G2916" s="410" t="n">
        <x:v>49</x:v>
      </x:c>
    </x:row>
    <x:row r="2917">
      <x:c r="A2917" t="str">
        <x:v>Stage01</x:v>
      </x:c>
      <x:c r="B2917" t="str">
        <x:v>WAVE_57</x:v>
      </x:c>
      <x:c r="C2917" s="409" t="n">
        <x:v>569.3</x:v>
      </x:c>
      <x:c r="D2917" s="410" t="n">
        <x:v>111</x:v>
      </x:c>
      <x:c r="E2917" t="str">
        <x:v>BOTTOM_08</x:v>
      </x:c>
      <x:c r="F2917" t="str">
        <x:v>GoblinMelee</x:v>
      </x:c>
      <x:c r="G2917" s="410" t="n">
        <x:v>48</x:v>
      </x:c>
    </x:row>
    <x:row r="2918">
      <x:c r="A2918" t="str">
        <x:v>Stage01</x:v>
      </x:c>
      <x:c r="B2918" t="str">
        <x:v>WAVE_57</x:v>
      </x:c>
      <x:c r="C2918" s="409" t="n">
        <x:v>569.37</x:v>
      </x:c>
      <x:c r="D2918" s="410" t="n">
        <x:v>112</x:v>
      </x:c>
      <x:c r="E2918" t="str">
        <x:v>LEFT_01</x:v>
      </x:c>
      <x:c r="F2918" t="str">
        <x:v>ShieldSkeleton</x:v>
      </x:c>
      <x:c r="G2918" s="410" t="n">
        <x:v>49</x:v>
      </x:c>
    </x:row>
    <x:row r="2919">
      <x:c r="A2919" t="str">
        <x:v>Stage01</x:v>
      </x:c>
      <x:c r="B2919" t="str">
        <x:v>WAVE_57</x:v>
      </x:c>
      <x:c r="C2919" s="409" t="n">
        <x:v>569.45</x:v>
      </x:c>
      <x:c r="D2919" s="410" t="n">
        <x:v>113</x:v>
      </x:c>
      <x:c r="E2919" t="str">
        <x:v>TOP_03</x:v>
      </x:c>
      <x:c r="F2919" t="str">
        <x:v>GoblinMelee</x:v>
      </x:c>
      <x:c r="G2919" s="410" t="n">
        <x:v>49</x:v>
      </x:c>
    </x:row>
    <x:row r="2920">
      <x:c r="A2920" t="str">
        <x:v>Stage01</x:v>
      </x:c>
      <x:c r="B2920" t="str">
        <x:v>WAVE_57</x:v>
      </x:c>
      <x:c r="C2920" s="409" t="n">
        <x:v>569.52</x:v>
      </x:c>
      <x:c r="D2920" s="410" t="n">
        <x:v>114</x:v>
      </x:c>
      <x:c r="E2920" t="str">
        <x:v>RIGHT_04</x:v>
      </x:c>
      <x:c r="F2920" t="str">
        <x:v>GoblinRanged</x:v>
      </x:c>
      <x:c r="G2920" s="410" t="n">
        <x:v>49</x:v>
      </x:c>
    </x:row>
    <x:row r="2921">
      <x:c r="A2921" t="str">
        <x:v>Stage01</x:v>
      </x:c>
      <x:c r="B2921" t="str">
        <x:v>WAVE_57</x:v>
      </x:c>
      <x:c r="C2921" s="409" t="n">
        <x:v>569.6</x:v>
      </x:c>
      <x:c r="D2921" s="410" t="n">
        <x:v>115</x:v>
      </x:c>
      <x:c r="E2921" t="str">
        <x:v>BOTTOM_05</x:v>
      </x:c>
      <x:c r="F2921" t="str">
        <x:v>FlyingEye</x:v>
      </x:c>
      <x:c r="G2921" s="410" t="n">
        <x:v>49</x:v>
      </x:c>
    </x:row>
    <x:row r="2922">
      <x:c r="A2922" t="str">
        <x:v>Stage01</x:v>
      </x:c>
      <x:c r="B2922" t="str">
        <x:v>WAVE_58</x:v>
      </x:c>
      <x:c r="C2922" s="409" t="n">
        <x:v>571</x:v>
      </x:c>
      <x:c r="D2922" s="410" t="n">
        <x:v>1</x:v>
      </x:c>
      <x:c r="E2922" t="str">
        <x:v>BOTTOM_08</x:v>
      </x:c>
      <x:c r="F2922" t="str">
        <x:v>GoblinMelee</x:v>
      </x:c>
      <x:c r="G2922" s="410" t="n">
        <x:v>50</x:v>
      </x:c>
    </x:row>
    <x:row r="2923">
      <x:c r="A2923" t="str">
        <x:v>Stage01</x:v>
      </x:c>
      <x:c r="B2923" t="str">
        <x:v>WAVE_58</x:v>
      </x:c>
      <x:c r="C2923" s="409" t="n">
        <x:v>571.07</x:v>
      </x:c>
      <x:c r="D2923" s="410" t="n">
        <x:v>2</x:v>
      </x:c>
      <x:c r="E2923" t="str">
        <x:v>LEFT_01</x:v>
      </x:c>
      <x:c r="F2923" t="str">
        <x:v>GoblinRanged</x:v>
      </x:c>
      <x:c r="G2923" s="410" t="n">
        <x:v>50</x:v>
      </x:c>
    </x:row>
    <x:row r="2924">
      <x:c r="A2924" t="str">
        <x:v>Stage01</x:v>
      </x:c>
      <x:c r="B2924" t="str">
        <x:v>WAVE_58</x:v>
      </x:c>
      <x:c r="C2924" s="409" t="n">
        <x:v>571.15</x:v>
      </x:c>
      <x:c r="D2924" s="410" t="n">
        <x:v>3</x:v>
      </x:c>
      <x:c r="E2924" t="str">
        <x:v>TOP_03</x:v>
      </x:c>
      <x:c r="F2924" t="str">
        <x:v>GoblinMelee</x:v>
      </x:c>
      <x:c r="G2924" s="410" t="n">
        <x:v>50</x:v>
      </x:c>
    </x:row>
    <x:row r="2925">
      <x:c r="A2925" t="str">
        <x:v>Stage01</x:v>
      </x:c>
      <x:c r="B2925" t="str">
        <x:v>WAVE_58</x:v>
      </x:c>
      <x:c r="C2925" s="409" t="n">
        <x:v>571.22</x:v>
      </x:c>
      <x:c r="D2925" s="410" t="n">
        <x:v>4</x:v>
      </x:c>
      <x:c r="E2925" t="str">
        <x:v>RIGHT_04</x:v>
      </x:c>
      <x:c r="F2925" t="str">
        <x:v>ShieldSkeleton</x:v>
      </x:c>
      <x:c r="G2925" s="410" t="n">
        <x:v>50</x:v>
      </x:c>
    </x:row>
    <x:row r="2926">
      <x:c r="A2926" t="str">
        <x:v>Stage01</x:v>
      </x:c>
      <x:c r="B2926" t="str">
        <x:v>WAVE_58</x:v>
      </x:c>
      <x:c r="C2926" s="409" t="n">
        <x:v>571.29</x:v>
      </x:c>
      <x:c r="D2926" s="410" t="n">
        <x:v>5</x:v>
      </x:c>
      <x:c r="E2926" t="str">
        <x:v>BOTTOM_05</x:v>
      </x:c>
      <x:c r="F2926" t="str">
        <x:v>GoblinMelee</x:v>
      </x:c>
      <x:c r="G2926" s="410" t="n">
        <x:v>50</x:v>
      </x:c>
    </x:row>
    <x:row r="2927">
      <x:c r="A2927" t="str">
        <x:v>Stage01</x:v>
      </x:c>
      <x:c r="B2927" t="str">
        <x:v>WAVE_58</x:v>
      </x:c>
      <x:c r="C2927" s="409" t="n">
        <x:v>571.37</x:v>
      </x:c>
      <x:c r="D2927" s="410" t="n">
        <x:v>6</x:v>
      </x:c>
      <x:c r="E2927" t="str">
        <x:v>LEFT_06</x:v>
      </x:c>
      <x:c r="F2927" t="str">
        <x:v>GoblinRanged</x:v>
      </x:c>
      <x:c r="G2927" s="410" t="n">
        <x:v>50</x:v>
      </x:c>
    </x:row>
    <x:row r="2928">
      <x:c r="A2928" t="str">
        <x:v>Stage01</x:v>
      </x:c>
      <x:c r="B2928" t="str">
        <x:v>WAVE_58</x:v>
      </x:c>
      <x:c r="C2928" s="409" t="n">
        <x:v>571.44</x:v>
      </x:c>
      <x:c r="D2928" s="410" t="n">
        <x:v>7</x:v>
      </x:c>
      <x:c r="E2928" t="str">
        <x:v>TOP_08</x:v>
      </x:c>
      <x:c r="F2928" t="str">
        <x:v>GoblinMelee</x:v>
      </x:c>
      <x:c r="G2928" s="410" t="n">
        <x:v>50</x:v>
      </x:c>
    </x:row>
    <x:row r="2929">
      <x:c r="A2929" t="str">
        <x:v>Stage01</x:v>
      </x:c>
      <x:c r="B2929" t="str">
        <x:v>WAVE_58</x:v>
      </x:c>
      <x:c r="C2929" s="409" t="n">
        <x:v>571.51</x:v>
      </x:c>
      <x:c r="D2929" s="410" t="n">
        <x:v>8</x:v>
      </x:c>
      <x:c r="E2929" t="str">
        <x:v>RIGHT_01</x:v>
      </x:c>
      <x:c r="F2929" t="str">
        <x:v>GoblinMelee</x:v>
      </x:c>
      <x:c r="G2929" s="410" t="n">
        <x:v>49</x:v>
      </x:c>
    </x:row>
    <x:row r="2930">
      <x:c r="A2930" t="str">
        <x:v>Stage01</x:v>
      </x:c>
      <x:c r="B2930" t="str">
        <x:v>WAVE_58</x:v>
      </x:c>
      <x:c r="C2930" s="409" t="n">
        <x:v>571.59</x:v>
      </x:c>
      <x:c r="D2930" s="410" t="n">
        <x:v>9</x:v>
      </x:c>
      <x:c r="E2930" t="str">
        <x:v>BOTTOM_02</x:v>
      </x:c>
      <x:c r="F2930" t="str">
        <x:v>GoblinRanged</x:v>
      </x:c>
      <x:c r="G2930" s="410" t="n">
        <x:v>50</x:v>
      </x:c>
    </x:row>
    <x:row r="2931">
      <x:c r="A2931" t="str">
        <x:v>Stage01</x:v>
      </x:c>
      <x:c r="B2931" t="str">
        <x:v>WAVE_58</x:v>
      </x:c>
      <x:c r="C2931" s="409" t="n">
        <x:v>571.66</x:v>
      </x:c>
      <x:c r="D2931" s="410" t="n">
        <x:v>10</x:v>
      </x:c>
      <x:c r="E2931" t="str">
        <x:v>LEFT_03</x:v>
      </x:c>
      <x:c r="F2931" t="str">
        <x:v>GoblinMelee</x:v>
      </x:c>
      <x:c r="G2931" s="410" t="n">
        <x:v>50</x:v>
      </x:c>
    </x:row>
    <x:row r="2932">
      <x:c r="A2932" t="str">
        <x:v>Stage01</x:v>
      </x:c>
      <x:c r="B2932" t="str">
        <x:v>WAVE_58</x:v>
      </x:c>
      <x:c r="C2932" s="409" t="n">
        <x:v>571.74</x:v>
      </x:c>
      <x:c r="D2932" s="410" t="n">
        <x:v>11</x:v>
      </x:c>
      <x:c r="E2932" t="str">
        <x:v>TOP_05</x:v>
      </x:c>
      <x:c r="F2932" t="str">
        <x:v>ShieldSkeleton</x:v>
      </x:c>
      <x:c r="G2932" s="410" t="n">
        <x:v>50</x:v>
      </x:c>
    </x:row>
    <x:row r="2933">
      <x:c r="A2933" t="str">
        <x:v>Stage01</x:v>
      </x:c>
      <x:c r="B2933" t="str">
        <x:v>WAVE_58</x:v>
      </x:c>
      <x:c r="C2933" s="409" t="n">
        <x:v>571.81</x:v>
      </x:c>
      <x:c r="D2933" s="410" t="n">
        <x:v>12</x:v>
      </x:c>
      <x:c r="E2933" t="str">
        <x:v>RIGHT_06</x:v>
      </x:c>
      <x:c r="F2933" t="str">
        <x:v>GoblinMelee</x:v>
      </x:c>
      <x:c r="G2933" s="410" t="n">
        <x:v>50</x:v>
      </x:c>
    </x:row>
    <x:row r="2934">
      <x:c r="A2934" t="str">
        <x:v>Stage01</x:v>
      </x:c>
      <x:c r="B2934" t="str">
        <x:v>WAVE_58</x:v>
      </x:c>
      <x:c r="C2934" s="409" t="n">
        <x:v>571.88</x:v>
      </x:c>
      <x:c r="D2934" s="410" t="n">
        <x:v>13</x:v>
      </x:c>
      <x:c r="E2934" t="str">
        <x:v>BOTTOM_07</x:v>
      </x:c>
      <x:c r="F2934" t="str">
        <x:v>GoblinRanged</x:v>
      </x:c>
      <x:c r="G2934" s="410" t="n">
        <x:v>50</x:v>
      </x:c>
    </x:row>
    <x:row r="2935">
      <x:c r="A2935" t="str">
        <x:v>Stage01</x:v>
      </x:c>
      <x:c r="B2935" t="str">
        <x:v>WAVE_58</x:v>
      </x:c>
      <x:c r="C2935" s="409" t="n">
        <x:v>571.96</x:v>
      </x:c>
      <x:c r="D2935" s="410" t="n">
        <x:v>14</x:v>
      </x:c>
      <x:c r="E2935" t="str">
        <x:v>LEFT_08</x:v>
      </x:c>
      <x:c r="F2935" t="str">
        <x:v>FlyingEye</x:v>
      </x:c>
      <x:c r="G2935" s="410" t="n">
        <x:v>50</x:v>
      </x:c>
    </x:row>
    <x:row r="2936">
      <x:c r="A2936" t="str">
        <x:v>Stage01</x:v>
      </x:c>
      <x:c r="B2936" t="str">
        <x:v>WAVE_58</x:v>
      </x:c>
      <x:c r="C2936" s="409" t="n">
        <x:v>572.03</x:v>
      </x:c>
      <x:c r="D2936" s="410" t="n">
        <x:v>15</x:v>
      </x:c>
      <x:c r="E2936" t="str">
        <x:v>TOP_02</x:v>
      </x:c>
      <x:c r="F2936" t="str">
        <x:v>GoblinRanged</x:v>
      </x:c>
      <x:c r="G2936" s="410" t="n">
        <x:v>50</x:v>
      </x:c>
    </x:row>
    <x:row r="2937">
      <x:c r="A2937" t="str">
        <x:v>Stage01</x:v>
      </x:c>
      <x:c r="B2937" t="str">
        <x:v>WAVE_58</x:v>
      </x:c>
      <x:c r="C2937" s="409" t="n">
        <x:v>572.1</x:v>
      </x:c>
      <x:c r="D2937" s="410" t="n">
        <x:v>16</x:v>
      </x:c>
      <x:c r="E2937" t="str">
        <x:v>RIGHT_03</x:v>
      </x:c>
      <x:c r="F2937" t="str">
        <x:v>GoblinMelee</x:v>
      </x:c>
      <x:c r="G2937" s="410" t="n">
        <x:v>50</x:v>
      </x:c>
    </x:row>
    <x:row r="2938">
      <x:c r="A2938" t="str">
        <x:v>Stage01</x:v>
      </x:c>
      <x:c r="B2938" t="str">
        <x:v>WAVE_58</x:v>
      </x:c>
      <x:c r="C2938" s="409" t="n">
        <x:v>572.18</x:v>
      </x:c>
      <x:c r="D2938" s="410" t="n">
        <x:v>17</x:v>
      </x:c>
      <x:c r="E2938" t="str">
        <x:v>BOTTOM_04</x:v>
      </x:c>
      <x:c r="F2938" t="str">
        <x:v>GoblinMelee</x:v>
      </x:c>
      <x:c r="G2938" s="410" t="n">
        <x:v>50</x:v>
      </x:c>
    </x:row>
    <x:row r="2939">
      <x:c r="A2939" t="str">
        <x:v>Stage01</x:v>
      </x:c>
      <x:c r="B2939" t="str">
        <x:v>WAVE_58</x:v>
      </x:c>
      <x:c r="C2939" s="409" t="n">
        <x:v>572.25</x:v>
      </x:c>
      <x:c r="D2939" s="410" t="n">
        <x:v>18</x:v>
      </x:c>
      <x:c r="E2939" t="str">
        <x:v>LEFT_05</x:v>
      </x:c>
      <x:c r="F2939" t="str">
        <x:v>ShieldSkeleton</x:v>
      </x:c>
      <x:c r="G2939" s="410" t="n">
        <x:v>50</x:v>
      </x:c>
    </x:row>
    <x:row r="2940">
      <x:c r="A2940" t="str">
        <x:v>Stage01</x:v>
      </x:c>
      <x:c r="B2940" t="str">
        <x:v>WAVE_58</x:v>
      </x:c>
      <x:c r="C2940" s="409" t="n">
        <x:v>572.32</x:v>
      </x:c>
      <x:c r="D2940" s="410" t="n">
        <x:v>19</x:v>
      </x:c>
      <x:c r="E2940" t="str">
        <x:v>TOP_07</x:v>
      </x:c>
      <x:c r="F2940" t="str">
        <x:v>GoblinRanged</x:v>
      </x:c>
      <x:c r="G2940" s="410" t="n">
        <x:v>50</x:v>
      </x:c>
    </x:row>
    <x:row r="2941">
      <x:c r="A2941" t="str">
        <x:v>Stage01</x:v>
      </x:c>
      <x:c r="B2941" t="str">
        <x:v>WAVE_58</x:v>
      </x:c>
      <x:c r="C2941" s="409" t="n">
        <x:v>572.4</x:v>
      </x:c>
      <x:c r="D2941" s="410" t="n">
        <x:v>20</x:v>
      </x:c>
      <x:c r="E2941" t="str">
        <x:v>RIGHT_08</x:v>
      </x:c>
      <x:c r="F2941" t="str">
        <x:v>GoblinMelee</x:v>
      </x:c>
      <x:c r="G2941" s="410" t="n">
        <x:v>50</x:v>
      </x:c>
    </x:row>
    <x:row r="2942">
      <x:c r="A2942" t="str">
        <x:v>Stage01</x:v>
      </x:c>
      <x:c r="B2942" t="str">
        <x:v>WAVE_58</x:v>
      </x:c>
      <x:c r="C2942" s="409" t="n">
        <x:v>572.47</x:v>
      </x:c>
      <x:c r="D2942" s="410" t="n">
        <x:v>21</x:v>
      </x:c>
      <x:c r="E2942" t="str">
        <x:v>BOTTOM_01</x:v>
      </x:c>
      <x:c r="F2942" t="str">
        <x:v>GoblinMelee</x:v>
      </x:c>
      <x:c r="G2942" s="410" t="n">
        <x:v>50</x:v>
      </x:c>
    </x:row>
    <x:row r="2943">
      <x:c r="A2943" t="str">
        <x:v>Stage01</x:v>
      </x:c>
      <x:c r="B2943" t="str">
        <x:v>WAVE_58</x:v>
      </x:c>
      <x:c r="C2943" s="409" t="n">
        <x:v>572.54</x:v>
      </x:c>
      <x:c r="D2943" s="410" t="n">
        <x:v>22</x:v>
      </x:c>
      <x:c r="E2943" t="str">
        <x:v>LEFT_02</x:v>
      </x:c>
      <x:c r="F2943" t="str">
        <x:v>GoblinRanged</x:v>
      </x:c>
      <x:c r="G2943" s="410" t="n">
        <x:v>50</x:v>
      </x:c>
    </x:row>
    <x:row r="2944">
      <x:c r="A2944" t="str">
        <x:v>Stage01</x:v>
      </x:c>
      <x:c r="B2944" t="str">
        <x:v>WAVE_58</x:v>
      </x:c>
      <x:c r="C2944" s="409" t="n">
        <x:v>572.62</x:v>
      </x:c>
      <x:c r="D2944" s="410" t="n">
        <x:v>23</x:v>
      </x:c>
      <x:c r="E2944" t="str">
        <x:v>TOP_04</x:v>
      </x:c>
      <x:c r="F2944" t="str">
        <x:v>GoblinMelee</x:v>
      </x:c>
      <x:c r="G2944" s="410" t="n">
        <x:v>49</x:v>
      </x:c>
    </x:row>
    <x:row r="2945">
      <x:c r="A2945" t="str">
        <x:v>Stage01</x:v>
      </x:c>
      <x:c r="B2945" t="str">
        <x:v>WAVE_58</x:v>
      </x:c>
      <x:c r="C2945" s="409" t="n">
        <x:v>572.69</x:v>
      </x:c>
      <x:c r="D2945" s="410" t="n">
        <x:v>24</x:v>
      </x:c>
      <x:c r="E2945" t="str">
        <x:v>RIGHT_05</x:v>
      </x:c>
      <x:c r="F2945" t="str">
        <x:v>ShieldSkeleton</x:v>
      </x:c>
      <x:c r="G2945" s="410" t="n">
        <x:v>50</x:v>
      </x:c>
    </x:row>
    <x:row r="2946">
      <x:c r="A2946" t="str">
        <x:v>Stage01</x:v>
      </x:c>
      <x:c r="B2946" t="str">
        <x:v>WAVE_58</x:v>
      </x:c>
      <x:c r="C2946" s="409" t="n">
        <x:v>572.76</x:v>
      </x:c>
      <x:c r="D2946" s="410" t="n">
        <x:v>25</x:v>
      </x:c>
      <x:c r="E2946" t="str">
        <x:v>BOTTOM_06</x:v>
      </x:c>
      <x:c r="F2946" t="str">
        <x:v>GoblinMelee</x:v>
      </x:c>
      <x:c r="G2946" s="410" t="n">
        <x:v>50</x:v>
      </x:c>
    </x:row>
    <x:row r="2947">
      <x:c r="A2947" t="str">
        <x:v>Stage01</x:v>
      </x:c>
      <x:c r="B2947" t="str">
        <x:v>WAVE_58</x:v>
      </x:c>
      <x:c r="C2947" s="409" t="n">
        <x:v>572.84</x:v>
      </x:c>
      <x:c r="D2947" s="410" t="n">
        <x:v>26</x:v>
      </x:c>
      <x:c r="E2947" t="str">
        <x:v>LEFT_07</x:v>
      </x:c>
      <x:c r="F2947" t="str">
        <x:v>GoblinRanged</x:v>
      </x:c>
      <x:c r="G2947" s="410" t="n">
        <x:v>50</x:v>
      </x:c>
    </x:row>
    <x:row r="2948">
      <x:c r="A2948" t="str">
        <x:v>Stage01</x:v>
      </x:c>
      <x:c r="B2948" t="str">
        <x:v>WAVE_58</x:v>
      </x:c>
      <x:c r="C2948" s="409" t="n">
        <x:v>572.91</x:v>
      </x:c>
      <x:c r="D2948" s="410" t="n">
        <x:v>27</x:v>
      </x:c>
      <x:c r="E2948" t="str">
        <x:v>TOP_01</x:v>
      </x:c>
      <x:c r="F2948" t="str">
        <x:v>GoblinMelee</x:v>
      </x:c>
      <x:c r="G2948" s="410" t="n">
        <x:v>50</x:v>
      </x:c>
    </x:row>
    <x:row r="2949">
      <x:c r="A2949" t="str">
        <x:v>Stage01</x:v>
      </x:c>
      <x:c r="B2949" t="str">
        <x:v>WAVE_58</x:v>
      </x:c>
      <x:c r="C2949" s="409" t="n">
        <x:v>572.98</x:v>
      </x:c>
      <x:c r="D2949" s="410" t="n">
        <x:v>28</x:v>
      </x:c>
      <x:c r="E2949" t="str">
        <x:v>RIGHT_02</x:v>
      </x:c>
      <x:c r="F2949" t="str">
        <x:v>FlyingEye</x:v>
      </x:c>
      <x:c r="G2949" s="410" t="n">
        <x:v>50</x:v>
      </x:c>
    </x:row>
    <x:row r="2950">
      <x:c r="A2950" t="str">
        <x:v>Stage01</x:v>
      </x:c>
      <x:c r="B2950" t="str">
        <x:v>WAVE_58</x:v>
      </x:c>
      <x:c r="C2950" s="409" t="n">
        <x:v>573.06</x:v>
      </x:c>
      <x:c r="D2950" s="410" t="n">
        <x:v>29</x:v>
      </x:c>
      <x:c r="E2950" t="str">
        <x:v>BOTTOM_03</x:v>
      </x:c>
      <x:c r="F2950" t="str">
        <x:v>GoblinRanged</x:v>
      </x:c>
      <x:c r="G2950" s="410" t="n">
        <x:v>50</x:v>
      </x:c>
    </x:row>
    <x:row r="2951">
      <x:c r="A2951" t="str">
        <x:v>Stage01</x:v>
      </x:c>
      <x:c r="B2951" t="str">
        <x:v>WAVE_58</x:v>
      </x:c>
      <x:c r="C2951" s="409" t="n">
        <x:v>573.13</x:v>
      </x:c>
      <x:c r="D2951" s="410" t="n">
        <x:v>30</x:v>
      </x:c>
      <x:c r="E2951" t="str">
        <x:v>LEFT_04</x:v>
      </x:c>
      <x:c r="F2951" t="str">
        <x:v>GoblinMelee</x:v>
      </x:c>
      <x:c r="G2951" s="410" t="n">
        <x:v>50</x:v>
      </x:c>
    </x:row>
    <x:row r="2952">
      <x:c r="A2952" t="str">
        <x:v>Stage01</x:v>
      </x:c>
      <x:c r="B2952" t="str">
        <x:v>WAVE_58</x:v>
      </x:c>
      <x:c r="C2952" s="409" t="n">
        <x:v>573.21</x:v>
      </x:c>
      <x:c r="D2952" s="410" t="n">
        <x:v>31</x:v>
      </x:c>
      <x:c r="E2952" t="str">
        <x:v>TOP_06</x:v>
      </x:c>
      <x:c r="F2952" t="str">
        <x:v>ShieldSkeleton</x:v>
      </x:c>
      <x:c r="G2952" s="410" t="n">
        <x:v>50</x:v>
      </x:c>
    </x:row>
    <x:row r="2953">
      <x:c r="A2953" t="str">
        <x:v>Stage01</x:v>
      </x:c>
      <x:c r="B2953" t="str">
        <x:v>WAVE_58</x:v>
      </x:c>
      <x:c r="C2953" s="409" t="n">
        <x:v>573.28</x:v>
      </x:c>
      <x:c r="D2953" s="410" t="n">
        <x:v>32</x:v>
      </x:c>
      <x:c r="E2953" t="str">
        <x:v>RIGHT_07</x:v>
      </x:c>
      <x:c r="F2953" t="str">
        <x:v>GoblinMelee</x:v>
      </x:c>
      <x:c r="G2953" s="410" t="n">
        <x:v>50</x:v>
      </x:c>
    </x:row>
    <x:row r="2954">
      <x:c r="A2954" t="str">
        <x:v>Stage01</x:v>
      </x:c>
      <x:c r="B2954" t="str">
        <x:v>WAVE_58</x:v>
      </x:c>
      <x:c r="C2954" s="409" t="n">
        <x:v>573.35</x:v>
      </x:c>
      <x:c r="D2954" s="410" t="n">
        <x:v>33</x:v>
      </x:c>
      <x:c r="E2954" t="str">
        <x:v>BOTTOM_08</x:v>
      </x:c>
      <x:c r="F2954" t="str">
        <x:v>GoblinRanged</x:v>
      </x:c>
      <x:c r="G2954" s="410" t="n">
        <x:v>50</x:v>
      </x:c>
    </x:row>
    <x:row r="2955">
      <x:c r="A2955" t="str">
        <x:v>Stage01</x:v>
      </x:c>
      <x:c r="B2955" t="str">
        <x:v>WAVE_58</x:v>
      </x:c>
      <x:c r="C2955" s="409" t="n">
        <x:v>573.43</x:v>
      </x:c>
      <x:c r="D2955" s="410" t="n">
        <x:v>34</x:v>
      </x:c>
      <x:c r="E2955" t="str">
        <x:v>LEFT_01</x:v>
      </x:c>
      <x:c r="F2955" t="str">
        <x:v>GoblinMelee</x:v>
      </x:c>
      <x:c r="G2955" s="410" t="n">
        <x:v>50</x:v>
      </x:c>
    </x:row>
    <x:row r="2956">
      <x:c r="A2956" t="str">
        <x:v>Stage01</x:v>
      </x:c>
      <x:c r="B2956" t="str">
        <x:v>WAVE_58</x:v>
      </x:c>
      <x:c r="C2956" s="409" t="n">
        <x:v>573.5</x:v>
      </x:c>
      <x:c r="D2956" s="410" t="n">
        <x:v>35</x:v>
      </x:c>
      <x:c r="E2956" t="str">
        <x:v>TOP_03</x:v>
      </x:c>
      <x:c r="F2956" t="str">
        <x:v>GoblinMelee</x:v>
      </x:c>
      <x:c r="G2956" s="410" t="n">
        <x:v>50</x:v>
      </x:c>
    </x:row>
    <x:row r="2957">
      <x:c r="A2957" t="str">
        <x:v>Stage01</x:v>
      </x:c>
      <x:c r="B2957" t="str">
        <x:v>WAVE_58</x:v>
      </x:c>
      <x:c r="C2957" s="409" t="n">
        <x:v>573.57</x:v>
      </x:c>
      <x:c r="D2957" s="410" t="n">
        <x:v>36</x:v>
      </x:c>
      <x:c r="E2957" t="str">
        <x:v>RIGHT_04</x:v>
      </x:c>
      <x:c r="F2957" t="str">
        <x:v>GoblinRanged</x:v>
      </x:c>
      <x:c r="G2957" s="410" t="n">
        <x:v>50</x:v>
      </x:c>
    </x:row>
    <x:row r="2958">
      <x:c r="A2958" t="str">
        <x:v>Stage01</x:v>
      </x:c>
      <x:c r="B2958" t="str">
        <x:v>WAVE_58</x:v>
      </x:c>
      <x:c r="C2958" s="409" t="n">
        <x:v>573.65</x:v>
      </x:c>
      <x:c r="D2958" s="410" t="n">
        <x:v>37</x:v>
      </x:c>
      <x:c r="E2958" t="str">
        <x:v>BOTTOM_05</x:v>
      </x:c>
      <x:c r="F2958" t="str">
        <x:v>GoblinMelee</x:v>
      </x:c>
      <x:c r="G2958" s="410" t="n">
        <x:v>49</x:v>
      </x:c>
    </x:row>
    <x:row r="2959">
      <x:c r="A2959" t="str">
        <x:v>Stage01</x:v>
      </x:c>
      <x:c r="B2959" t="str">
        <x:v>WAVE_58</x:v>
      </x:c>
      <x:c r="C2959" s="409" t="n">
        <x:v>573.72</x:v>
      </x:c>
      <x:c r="D2959" s="410" t="n">
        <x:v>38</x:v>
      </x:c>
      <x:c r="E2959" t="str">
        <x:v>LEFT_06</x:v>
      </x:c>
      <x:c r="F2959" t="str">
        <x:v>ShieldSkeleton</x:v>
      </x:c>
      <x:c r="G2959" s="410" t="n">
        <x:v>50</x:v>
      </x:c>
    </x:row>
    <x:row r="2960">
      <x:c r="A2960" t="str">
        <x:v>Stage01</x:v>
      </x:c>
      <x:c r="B2960" t="str">
        <x:v>WAVE_58</x:v>
      </x:c>
      <x:c r="C2960" s="409" t="n">
        <x:v>573.79</x:v>
      </x:c>
      <x:c r="D2960" s="410" t="n">
        <x:v>39</x:v>
      </x:c>
      <x:c r="E2960" t="str">
        <x:v>TOP_08</x:v>
      </x:c>
      <x:c r="F2960" t="str">
        <x:v>GoblinMelee</x:v>
      </x:c>
      <x:c r="G2960" s="410" t="n">
        <x:v>50</x:v>
      </x:c>
    </x:row>
    <x:row r="2961">
      <x:c r="A2961" t="str">
        <x:v>Stage01</x:v>
      </x:c>
      <x:c r="B2961" t="str">
        <x:v>WAVE_58</x:v>
      </x:c>
      <x:c r="C2961" s="409" t="n">
        <x:v>573.87</x:v>
      </x:c>
      <x:c r="D2961" s="410" t="n">
        <x:v>40</x:v>
      </x:c>
      <x:c r="E2961" t="str">
        <x:v>RIGHT_01</x:v>
      </x:c>
      <x:c r="F2961" t="str">
        <x:v>GoblinRanged</x:v>
      </x:c>
      <x:c r="G2961" s="410" t="n">
        <x:v>50</x:v>
      </x:c>
    </x:row>
    <x:row r="2962">
      <x:c r="A2962" t="str">
        <x:v>Stage01</x:v>
      </x:c>
      <x:c r="B2962" t="str">
        <x:v>WAVE_58</x:v>
      </x:c>
      <x:c r="C2962" s="409" t="n">
        <x:v>573.94</x:v>
      </x:c>
      <x:c r="D2962" s="410" t="n">
        <x:v>41</x:v>
      </x:c>
      <x:c r="E2962" t="str">
        <x:v>BOTTOM_02</x:v>
      </x:c>
      <x:c r="F2962" t="str">
        <x:v>GoblinMelee</x:v>
      </x:c>
      <x:c r="G2962" s="410" t="n">
        <x:v>50</x:v>
      </x:c>
    </x:row>
    <x:row r="2963">
      <x:c r="A2963" t="str">
        <x:v>Stage01</x:v>
      </x:c>
      <x:c r="B2963" t="str">
        <x:v>WAVE_58</x:v>
      </x:c>
      <x:c r="C2963" s="409" t="n">
        <x:v>574.01</x:v>
      </x:c>
      <x:c r="D2963" s="410" t="n">
        <x:v>42</x:v>
      </x:c>
      <x:c r="E2963" t="str">
        <x:v>LEFT_03</x:v>
      </x:c>
      <x:c r="F2963" t="str">
        <x:v>FlyingEye</x:v>
      </x:c>
      <x:c r="G2963" s="410" t="n">
        <x:v>50</x:v>
      </x:c>
    </x:row>
    <x:row r="2964">
      <x:c r="A2964" t="str">
        <x:v>Stage01</x:v>
      </x:c>
      <x:c r="B2964" t="str">
        <x:v>WAVE_58</x:v>
      </x:c>
      <x:c r="C2964" s="409" t="n">
        <x:v>574.09</x:v>
      </x:c>
      <x:c r="D2964" s="410" t="n">
        <x:v>43</x:v>
      </x:c>
      <x:c r="E2964" t="str">
        <x:v>TOP_05</x:v>
      </x:c>
      <x:c r="F2964" t="str">
        <x:v>GoblinRanged</x:v>
      </x:c>
      <x:c r="G2964" s="410" t="n">
        <x:v>50</x:v>
      </x:c>
    </x:row>
    <x:row r="2965">
      <x:c r="A2965" t="str">
        <x:v>Stage01</x:v>
      </x:c>
      <x:c r="B2965" t="str">
        <x:v>WAVE_58</x:v>
      </x:c>
      <x:c r="C2965" s="409" t="n">
        <x:v>574.16</x:v>
      </x:c>
      <x:c r="D2965" s="410" t="n">
        <x:v>44</x:v>
      </x:c>
      <x:c r="E2965" t="str">
        <x:v>RIGHT_06</x:v>
      </x:c>
      <x:c r="F2965" t="str">
        <x:v>GoblinMelee</x:v>
      </x:c>
      <x:c r="G2965" s="410" t="n">
        <x:v>50</x:v>
      </x:c>
    </x:row>
    <x:row r="2966">
      <x:c r="A2966" t="str">
        <x:v>Stage01</x:v>
      </x:c>
      <x:c r="B2966" t="str">
        <x:v>WAVE_58</x:v>
      </x:c>
      <x:c r="C2966" s="409" t="n">
        <x:v>574.23</x:v>
      </x:c>
      <x:c r="D2966" s="410" t="n">
        <x:v>45</x:v>
      </x:c>
      <x:c r="E2966" t="str">
        <x:v>BOTTOM_07</x:v>
      </x:c>
      <x:c r="F2966" t="str">
        <x:v>ShieldSkeleton</x:v>
      </x:c>
      <x:c r="G2966" s="410" t="n">
        <x:v>50</x:v>
      </x:c>
    </x:row>
    <x:row r="2967">
      <x:c r="A2967" t="str">
        <x:v>Stage01</x:v>
      </x:c>
      <x:c r="B2967" t="str">
        <x:v>WAVE_58</x:v>
      </x:c>
      <x:c r="C2967" s="409" t="n">
        <x:v>574.31</x:v>
      </x:c>
      <x:c r="D2967" s="410" t="n">
        <x:v>46</x:v>
      </x:c>
      <x:c r="E2967" t="str">
        <x:v>LEFT_08</x:v>
      </x:c>
      <x:c r="F2967" t="str">
        <x:v>GoblinMelee</x:v>
      </x:c>
      <x:c r="G2967" s="410" t="n">
        <x:v>50</x:v>
      </x:c>
    </x:row>
    <x:row r="2968">
      <x:c r="A2968" t="str">
        <x:v>Stage01</x:v>
      </x:c>
      <x:c r="B2968" t="str">
        <x:v>WAVE_58</x:v>
      </x:c>
      <x:c r="C2968" s="409" t="n">
        <x:v>574.38</x:v>
      </x:c>
      <x:c r="D2968" s="410" t="n">
        <x:v>47</x:v>
      </x:c>
      <x:c r="E2968" t="str">
        <x:v>TOP_02</x:v>
      </x:c>
      <x:c r="F2968" t="str">
        <x:v>GoblinRanged</x:v>
      </x:c>
      <x:c r="G2968" s="410" t="n">
        <x:v>50</x:v>
      </x:c>
    </x:row>
    <x:row r="2969">
      <x:c r="A2969" t="str">
        <x:v>Stage01</x:v>
      </x:c>
      <x:c r="B2969" t="str">
        <x:v>WAVE_58</x:v>
      </x:c>
      <x:c r="C2969" s="409" t="n">
        <x:v>574.45</x:v>
      </x:c>
      <x:c r="D2969" s="410" t="n">
        <x:v>48</x:v>
      </x:c>
      <x:c r="E2969" t="str">
        <x:v>RIGHT_03</x:v>
      </x:c>
      <x:c r="F2969" t="str">
        <x:v>GoblinMelee</x:v>
      </x:c>
      <x:c r="G2969" s="410" t="n">
        <x:v>50</x:v>
      </x:c>
    </x:row>
    <x:row r="2970">
      <x:c r="A2970" t="str">
        <x:v>Stage01</x:v>
      </x:c>
      <x:c r="B2970" t="str">
        <x:v>WAVE_58</x:v>
      </x:c>
      <x:c r="C2970" s="409" t="n">
        <x:v>574.53</x:v>
      </x:c>
      <x:c r="D2970" s="410" t="n">
        <x:v>49</x:v>
      </x:c>
      <x:c r="E2970" t="str">
        <x:v>BOTTOM_04</x:v>
      </x:c>
      <x:c r="F2970" t="str">
        <x:v>GoblinRanged</x:v>
      </x:c>
      <x:c r="G2970" s="410" t="n">
        <x:v>50</x:v>
      </x:c>
    </x:row>
    <x:row r="2971">
      <x:c r="A2971" t="str">
        <x:v>Stage01</x:v>
      </x:c>
      <x:c r="B2971" t="str">
        <x:v>WAVE_58</x:v>
      </x:c>
      <x:c r="C2971" s="409" t="n">
        <x:v>574.6</x:v>
      </x:c>
      <x:c r="D2971" s="410" t="n">
        <x:v>50</x:v>
      </x:c>
      <x:c r="E2971" t="str">
        <x:v>LEFT_05</x:v>
      </x:c>
      <x:c r="F2971" t="str">
        <x:v>GoblinMelee</x:v>
      </x:c>
      <x:c r="G2971" s="410" t="n">
        <x:v>50</x:v>
      </x:c>
    </x:row>
    <x:row r="2972">
      <x:c r="A2972" t="str">
        <x:v>Stage01</x:v>
      </x:c>
      <x:c r="B2972" t="str">
        <x:v>WAVE_58</x:v>
      </x:c>
      <x:c r="C2972" s="409" t="n">
        <x:v>574.68</x:v>
      </x:c>
      <x:c r="D2972" s="410" t="n">
        <x:v>51</x:v>
      </x:c>
      <x:c r="E2972" t="str">
        <x:v>TOP_07</x:v>
      </x:c>
      <x:c r="F2972" t="str">
        <x:v>GoblinMelee</x:v>
      </x:c>
      <x:c r="G2972" s="410" t="n">
        <x:v>50</x:v>
      </x:c>
    </x:row>
    <x:row r="2973">
      <x:c r="A2973" t="str">
        <x:v>Stage01</x:v>
      </x:c>
      <x:c r="B2973" t="str">
        <x:v>WAVE_58</x:v>
      </x:c>
      <x:c r="C2973" s="409" t="n">
        <x:v>574.75</x:v>
      </x:c>
      <x:c r="D2973" s="410" t="n">
        <x:v>52</x:v>
      </x:c>
      <x:c r="E2973" t="str">
        <x:v>RIGHT_08</x:v>
      </x:c>
      <x:c r="F2973" t="str">
        <x:v>ShieldSkeleton</x:v>
      </x:c>
      <x:c r="G2973" s="410" t="n">
        <x:v>49</x:v>
      </x:c>
    </x:row>
    <x:row r="2974">
      <x:c r="A2974" t="str">
        <x:v>Stage01</x:v>
      </x:c>
      <x:c r="B2974" t="str">
        <x:v>WAVE_58</x:v>
      </x:c>
      <x:c r="C2974" s="409" t="n">
        <x:v>574.82</x:v>
      </x:c>
      <x:c r="D2974" s="410" t="n">
        <x:v>53</x:v>
      </x:c>
      <x:c r="E2974" t="str">
        <x:v>BOTTOM_01</x:v>
      </x:c>
      <x:c r="F2974" t="str">
        <x:v>GoblinRanged</x:v>
      </x:c>
      <x:c r="G2974" s="410" t="n">
        <x:v>50</x:v>
      </x:c>
    </x:row>
    <x:row r="2975">
      <x:c r="A2975" t="str">
        <x:v>Stage01</x:v>
      </x:c>
      <x:c r="B2975" t="str">
        <x:v>WAVE_58</x:v>
      </x:c>
      <x:c r="C2975" s="409" t="n">
        <x:v>574.9</x:v>
      </x:c>
      <x:c r="D2975" s="410" t="n">
        <x:v>54</x:v>
      </x:c>
      <x:c r="E2975" t="str">
        <x:v>LEFT_02</x:v>
      </x:c>
      <x:c r="F2975" t="str">
        <x:v>GoblinMelee</x:v>
      </x:c>
      <x:c r="G2975" s="410" t="n">
        <x:v>50</x:v>
      </x:c>
    </x:row>
    <x:row r="2976">
      <x:c r="A2976" t="str">
        <x:v>Stage01</x:v>
      </x:c>
      <x:c r="B2976" t="str">
        <x:v>WAVE_58</x:v>
      </x:c>
      <x:c r="C2976" s="409" t="n">
        <x:v>574.97</x:v>
      </x:c>
      <x:c r="D2976" s="410" t="n">
        <x:v>55</x:v>
      </x:c>
      <x:c r="E2976" t="str">
        <x:v>TOP_04</x:v>
      </x:c>
      <x:c r="F2976" t="str">
        <x:v>GoblinMelee</x:v>
      </x:c>
      <x:c r="G2976" s="410" t="n">
        <x:v>50</x:v>
      </x:c>
    </x:row>
    <x:row r="2977">
      <x:c r="A2977" t="str">
        <x:v>Stage01</x:v>
      </x:c>
      <x:c r="B2977" t="str">
        <x:v>WAVE_58</x:v>
      </x:c>
      <x:c r="C2977" s="409" t="n">
        <x:v>575.04</x:v>
      </x:c>
      <x:c r="D2977" s="410" t="n">
        <x:v>56</x:v>
      </x:c>
      <x:c r="E2977" t="str">
        <x:v>RIGHT_05</x:v>
      </x:c>
      <x:c r="F2977" t="str">
        <x:v>GoblinRanged</x:v>
      </x:c>
      <x:c r="G2977" s="410" t="n">
        <x:v>50</x:v>
      </x:c>
    </x:row>
    <x:row r="2978">
      <x:c r="A2978" t="str">
        <x:v>Stage01</x:v>
      </x:c>
      <x:c r="B2978" t="str">
        <x:v>WAVE_58</x:v>
      </x:c>
      <x:c r="C2978" s="409" t="n">
        <x:v>575.12</x:v>
      </x:c>
      <x:c r="D2978" s="410" t="n">
        <x:v>57</x:v>
      </x:c>
      <x:c r="E2978" t="str">
        <x:v>BOTTOM_06</x:v>
      </x:c>
      <x:c r="F2978" t="str">
        <x:v>FlyingEye</x:v>
      </x:c>
      <x:c r="G2978" s="410" t="n">
        <x:v>50</x:v>
      </x:c>
    </x:row>
    <x:row r="2979">
      <x:c r="A2979" t="str">
        <x:v>Stage01</x:v>
      </x:c>
      <x:c r="B2979" t="str">
        <x:v>WAVE_58</x:v>
      </x:c>
      <x:c r="C2979" s="409" t="n">
        <x:v>575.19</x:v>
      </x:c>
      <x:c r="D2979" s="410" t="n">
        <x:v>58</x:v>
      </x:c>
      <x:c r="E2979" t="str">
        <x:v>LEFT_07</x:v>
      </x:c>
      <x:c r="F2979" t="str">
        <x:v>GoblinMelee</x:v>
      </x:c>
      <x:c r="G2979" s="410" t="n">
        <x:v>50</x:v>
      </x:c>
    </x:row>
    <x:row r="2980">
      <x:c r="A2980" t="str">
        <x:v>Stage01</x:v>
      </x:c>
      <x:c r="B2980" t="str">
        <x:v>WAVE_58</x:v>
      </x:c>
      <x:c r="C2980" s="409" t="n">
        <x:v>575.26</x:v>
      </x:c>
      <x:c r="D2980" s="410" t="n">
        <x:v>59</x:v>
      </x:c>
      <x:c r="E2980" t="str">
        <x:v>TOP_01</x:v>
      </x:c>
      <x:c r="F2980" t="str">
        <x:v>GoblinRanged</x:v>
      </x:c>
      <x:c r="G2980" s="410" t="n">
        <x:v>50</x:v>
      </x:c>
    </x:row>
    <x:row r="2981">
      <x:c r="A2981" t="str">
        <x:v>Stage01</x:v>
      </x:c>
      <x:c r="B2981" t="str">
        <x:v>WAVE_58</x:v>
      </x:c>
      <x:c r="C2981" s="409" t="n">
        <x:v>575.34</x:v>
      </x:c>
      <x:c r="D2981" s="410" t="n">
        <x:v>60</x:v>
      </x:c>
      <x:c r="E2981" t="str">
        <x:v>RIGHT_02</x:v>
      </x:c>
      <x:c r="F2981" t="str">
        <x:v>ShieldSkeleton</x:v>
      </x:c>
      <x:c r="G2981" s="410" t="n">
        <x:v>50</x:v>
      </x:c>
    </x:row>
    <x:row r="2982">
      <x:c r="A2982" t="str">
        <x:v>Stage01</x:v>
      </x:c>
      <x:c r="B2982" t="str">
        <x:v>WAVE_58</x:v>
      </x:c>
      <x:c r="C2982" s="409" t="n">
        <x:v>575.41</x:v>
      </x:c>
      <x:c r="D2982" s="410" t="n">
        <x:v>61</x:v>
      </x:c>
      <x:c r="E2982" t="str">
        <x:v>BOTTOM_03</x:v>
      </x:c>
      <x:c r="F2982" t="str">
        <x:v>GoblinMelee</x:v>
      </x:c>
      <x:c r="G2982" s="410" t="n">
        <x:v>50</x:v>
      </x:c>
    </x:row>
    <x:row r="2983">
      <x:c r="A2983" t="str">
        <x:v>Stage01</x:v>
      </x:c>
      <x:c r="B2983" t="str">
        <x:v>WAVE_58</x:v>
      </x:c>
      <x:c r="C2983" s="409" t="n">
        <x:v>575.48</x:v>
      </x:c>
      <x:c r="D2983" s="410" t="n">
        <x:v>62</x:v>
      </x:c>
      <x:c r="E2983" t="str">
        <x:v>LEFT_04</x:v>
      </x:c>
      <x:c r="F2983" t="str">
        <x:v>GoblinMelee</x:v>
      </x:c>
      <x:c r="G2983" s="410" t="n">
        <x:v>50</x:v>
      </x:c>
    </x:row>
    <x:row r="2984">
      <x:c r="A2984" t="str">
        <x:v>Stage01</x:v>
      </x:c>
      <x:c r="B2984" t="str">
        <x:v>WAVE_58</x:v>
      </x:c>
      <x:c r="C2984" s="409" t="n">
        <x:v>575.56</x:v>
      </x:c>
      <x:c r="D2984" s="410" t="n">
        <x:v>63</x:v>
      </x:c>
      <x:c r="E2984" t="str">
        <x:v>TOP_06</x:v>
      </x:c>
      <x:c r="F2984" t="str">
        <x:v>GoblinRanged</x:v>
      </x:c>
      <x:c r="G2984" s="410" t="n">
        <x:v>50</x:v>
      </x:c>
    </x:row>
    <x:row r="2985">
      <x:c r="A2985" t="str">
        <x:v>Stage01</x:v>
      </x:c>
      <x:c r="B2985" t="str">
        <x:v>WAVE_58</x:v>
      </x:c>
      <x:c r="C2985" s="409" t="n">
        <x:v>575.63</x:v>
      </x:c>
      <x:c r="D2985" s="410" t="n">
        <x:v>64</x:v>
      </x:c>
      <x:c r="E2985" t="str">
        <x:v>RIGHT_07</x:v>
      </x:c>
      <x:c r="F2985" t="str">
        <x:v>GoblinMelee</x:v>
      </x:c>
      <x:c r="G2985" s="410" t="n">
        <x:v>50</x:v>
      </x:c>
    </x:row>
    <x:row r="2986">
      <x:c r="A2986" t="str">
        <x:v>Stage01</x:v>
      </x:c>
      <x:c r="B2986" t="str">
        <x:v>WAVE_58</x:v>
      </x:c>
      <x:c r="C2986" s="409" t="n">
        <x:v>575.7</x:v>
      </x:c>
      <x:c r="D2986" s="410" t="n">
        <x:v>65</x:v>
      </x:c>
      <x:c r="E2986" t="str">
        <x:v>BOTTOM_08</x:v>
      </x:c>
      <x:c r="F2986" t="str">
        <x:v>ShieldSkeleton</x:v>
      </x:c>
      <x:c r="G2986" s="410" t="n">
        <x:v>50</x:v>
      </x:c>
    </x:row>
    <x:row r="2987">
      <x:c r="A2987" t="str">
        <x:v>Stage01</x:v>
      </x:c>
      <x:c r="B2987" t="str">
        <x:v>WAVE_58</x:v>
      </x:c>
      <x:c r="C2987" s="409" t="n">
        <x:v>575.78</x:v>
      </x:c>
      <x:c r="D2987" s="410" t="n">
        <x:v>66</x:v>
      </x:c>
      <x:c r="E2987" t="str">
        <x:v>LEFT_01</x:v>
      </x:c>
      <x:c r="F2987" t="str">
        <x:v>GoblinMelee</x:v>
      </x:c>
      <x:c r="G2987" s="410" t="n">
        <x:v>50</x:v>
      </x:c>
    </x:row>
    <x:row r="2988">
      <x:c r="A2988" t="str">
        <x:v>Stage01</x:v>
      </x:c>
      <x:c r="B2988" t="str">
        <x:v>WAVE_58</x:v>
      </x:c>
      <x:c r="C2988" s="409" t="n">
        <x:v>575.85</x:v>
      </x:c>
      <x:c r="D2988" s="410" t="n">
        <x:v>67</x:v>
      </x:c>
      <x:c r="E2988" t="str">
        <x:v>TOP_03</x:v>
      </x:c>
      <x:c r="F2988" t="str">
        <x:v>GoblinRanged</x:v>
      </x:c>
      <x:c r="G2988" s="410" t="n">
        <x:v>49</x:v>
      </x:c>
    </x:row>
    <x:row r="2989">
      <x:c r="A2989" t="str">
        <x:v>Stage01</x:v>
      </x:c>
      <x:c r="B2989" t="str">
        <x:v>WAVE_58</x:v>
      </x:c>
      <x:c r="C2989" s="409" t="n">
        <x:v>575.92</x:v>
      </x:c>
      <x:c r="D2989" s="410" t="n">
        <x:v>68</x:v>
      </x:c>
      <x:c r="E2989" t="str">
        <x:v>RIGHT_04</x:v>
      </x:c>
      <x:c r="F2989" t="str">
        <x:v>GoblinMelee</x:v>
      </x:c>
      <x:c r="G2989" s="410" t="n">
        <x:v>50</x:v>
      </x:c>
    </x:row>
    <x:row r="2990">
      <x:c r="A2990" t="str">
        <x:v>Stage01</x:v>
      </x:c>
      <x:c r="B2990" t="str">
        <x:v>WAVE_58</x:v>
      </x:c>
      <x:c r="C2990" s="409" t="n">
        <x:v>576</x:v>
      </x:c>
      <x:c r="D2990" s="410" t="n">
        <x:v>69</x:v>
      </x:c>
      <x:c r="E2990" t="str">
        <x:v>BOTTOM_05</x:v>
      </x:c>
      <x:c r="F2990" t="str">
        <x:v>GoblinMelee</x:v>
      </x:c>
      <x:c r="G2990" s="410" t="n">
        <x:v>50</x:v>
      </x:c>
    </x:row>
    <x:row r="2991">
      <x:c r="A2991" t="str">
        <x:v>Stage01</x:v>
      </x:c>
      <x:c r="B2991" t="str">
        <x:v>WAVE_58</x:v>
      </x:c>
      <x:c r="C2991" s="409" t="n">
        <x:v>576.07</x:v>
      </x:c>
      <x:c r="D2991" s="410" t="n">
        <x:v>70</x:v>
      </x:c>
      <x:c r="E2991" t="str">
        <x:v>LEFT_06</x:v>
      </x:c>
      <x:c r="F2991" t="str">
        <x:v>GoblinRanged</x:v>
      </x:c>
      <x:c r="G2991" s="410" t="n">
        <x:v>50</x:v>
      </x:c>
    </x:row>
    <x:row r="2992">
      <x:c r="A2992" t="str">
        <x:v>Stage01</x:v>
      </x:c>
      <x:c r="B2992" t="str">
        <x:v>WAVE_58</x:v>
      </x:c>
      <x:c r="C2992" s="409" t="n">
        <x:v>576.15</x:v>
      </x:c>
      <x:c r="D2992" s="410" t="n">
        <x:v>71</x:v>
      </x:c>
      <x:c r="E2992" t="str">
        <x:v>TOP_08</x:v>
      </x:c>
      <x:c r="F2992" t="str">
        <x:v>FlyingEye</x:v>
      </x:c>
      <x:c r="G2992" s="410" t="n">
        <x:v>50</x:v>
      </x:c>
    </x:row>
    <x:row r="2993">
      <x:c r="A2993" t="str">
        <x:v>Stage01</x:v>
      </x:c>
      <x:c r="B2993" t="str">
        <x:v>WAVE_58</x:v>
      </x:c>
      <x:c r="C2993" s="409" t="n">
        <x:v>576.22</x:v>
      </x:c>
      <x:c r="D2993" s="410" t="n">
        <x:v>72</x:v>
      </x:c>
      <x:c r="E2993" t="str">
        <x:v>RIGHT_01</x:v>
      </x:c>
      <x:c r="F2993" t="str">
        <x:v>ShieldSkeleton</x:v>
      </x:c>
      <x:c r="G2993" s="410" t="n">
        <x:v>50</x:v>
      </x:c>
    </x:row>
    <x:row r="2994">
      <x:c r="A2994" t="str">
        <x:v>Stage01</x:v>
      </x:c>
      <x:c r="B2994" t="str">
        <x:v>WAVE_58</x:v>
      </x:c>
      <x:c r="C2994" s="409" t="n">
        <x:v>576.29</x:v>
      </x:c>
      <x:c r="D2994" s="410" t="n">
        <x:v>73</x:v>
      </x:c>
      <x:c r="E2994" t="str">
        <x:v>BOTTOM_02</x:v>
      </x:c>
      <x:c r="F2994" t="str">
        <x:v>GoblinMelee</x:v>
      </x:c>
      <x:c r="G2994" s="410" t="n">
        <x:v>50</x:v>
      </x:c>
    </x:row>
    <x:row r="2995">
      <x:c r="A2995" t="str">
        <x:v>Stage01</x:v>
      </x:c>
      <x:c r="B2995" t="str">
        <x:v>WAVE_58</x:v>
      </x:c>
      <x:c r="C2995" s="409" t="n">
        <x:v>576.37</x:v>
      </x:c>
      <x:c r="D2995" s="410" t="n">
        <x:v>74</x:v>
      </x:c>
      <x:c r="E2995" t="str">
        <x:v>LEFT_03</x:v>
      </x:c>
      <x:c r="F2995" t="str">
        <x:v>GoblinRanged</x:v>
      </x:c>
      <x:c r="G2995" s="410" t="n">
        <x:v>50</x:v>
      </x:c>
    </x:row>
    <x:row r="2996">
      <x:c r="A2996" t="str">
        <x:v>Stage01</x:v>
      </x:c>
      <x:c r="B2996" t="str">
        <x:v>WAVE_58</x:v>
      </x:c>
      <x:c r="C2996" s="409" t="n">
        <x:v>576.44</x:v>
      </x:c>
      <x:c r="D2996" s="410" t="n">
        <x:v>75</x:v>
      </x:c>
      <x:c r="E2996" t="str">
        <x:v>TOP_05</x:v>
      </x:c>
      <x:c r="F2996" t="str">
        <x:v>GoblinMelee</x:v>
      </x:c>
      <x:c r="G2996" s="410" t="n">
        <x:v>50</x:v>
      </x:c>
    </x:row>
    <x:row r="2997">
      <x:c r="A2997" t="str">
        <x:v>Stage01</x:v>
      </x:c>
      <x:c r="B2997" t="str">
        <x:v>WAVE_58</x:v>
      </x:c>
      <x:c r="C2997" s="409" t="n">
        <x:v>576.51</x:v>
      </x:c>
      <x:c r="D2997" s="410" t="n">
        <x:v>76</x:v>
      </x:c>
      <x:c r="E2997" t="str">
        <x:v>RIGHT_06</x:v>
      </x:c>
      <x:c r="F2997" t="str">
        <x:v>GoblinRanged</x:v>
      </x:c>
      <x:c r="G2997" s="410" t="n">
        <x:v>50</x:v>
      </x:c>
    </x:row>
    <x:row r="2998">
      <x:c r="A2998" t="str">
        <x:v>Stage01</x:v>
      </x:c>
      <x:c r="B2998" t="str">
        <x:v>WAVE_58</x:v>
      </x:c>
      <x:c r="C2998" s="409" t="n">
        <x:v>576.59</x:v>
      </x:c>
      <x:c r="D2998" s="410" t="n">
        <x:v>77</x:v>
      </x:c>
      <x:c r="E2998" t="str">
        <x:v>BOTTOM_07</x:v>
      </x:c>
      <x:c r="F2998" t="str">
        <x:v>GoblinMelee</x:v>
      </x:c>
      <x:c r="G2998" s="410" t="n">
        <x:v>50</x:v>
      </x:c>
    </x:row>
    <x:row r="2999">
      <x:c r="A2999" t="str">
        <x:v>Stage01</x:v>
      </x:c>
      <x:c r="B2999" t="str">
        <x:v>WAVE_58</x:v>
      </x:c>
      <x:c r="C2999" s="409" t="n">
        <x:v>576.66</x:v>
      </x:c>
      <x:c r="D2999" s="410" t="n">
        <x:v>78</x:v>
      </x:c>
      <x:c r="E2999" t="str">
        <x:v>LEFT_08</x:v>
      </x:c>
      <x:c r="F2999" t="str">
        <x:v>GoblinMelee</x:v>
      </x:c>
      <x:c r="G2999" s="410" t="n">
        <x:v>50</x:v>
      </x:c>
    </x:row>
    <x:row r="3000">
      <x:c r="A3000" t="str">
        <x:v>Stage01</x:v>
      </x:c>
      <x:c r="B3000" t="str">
        <x:v>WAVE_58</x:v>
      </x:c>
      <x:c r="C3000" s="409" t="n">
        <x:v>576.73</x:v>
      </x:c>
      <x:c r="D3000" s="410" t="n">
        <x:v>79</x:v>
      </x:c>
      <x:c r="E3000" t="str">
        <x:v>TOP_02</x:v>
      </x:c>
      <x:c r="F3000" t="str">
        <x:v>GoblinRanged</x:v>
      </x:c>
      <x:c r="G3000" s="410" t="n">
        <x:v>50</x:v>
      </x:c>
    </x:row>
    <x:row r="3001">
      <x:c r="A3001" t="str">
        <x:v>Stage01</x:v>
      </x:c>
      <x:c r="B3001" t="str">
        <x:v>WAVE_58</x:v>
      </x:c>
      <x:c r="C3001" s="409" t="n">
        <x:v>576.81</x:v>
      </x:c>
      <x:c r="D3001" s="410" t="n">
        <x:v>80</x:v>
      </x:c>
      <x:c r="E3001" t="str">
        <x:v>RIGHT_03</x:v>
      </x:c>
      <x:c r="F3001" t="str">
        <x:v>GoblinMelee</x:v>
      </x:c>
      <x:c r="G3001" s="410" t="n">
        <x:v>50</x:v>
      </x:c>
    </x:row>
    <x:row r="3002">
      <x:c r="A3002" t="str">
        <x:v>Stage01</x:v>
      </x:c>
      <x:c r="B3002" t="str">
        <x:v>WAVE_58</x:v>
      </x:c>
      <x:c r="C3002" s="409" t="n">
        <x:v>576.88</x:v>
      </x:c>
      <x:c r="D3002" s="410" t="n">
        <x:v>81</x:v>
      </x:c>
      <x:c r="E3002" t="str">
        <x:v>BOTTOM_04</x:v>
      </x:c>
      <x:c r="F3002" t="str">
        <x:v>ShieldSkeleton</x:v>
      </x:c>
      <x:c r="G3002" s="410" t="n">
        <x:v>50</x:v>
      </x:c>
    </x:row>
    <x:row r="3003">
      <x:c r="A3003" t="str">
        <x:v>Stage01</x:v>
      </x:c>
      <x:c r="B3003" t="str">
        <x:v>WAVE_58</x:v>
      </x:c>
      <x:c r="C3003" s="409" t="n">
        <x:v>576.95</x:v>
      </x:c>
      <x:c r="D3003" s="410" t="n">
        <x:v>82</x:v>
      </x:c>
      <x:c r="E3003" t="str">
        <x:v>LEFT_05</x:v>
      </x:c>
      <x:c r="F3003" t="str">
        <x:v>GoblinMelee</x:v>
      </x:c>
      <x:c r="G3003" s="410" t="n">
        <x:v>49</x:v>
      </x:c>
    </x:row>
    <x:row r="3004">
      <x:c r="A3004" t="str">
        <x:v>Stage01</x:v>
      </x:c>
      <x:c r="B3004" t="str">
        <x:v>WAVE_58</x:v>
      </x:c>
      <x:c r="C3004" s="409" t="n">
        <x:v>577.03</x:v>
      </x:c>
      <x:c r="D3004" s="410" t="n">
        <x:v>83</x:v>
      </x:c>
      <x:c r="E3004" t="str">
        <x:v>TOP_07</x:v>
      </x:c>
      <x:c r="F3004" t="str">
        <x:v>GoblinRanged</x:v>
      </x:c>
      <x:c r="G3004" s="410" t="n">
        <x:v>50</x:v>
      </x:c>
    </x:row>
    <x:row r="3005">
      <x:c r="A3005" t="str">
        <x:v>Stage01</x:v>
      </x:c>
      <x:c r="B3005" t="str">
        <x:v>WAVE_58</x:v>
      </x:c>
      <x:c r="C3005" s="409" t="n">
        <x:v>577.1</x:v>
      </x:c>
      <x:c r="D3005" s="410" t="n">
        <x:v>84</x:v>
      </x:c>
      <x:c r="E3005" t="str">
        <x:v>RIGHT_08</x:v>
      </x:c>
      <x:c r="F3005" t="str">
        <x:v>GoblinMelee</x:v>
      </x:c>
      <x:c r="G3005" s="410" t="n">
        <x:v>50</x:v>
      </x:c>
    </x:row>
    <x:row r="3006">
      <x:c r="A3006" t="str">
        <x:v>Stage01</x:v>
      </x:c>
      <x:c r="B3006" t="str">
        <x:v>WAVE_58</x:v>
      </x:c>
      <x:c r="C3006" s="409" t="n">
        <x:v>577.17</x:v>
      </x:c>
      <x:c r="D3006" s="410" t="n">
        <x:v>85</x:v>
      </x:c>
      <x:c r="E3006" t="str">
        <x:v>BOTTOM_01</x:v>
      </x:c>
      <x:c r="F3006" t="str">
        <x:v>FlyingEye</x:v>
      </x:c>
      <x:c r="G3006" s="410" t="n">
        <x:v>50</x:v>
      </x:c>
    </x:row>
    <x:row r="3007">
      <x:c r="A3007" t="str">
        <x:v>Stage01</x:v>
      </x:c>
      <x:c r="B3007" t="str">
        <x:v>WAVE_58</x:v>
      </x:c>
      <x:c r="C3007" s="409" t="n">
        <x:v>577.25</x:v>
      </x:c>
      <x:c r="D3007" s="410" t="n">
        <x:v>86</x:v>
      </x:c>
      <x:c r="E3007" t="str">
        <x:v>LEFT_02</x:v>
      </x:c>
      <x:c r="F3007" t="str">
        <x:v>GoblinRanged</x:v>
      </x:c>
      <x:c r="G3007" s="410" t="n">
        <x:v>50</x:v>
      </x:c>
    </x:row>
    <x:row r="3008">
      <x:c r="A3008" t="str">
        <x:v>Stage01</x:v>
      </x:c>
      <x:c r="B3008" t="str">
        <x:v>WAVE_58</x:v>
      </x:c>
      <x:c r="C3008" s="409" t="n">
        <x:v>577.32</x:v>
      </x:c>
      <x:c r="D3008" s="410" t="n">
        <x:v>87</x:v>
      </x:c>
      <x:c r="E3008" t="str">
        <x:v>TOP_04</x:v>
      </x:c>
      <x:c r="F3008" t="str">
        <x:v>GoblinMelee</x:v>
      </x:c>
      <x:c r="G3008" s="410" t="n">
        <x:v>50</x:v>
      </x:c>
    </x:row>
    <x:row r="3009">
      <x:c r="A3009" t="str">
        <x:v>Stage01</x:v>
      </x:c>
      <x:c r="B3009" t="str">
        <x:v>WAVE_58</x:v>
      </x:c>
      <x:c r="C3009" s="409" t="n">
        <x:v>577.39</x:v>
      </x:c>
      <x:c r="D3009" s="410" t="n">
        <x:v>88</x:v>
      </x:c>
      <x:c r="E3009" t="str">
        <x:v>RIGHT_05</x:v>
      </x:c>
      <x:c r="F3009" t="str">
        <x:v>ShieldSkeleton</x:v>
      </x:c>
      <x:c r="G3009" s="410" t="n">
        <x:v>50</x:v>
      </x:c>
    </x:row>
    <x:row r="3010">
      <x:c r="A3010" t="str">
        <x:v>Stage01</x:v>
      </x:c>
      <x:c r="B3010" t="str">
        <x:v>WAVE_58</x:v>
      </x:c>
      <x:c r="C3010" s="409" t="n">
        <x:v>577.47</x:v>
      </x:c>
      <x:c r="D3010" s="410" t="n">
        <x:v>89</x:v>
      </x:c>
      <x:c r="E3010" t="str">
        <x:v>BOTTOM_06</x:v>
      </x:c>
      <x:c r="F3010" t="str">
        <x:v>GoblinMelee</x:v>
      </x:c>
      <x:c r="G3010" s="410" t="n">
        <x:v>50</x:v>
      </x:c>
    </x:row>
    <x:row r="3011">
      <x:c r="A3011" t="str">
        <x:v>Stage01</x:v>
      </x:c>
      <x:c r="B3011" t="str">
        <x:v>WAVE_58</x:v>
      </x:c>
      <x:c r="C3011" s="409" t="n">
        <x:v>577.54</x:v>
      </x:c>
      <x:c r="D3011" s="410" t="n">
        <x:v>90</x:v>
      </x:c>
      <x:c r="E3011" t="str">
        <x:v>LEFT_07</x:v>
      </x:c>
      <x:c r="F3011" t="str">
        <x:v>GoblinRanged</x:v>
      </x:c>
      <x:c r="G3011" s="410" t="n">
        <x:v>50</x:v>
      </x:c>
    </x:row>
    <x:row r="3012">
      <x:c r="A3012" t="str">
        <x:v>Stage01</x:v>
      </x:c>
      <x:c r="B3012" t="str">
        <x:v>WAVE_58</x:v>
      </x:c>
      <x:c r="C3012" s="409" t="n">
        <x:v>577.62</x:v>
      </x:c>
      <x:c r="D3012" s="410" t="n">
        <x:v>91</x:v>
      </x:c>
      <x:c r="E3012" t="str">
        <x:v>TOP_01</x:v>
      </x:c>
      <x:c r="F3012" t="str">
        <x:v>GoblinMelee</x:v>
      </x:c>
      <x:c r="G3012" s="410" t="n">
        <x:v>50</x:v>
      </x:c>
    </x:row>
    <x:row r="3013">
      <x:c r="A3013" t="str">
        <x:v>Stage01</x:v>
      </x:c>
      <x:c r="B3013" t="str">
        <x:v>WAVE_58</x:v>
      </x:c>
      <x:c r="C3013" s="409" t="n">
        <x:v>577.69</x:v>
      </x:c>
      <x:c r="D3013" s="410" t="n">
        <x:v>92</x:v>
      </x:c>
      <x:c r="E3013" t="str">
        <x:v>RIGHT_02</x:v>
      </x:c>
      <x:c r="F3013" t="str">
        <x:v>GoblinMelee</x:v>
      </x:c>
      <x:c r="G3013" s="410" t="n">
        <x:v>50</x:v>
      </x:c>
    </x:row>
    <x:row r="3014">
      <x:c r="A3014" t="str">
        <x:v>Stage01</x:v>
      </x:c>
      <x:c r="B3014" t="str">
        <x:v>WAVE_58</x:v>
      </x:c>
      <x:c r="C3014" s="409" t="n">
        <x:v>577.76</x:v>
      </x:c>
      <x:c r="D3014" s="410" t="n">
        <x:v>93</x:v>
      </x:c>
      <x:c r="E3014" t="str">
        <x:v>BOTTOM_03</x:v>
      </x:c>
      <x:c r="F3014" t="str">
        <x:v>GoblinRanged</x:v>
      </x:c>
      <x:c r="G3014" s="410" t="n">
        <x:v>50</x:v>
      </x:c>
    </x:row>
    <x:row r="3015">
      <x:c r="A3015" t="str">
        <x:v>Stage01</x:v>
      </x:c>
      <x:c r="B3015" t="str">
        <x:v>WAVE_58</x:v>
      </x:c>
      <x:c r="C3015" s="409" t="n">
        <x:v>577.84</x:v>
      </x:c>
      <x:c r="D3015" s="410" t="n">
        <x:v>94</x:v>
      </x:c>
      <x:c r="E3015" t="str">
        <x:v>LEFT_04</x:v>
      </x:c>
      <x:c r="F3015" t="str">
        <x:v>GoblinMelee</x:v>
      </x:c>
      <x:c r="G3015" s="410" t="n">
        <x:v>50</x:v>
      </x:c>
    </x:row>
    <x:row r="3016">
      <x:c r="A3016" t="str">
        <x:v>Stage01</x:v>
      </x:c>
      <x:c r="B3016" t="str">
        <x:v>WAVE_58</x:v>
      </x:c>
      <x:c r="C3016" s="409" t="n">
        <x:v>577.91</x:v>
      </x:c>
      <x:c r="D3016" s="410" t="n">
        <x:v>95</x:v>
      </x:c>
      <x:c r="E3016" t="str">
        <x:v>TOP_06</x:v>
      </x:c>
      <x:c r="F3016" t="str">
        <x:v>ShieldSkeleton</x:v>
      </x:c>
      <x:c r="G3016" s="410" t="n">
        <x:v>50</x:v>
      </x:c>
    </x:row>
    <x:row r="3017">
      <x:c r="A3017" t="str">
        <x:v>Stage01</x:v>
      </x:c>
      <x:c r="B3017" t="str">
        <x:v>WAVE_58</x:v>
      </x:c>
      <x:c r="C3017" s="409" t="n">
        <x:v>577.98</x:v>
      </x:c>
      <x:c r="D3017" s="410" t="n">
        <x:v>96</x:v>
      </x:c>
      <x:c r="E3017" t="str">
        <x:v>RIGHT_07</x:v>
      </x:c>
      <x:c r="F3017" t="str">
        <x:v>GoblinMelee</x:v>
      </x:c>
      <x:c r="G3017" s="410" t="n">
        <x:v>49</x:v>
      </x:c>
    </x:row>
    <x:row r="3018">
      <x:c r="A3018" t="str">
        <x:v>Stage01</x:v>
      </x:c>
      <x:c r="B3018" t="str">
        <x:v>WAVE_58</x:v>
      </x:c>
      <x:c r="C3018" s="409" t="n">
        <x:v>578.06</x:v>
      </x:c>
      <x:c r="D3018" s="410" t="n">
        <x:v>97</x:v>
      </x:c>
      <x:c r="E3018" t="str">
        <x:v>BOTTOM_08</x:v>
      </x:c>
      <x:c r="F3018" t="str">
        <x:v>GoblinRanged</x:v>
      </x:c>
      <x:c r="G3018" s="410" t="n">
        <x:v>50</x:v>
      </x:c>
    </x:row>
    <x:row r="3019">
      <x:c r="A3019" t="str">
        <x:v>Stage01</x:v>
      </x:c>
      <x:c r="B3019" t="str">
        <x:v>WAVE_58</x:v>
      </x:c>
      <x:c r="C3019" s="409" t="n">
        <x:v>578.13</x:v>
      </x:c>
      <x:c r="D3019" s="410" t="n">
        <x:v>98</x:v>
      </x:c>
      <x:c r="E3019" t="str">
        <x:v>LEFT_01</x:v>
      </x:c>
      <x:c r="F3019" t="str">
        <x:v>GoblinMelee</x:v>
      </x:c>
      <x:c r="G3019" s="410" t="n">
        <x:v>50</x:v>
      </x:c>
    </x:row>
    <x:row r="3020">
      <x:c r="A3020" t="str">
        <x:v>Stage01</x:v>
      </x:c>
      <x:c r="B3020" t="str">
        <x:v>WAVE_58</x:v>
      </x:c>
      <x:c r="C3020" s="409" t="n">
        <x:v>578.2</x:v>
      </x:c>
      <x:c r="D3020" s="410" t="n">
        <x:v>99</x:v>
      </x:c>
      <x:c r="E3020" t="str">
        <x:v>TOP_03</x:v>
      </x:c>
      <x:c r="F3020" t="str">
        <x:v>FlyingEye</x:v>
      </x:c>
      <x:c r="G3020" s="410" t="n">
        <x:v>50</x:v>
      </x:c>
    </x:row>
    <x:row r="3021">
      <x:c r="A3021" t="str">
        <x:v>Stage01</x:v>
      </x:c>
      <x:c r="B3021" t="str">
        <x:v>WAVE_58</x:v>
      </x:c>
      <x:c r="C3021" s="409" t="n">
        <x:v>578.28</x:v>
      </x:c>
      <x:c r="D3021" s="410" t="n">
        <x:v>100</x:v>
      </x:c>
      <x:c r="E3021" t="str">
        <x:v>RIGHT_04</x:v>
      </x:c>
      <x:c r="F3021" t="str">
        <x:v>GoblinRanged</x:v>
      </x:c>
      <x:c r="G3021" s="410" t="n">
        <x:v>50</x:v>
      </x:c>
    </x:row>
    <x:row r="3022">
      <x:c r="A3022" t="str">
        <x:v>Stage01</x:v>
      </x:c>
      <x:c r="B3022" t="str">
        <x:v>WAVE_58</x:v>
      </x:c>
      <x:c r="C3022" s="409" t="n">
        <x:v>578.35</x:v>
      </x:c>
      <x:c r="D3022" s="410" t="n">
        <x:v>101</x:v>
      </x:c>
      <x:c r="E3022" t="str">
        <x:v>BOTTOM_05</x:v>
      </x:c>
      <x:c r="F3022" t="str">
        <x:v>ShieldSkeleton</x:v>
      </x:c>
      <x:c r="G3022" s="410" t="n">
        <x:v>50</x:v>
      </x:c>
    </x:row>
    <x:row r="3023">
      <x:c r="A3023" t="str">
        <x:v>Stage01</x:v>
      </x:c>
      <x:c r="B3023" t="str">
        <x:v>WAVE_58</x:v>
      </x:c>
      <x:c r="C3023" s="409" t="n">
        <x:v>578.42</x:v>
      </x:c>
      <x:c r="D3023" s="410" t="n">
        <x:v>102</x:v>
      </x:c>
      <x:c r="E3023" t="str">
        <x:v>LEFT_06</x:v>
      </x:c>
      <x:c r="F3023" t="str">
        <x:v>GoblinMelee</x:v>
      </x:c>
      <x:c r="G3023" s="410" t="n">
        <x:v>50</x:v>
      </x:c>
    </x:row>
    <x:row r="3024">
      <x:c r="A3024" t="str">
        <x:v>Stage01</x:v>
      </x:c>
      <x:c r="B3024" t="str">
        <x:v>WAVE_58</x:v>
      </x:c>
      <x:c r="C3024" s="409" t="n">
        <x:v>578.5</x:v>
      </x:c>
      <x:c r="D3024" s="410" t="n">
        <x:v>103</x:v>
      </x:c>
      <x:c r="E3024" t="str">
        <x:v>TOP_08</x:v>
      </x:c>
      <x:c r="F3024" t="str">
        <x:v>GoblinMelee</x:v>
      </x:c>
      <x:c r="G3024" s="410" t="n">
        <x:v>50</x:v>
      </x:c>
    </x:row>
    <x:row r="3025">
      <x:c r="A3025" t="str">
        <x:v>Stage01</x:v>
      </x:c>
      <x:c r="B3025" t="str">
        <x:v>WAVE_58</x:v>
      </x:c>
      <x:c r="C3025" s="409" t="n">
        <x:v>578.57</x:v>
      </x:c>
      <x:c r="D3025" s="410" t="n">
        <x:v>104</x:v>
      </x:c>
      <x:c r="E3025" t="str">
        <x:v>RIGHT_01</x:v>
      </x:c>
      <x:c r="F3025" t="str">
        <x:v>GoblinRanged</x:v>
      </x:c>
      <x:c r="G3025" s="410" t="n">
        <x:v>50</x:v>
      </x:c>
    </x:row>
    <x:row r="3026">
      <x:c r="A3026" t="str">
        <x:v>Stage01</x:v>
      </x:c>
      <x:c r="B3026" t="str">
        <x:v>WAVE_58</x:v>
      </x:c>
      <x:c r="C3026" s="409" t="n">
        <x:v>578.64</x:v>
      </x:c>
      <x:c r="D3026" s="410" t="n">
        <x:v>105</x:v>
      </x:c>
      <x:c r="E3026" t="str">
        <x:v>BOTTOM_02</x:v>
      </x:c>
      <x:c r="F3026" t="str">
        <x:v>GoblinMelee</x:v>
      </x:c>
      <x:c r="G3026" s="410" t="n">
        <x:v>50</x:v>
      </x:c>
    </x:row>
    <x:row r="3027">
      <x:c r="A3027" t="str">
        <x:v>Stage01</x:v>
      </x:c>
      <x:c r="B3027" t="str">
        <x:v>WAVE_58</x:v>
      </x:c>
      <x:c r="C3027" s="409" t="n">
        <x:v>578.72</x:v>
      </x:c>
      <x:c r="D3027" s="410" t="n">
        <x:v>106</x:v>
      </x:c>
      <x:c r="E3027" t="str">
        <x:v>LEFT_03</x:v>
      </x:c>
      <x:c r="F3027" t="str">
        <x:v>GoblinRanged</x:v>
      </x:c>
      <x:c r="G3027" s="410" t="n">
        <x:v>50</x:v>
      </x:c>
    </x:row>
    <x:row r="3028">
      <x:c r="A3028" t="str">
        <x:v>Stage01</x:v>
      </x:c>
      <x:c r="B3028" t="str">
        <x:v>WAVE_58</x:v>
      </x:c>
      <x:c r="C3028" s="409" t="n">
        <x:v>578.79</x:v>
      </x:c>
      <x:c r="D3028" s="410" t="n">
        <x:v>107</x:v>
      </x:c>
      <x:c r="E3028" t="str">
        <x:v>TOP_05</x:v>
      </x:c>
      <x:c r="F3028" t="str">
        <x:v>GoblinMelee</x:v>
      </x:c>
      <x:c r="G3028" s="410" t="n">
        <x:v>50</x:v>
      </x:c>
    </x:row>
    <x:row r="3029">
      <x:c r="A3029" t="str">
        <x:v>Stage01</x:v>
      </x:c>
      <x:c r="B3029" t="str">
        <x:v>WAVE_58</x:v>
      </x:c>
      <x:c r="C3029" s="409" t="n">
        <x:v>578.86</x:v>
      </x:c>
      <x:c r="D3029" s="410" t="n">
        <x:v>108</x:v>
      </x:c>
      <x:c r="E3029" t="str">
        <x:v>RIGHT_06</x:v>
      </x:c>
      <x:c r="F3029" t="str">
        <x:v>ShieldSkeleton</x:v>
      </x:c>
      <x:c r="G3029" s="410" t="n">
        <x:v>50</x:v>
      </x:c>
    </x:row>
    <x:row r="3030">
      <x:c r="A3030" t="str">
        <x:v>Stage01</x:v>
      </x:c>
      <x:c r="B3030" t="str">
        <x:v>WAVE_58</x:v>
      </x:c>
      <x:c r="C3030" s="409" t="n">
        <x:v>578.94</x:v>
      </x:c>
      <x:c r="D3030" s="410" t="n">
        <x:v>109</x:v>
      </x:c>
      <x:c r="E3030" t="str">
        <x:v>BOTTOM_07</x:v>
      </x:c>
      <x:c r="F3030" t="str">
        <x:v>GoblinMelee</x:v>
      </x:c>
      <x:c r="G3030" s="410" t="n">
        <x:v>50</x:v>
      </x:c>
    </x:row>
    <x:row r="3031">
      <x:c r="A3031" t="str">
        <x:v>Stage01</x:v>
      </x:c>
      <x:c r="B3031" t="str">
        <x:v>WAVE_58</x:v>
      </x:c>
      <x:c r="C3031" s="409" t="n">
        <x:v>579.01</x:v>
      </x:c>
      <x:c r="D3031" s="410" t="n">
        <x:v>110</x:v>
      </x:c>
      <x:c r="E3031" t="str">
        <x:v>LEFT_08</x:v>
      </x:c>
      <x:c r="F3031" t="str">
        <x:v>GoblinRanged</x:v>
      </x:c>
      <x:c r="G3031" s="410" t="n">
        <x:v>50</x:v>
      </x:c>
    </x:row>
    <x:row r="3032">
      <x:c r="A3032" t="str">
        <x:v>Stage01</x:v>
      </x:c>
      <x:c r="B3032" t="str">
        <x:v>WAVE_58</x:v>
      </x:c>
      <x:c r="C3032" s="409" t="n">
        <x:v>579.09</x:v>
      </x:c>
      <x:c r="D3032" s="410" t="n">
        <x:v>111</x:v>
      </x:c>
      <x:c r="E3032" t="str">
        <x:v>TOP_02</x:v>
      </x:c>
      <x:c r="F3032" t="str">
        <x:v>GoblinMelee</x:v>
      </x:c>
      <x:c r="G3032" s="410" t="n">
        <x:v>49</x:v>
      </x:c>
    </x:row>
    <x:row r="3033">
      <x:c r="A3033" t="str">
        <x:v>Stage01</x:v>
      </x:c>
      <x:c r="B3033" t="str">
        <x:v>WAVE_58</x:v>
      </x:c>
      <x:c r="C3033" s="409" t="n">
        <x:v>579.16</x:v>
      </x:c>
      <x:c r="D3033" s="410" t="n">
        <x:v>112</x:v>
      </x:c>
      <x:c r="E3033" t="str">
        <x:v>RIGHT_03</x:v>
      </x:c>
      <x:c r="F3033" t="str">
        <x:v>GoblinMelee</x:v>
      </x:c>
      <x:c r="G3033" s="410" t="n">
        <x:v>50</x:v>
      </x:c>
    </x:row>
    <x:row r="3034">
      <x:c r="A3034" t="str">
        <x:v>Stage01</x:v>
      </x:c>
      <x:c r="B3034" t="str">
        <x:v>WAVE_58</x:v>
      </x:c>
      <x:c r="C3034" s="409" t="n">
        <x:v>579.23</x:v>
      </x:c>
      <x:c r="D3034" s="410" t="n">
        <x:v>113</x:v>
      </x:c>
      <x:c r="E3034" t="str">
        <x:v>BOTTOM_04</x:v>
      </x:c>
      <x:c r="F3034" t="str">
        <x:v>GoblinRanged</x:v>
      </x:c>
      <x:c r="G3034" s="410" t="n">
        <x:v>50</x:v>
      </x:c>
    </x:row>
    <x:row r="3035">
      <x:c r="A3035" t="str">
        <x:v>Stage01</x:v>
      </x:c>
      <x:c r="B3035" t="str">
        <x:v>WAVE_58</x:v>
      </x:c>
      <x:c r="C3035" s="409" t="n">
        <x:v>579.31</x:v>
      </x:c>
      <x:c r="D3035" s="410" t="n">
        <x:v>114</x:v>
      </x:c>
      <x:c r="E3035" t="str">
        <x:v>LEFT_05</x:v>
      </x:c>
      <x:c r="F3035" t="str">
        <x:v>FlyingEye</x:v>
      </x:c>
      <x:c r="G3035" s="410" t="n">
        <x:v>50</x:v>
      </x:c>
    </x:row>
    <x:row r="3036">
      <x:c r="A3036" t="str">
        <x:v>Stage01</x:v>
      </x:c>
      <x:c r="B3036" t="str">
        <x:v>WAVE_58</x:v>
      </x:c>
      <x:c r="C3036" s="409" t="n">
        <x:v>579.38</x:v>
      </x:c>
      <x:c r="D3036" s="410" t="n">
        <x:v>115</x:v>
      </x:c>
      <x:c r="E3036" t="str">
        <x:v>TOP_07</x:v>
      </x:c>
      <x:c r="F3036" t="str">
        <x:v>ShieldSkeleton</x:v>
      </x:c>
      <x:c r="G3036" s="410" t="n">
        <x:v>50</x:v>
      </x:c>
    </x:row>
    <x:row r="3037">
      <x:c r="A3037" t="str">
        <x:v>Stage01</x:v>
      </x:c>
      <x:c r="B3037" t="str">
        <x:v>WAVE_58</x:v>
      </x:c>
      <x:c r="C3037" s="409" t="n">
        <x:v>579.45</x:v>
      </x:c>
      <x:c r="D3037" s="410" t="n">
        <x:v>116</x:v>
      </x:c>
      <x:c r="E3037" t="str">
        <x:v>RIGHT_08</x:v>
      </x:c>
      <x:c r="F3037" t="str">
        <x:v>GoblinMelee</x:v>
      </x:c>
      <x:c r="G3037" s="410" t="n">
        <x:v>50</x:v>
      </x:c>
    </x:row>
    <x:row r="3038">
      <x:c r="A3038" t="str">
        <x:v>Stage01</x:v>
      </x:c>
      <x:c r="B3038" t="str">
        <x:v>WAVE_58</x:v>
      </x:c>
      <x:c r="C3038" s="409" t="n">
        <x:v>579.53</x:v>
      </x:c>
      <x:c r="D3038" s="410" t="n">
        <x:v>117</x:v>
      </x:c>
      <x:c r="E3038" t="str">
        <x:v>BOTTOM_01</x:v>
      </x:c>
      <x:c r="F3038" t="str">
        <x:v>GoblinRanged</x:v>
      </x:c>
      <x:c r="G3038" s="410" t="n">
        <x:v>50</x:v>
      </x:c>
    </x:row>
    <x:row r="3039">
      <x:c r="A3039" t="str">
        <x:v>Stage01</x:v>
      </x:c>
      <x:c r="B3039" t="str">
        <x:v>WAVE_58</x:v>
      </x:c>
      <x:c r="C3039" s="409" t="n">
        <x:v>579.6</x:v>
      </x:c>
      <x:c r="D3039" s="410" t="n">
        <x:v>118</x:v>
      </x:c>
      <x:c r="E3039" t="str">
        <x:v>LEFT_02</x:v>
      </x:c>
      <x:c r="F3039" t="str">
        <x:v>GoblinMelee</x:v>
      </x:c>
      <x:c r="G3039" s="410" t="n">
        <x:v>50</x:v>
      </x:c>
    </x:row>
    <x:row r="3040">
      <x:c r="A3040" t="str">
        <x:v>Stage01</x:v>
      </x:c>
      <x:c r="B3040" t="str">
        <x:v>WAVE_59</x:v>
      </x:c>
      <x:c r="C3040" s="409" t="n">
        <x:v>581</x:v>
      </x:c>
      <x:c r="D3040" s="410" t="n">
        <x:v>1</x:v>
      </x:c>
      <x:c r="E3040" t="str">
        <x:v>LEFT_05</x:v>
      </x:c>
      <x:c r="F3040" t="str">
        <x:v>GoblinMelee</x:v>
      </x:c>
      <x:c r="G3040" s="410" t="n">
        <x:v>51</x:v>
      </x:c>
    </x:row>
    <x:row r="3041">
      <x:c r="A3041" t="str">
        <x:v>Stage01</x:v>
      </x:c>
      <x:c r="B3041" t="str">
        <x:v>WAVE_59</x:v>
      </x:c>
      <x:c r="C3041" s="409" t="n">
        <x:v>581.07</x:v>
      </x:c>
      <x:c r="D3041" s="410" t="n">
        <x:v>2</x:v>
      </x:c>
      <x:c r="E3041" t="str">
        <x:v>TOP_07</x:v>
      </x:c>
      <x:c r="F3041" t="str">
        <x:v>GoblinRanged</x:v>
      </x:c>
      <x:c r="G3041" s="410" t="n">
        <x:v>51</x:v>
      </x:c>
    </x:row>
    <x:row r="3042">
      <x:c r="A3042" t="str">
        <x:v>Stage01</x:v>
      </x:c>
      <x:c r="B3042" t="str">
        <x:v>WAVE_59</x:v>
      </x:c>
      <x:c r="C3042" s="409" t="n">
        <x:v>581.14</x:v>
      </x:c>
      <x:c r="D3042" s="410" t="n">
        <x:v>3</x:v>
      </x:c>
      <x:c r="E3042" t="str">
        <x:v>RIGHT_08</x:v>
      </x:c>
      <x:c r="F3042" t="str">
        <x:v>GoblinMelee</x:v>
      </x:c>
      <x:c r="G3042" s="410" t="n">
        <x:v>51</x:v>
      </x:c>
    </x:row>
    <x:row r="3043">
      <x:c r="A3043" t="str">
        <x:v>Stage01</x:v>
      </x:c>
      <x:c r="B3043" t="str">
        <x:v>WAVE_59</x:v>
      </x:c>
      <x:c r="C3043" s="409" t="n">
        <x:v>581.22</x:v>
      </x:c>
      <x:c r="D3043" s="410" t="n">
        <x:v>4</x:v>
      </x:c>
      <x:c r="E3043" t="str">
        <x:v>BOTTOM_01</x:v>
      </x:c>
      <x:c r="F3043" t="str">
        <x:v>ShieldSkeleton</x:v>
      </x:c>
      <x:c r="G3043" s="410" t="n">
        <x:v>51</x:v>
      </x:c>
    </x:row>
    <x:row r="3044">
      <x:c r="A3044" t="str">
        <x:v>Stage01</x:v>
      </x:c>
      <x:c r="B3044" t="str">
        <x:v>WAVE_59</x:v>
      </x:c>
      <x:c r="C3044" s="409" t="n">
        <x:v>581.29</x:v>
      </x:c>
      <x:c r="D3044" s="410" t="n">
        <x:v>5</x:v>
      </x:c>
      <x:c r="E3044" t="str">
        <x:v>LEFT_02</x:v>
      </x:c>
      <x:c r="F3044" t="str">
        <x:v>GoblinMelee</x:v>
      </x:c>
      <x:c r="G3044" s="410" t="n">
        <x:v>51</x:v>
      </x:c>
    </x:row>
    <x:row r="3045">
      <x:c r="A3045" t="str">
        <x:v>Stage01</x:v>
      </x:c>
      <x:c r="B3045" t="str">
        <x:v>WAVE_59</x:v>
      </x:c>
      <x:c r="C3045" s="409" t="n">
        <x:v>581.36</x:v>
      </x:c>
      <x:c r="D3045" s="410" t="n">
        <x:v>6</x:v>
      </x:c>
      <x:c r="E3045" t="str">
        <x:v>TOP_04</x:v>
      </x:c>
      <x:c r="F3045" t="str">
        <x:v>GoblinRanged</x:v>
      </x:c>
      <x:c r="G3045" s="410" t="n">
        <x:v>51</x:v>
      </x:c>
    </x:row>
    <x:row r="3046">
      <x:c r="A3046" t="str">
        <x:v>Stage01</x:v>
      </x:c>
      <x:c r="B3046" t="str">
        <x:v>WAVE_59</x:v>
      </x:c>
      <x:c r="C3046" s="409" t="n">
        <x:v>581.43</x:v>
      </x:c>
      <x:c r="D3046" s="410" t="n">
        <x:v>7</x:v>
      </x:c>
      <x:c r="E3046" t="str">
        <x:v>RIGHT_05</x:v>
      </x:c>
      <x:c r="F3046" t="str">
        <x:v>GoblinMelee</x:v>
      </x:c>
      <x:c r="G3046" s="410" t="n">
        <x:v>51</x:v>
      </x:c>
    </x:row>
    <x:row r="3047">
      <x:c r="A3047" t="str">
        <x:v>Stage01</x:v>
      </x:c>
      <x:c r="B3047" t="str">
        <x:v>WAVE_59</x:v>
      </x:c>
      <x:c r="C3047" s="409" t="n">
        <x:v>581.5</x:v>
      </x:c>
      <x:c r="D3047" s="410" t="n">
        <x:v>8</x:v>
      </x:c>
      <x:c r="E3047" t="str">
        <x:v>BOTTOM_06</x:v>
      </x:c>
      <x:c r="F3047" t="str">
        <x:v>GoblinMelee</x:v>
      </x:c>
      <x:c r="G3047" s="410" t="n">
        <x:v>51</x:v>
      </x:c>
    </x:row>
    <x:row r="3048">
      <x:c r="A3048" t="str">
        <x:v>Stage01</x:v>
      </x:c>
      <x:c r="B3048" t="str">
        <x:v>WAVE_59</x:v>
      </x:c>
      <x:c r="C3048" s="409" t="n">
        <x:v>581.57</x:v>
      </x:c>
      <x:c r="D3048" s="410" t="n">
        <x:v>9</x:v>
      </x:c>
      <x:c r="E3048" t="str">
        <x:v>LEFT_07</x:v>
      </x:c>
      <x:c r="F3048" t="str">
        <x:v>GoblinRanged</x:v>
      </x:c>
      <x:c r="G3048" s="410" t="n">
        <x:v>51</x:v>
      </x:c>
    </x:row>
    <x:row r="3049">
      <x:c r="A3049" t="str">
        <x:v>Stage01</x:v>
      </x:c>
      <x:c r="B3049" t="str">
        <x:v>WAVE_59</x:v>
      </x:c>
      <x:c r="C3049" s="409" t="n">
        <x:v>581.65</x:v>
      </x:c>
      <x:c r="D3049" s="410" t="n">
        <x:v>10</x:v>
      </x:c>
      <x:c r="E3049" t="str">
        <x:v>TOP_01</x:v>
      </x:c>
      <x:c r="F3049" t="str">
        <x:v>GoblinMelee</x:v>
      </x:c>
      <x:c r="G3049" s="410" t="n">
        <x:v>51</x:v>
      </x:c>
    </x:row>
    <x:row r="3050">
      <x:c r="A3050" t="str">
        <x:v>Stage01</x:v>
      </x:c>
      <x:c r="B3050" t="str">
        <x:v>WAVE_59</x:v>
      </x:c>
      <x:c r="C3050" s="409" t="n">
        <x:v>581.72</x:v>
      </x:c>
      <x:c r="D3050" s="410" t="n">
        <x:v>11</x:v>
      </x:c>
      <x:c r="E3050" t="str">
        <x:v>RIGHT_02</x:v>
      </x:c>
      <x:c r="F3050" t="str">
        <x:v>ShieldSkeleton</x:v>
      </x:c>
      <x:c r="G3050" s="410" t="n">
        <x:v>51</x:v>
      </x:c>
    </x:row>
    <x:row r="3051">
      <x:c r="A3051" t="str">
        <x:v>Stage01</x:v>
      </x:c>
      <x:c r="B3051" t="str">
        <x:v>WAVE_59</x:v>
      </x:c>
      <x:c r="C3051" s="409" t="n">
        <x:v>581.79</x:v>
      </x:c>
      <x:c r="D3051" s="410" t="n">
        <x:v>12</x:v>
      </x:c>
      <x:c r="E3051" t="str">
        <x:v>BOTTOM_03</x:v>
      </x:c>
      <x:c r="F3051" t="str">
        <x:v>GoblinMelee</x:v>
      </x:c>
      <x:c r="G3051" s="410" t="n">
        <x:v>51</x:v>
      </x:c>
    </x:row>
    <x:row r="3052">
      <x:c r="A3052" t="str">
        <x:v>Stage01</x:v>
      </x:c>
      <x:c r="B3052" t="str">
        <x:v>WAVE_59</x:v>
      </x:c>
      <x:c r="C3052" s="409" t="n">
        <x:v>581.86</x:v>
      </x:c>
      <x:c r="D3052" s="410" t="n">
        <x:v>13</x:v>
      </x:c>
      <x:c r="E3052" t="str">
        <x:v>LEFT_04</x:v>
      </x:c>
      <x:c r="F3052" t="str">
        <x:v>GoblinRanged</x:v>
      </x:c>
      <x:c r="G3052" s="410" t="n">
        <x:v>51</x:v>
      </x:c>
    </x:row>
    <x:row r="3053">
      <x:c r="A3053" t="str">
        <x:v>Stage01</x:v>
      </x:c>
      <x:c r="B3053" t="str">
        <x:v>WAVE_59</x:v>
      </x:c>
      <x:c r="C3053" s="409" t="n">
        <x:v>581.93</x:v>
      </x:c>
      <x:c r="D3053" s="410" t="n">
        <x:v>14</x:v>
      </x:c>
      <x:c r="E3053" t="str">
        <x:v>TOP_06</x:v>
      </x:c>
      <x:c r="F3053" t="str">
        <x:v>FlyingEye</x:v>
      </x:c>
      <x:c r="G3053" s="410" t="n">
        <x:v>51</x:v>
      </x:c>
    </x:row>
    <x:row r="3054">
      <x:c r="A3054" t="str">
        <x:v>Stage01</x:v>
      </x:c>
      <x:c r="B3054" t="str">
        <x:v>WAVE_59</x:v>
      </x:c>
      <x:c r="C3054" s="409" t="n">
        <x:v>582</x:v>
      </x:c>
      <x:c r="D3054" s="410" t="n">
        <x:v>15</x:v>
      </x:c>
      <x:c r="E3054" t="str">
        <x:v>RIGHT_07</x:v>
      </x:c>
      <x:c r="F3054" t="str">
        <x:v>GoblinRanged</x:v>
      </x:c>
      <x:c r="G3054" s="410" t="n">
        <x:v>51</x:v>
      </x:c>
    </x:row>
    <x:row r="3055">
      <x:c r="A3055" t="str">
        <x:v>Stage01</x:v>
      </x:c>
      <x:c r="B3055" t="str">
        <x:v>WAVE_59</x:v>
      </x:c>
      <x:c r="C3055" s="409" t="n">
        <x:v>582.08</x:v>
      </x:c>
      <x:c r="D3055" s="410" t="n">
        <x:v>16</x:v>
      </x:c>
      <x:c r="E3055" t="str">
        <x:v>BOTTOM_08</x:v>
      </x:c>
      <x:c r="F3055" t="str">
        <x:v>GoblinMelee</x:v>
      </x:c>
      <x:c r="G3055" s="410" t="n">
        <x:v>50</x:v>
      </x:c>
    </x:row>
    <x:row r="3056">
      <x:c r="A3056" t="str">
        <x:v>Stage01</x:v>
      </x:c>
      <x:c r="B3056" t="str">
        <x:v>WAVE_59</x:v>
      </x:c>
      <x:c r="C3056" s="409" t="n">
        <x:v>582.15</x:v>
      </x:c>
      <x:c r="D3056" s="410" t="n">
        <x:v>17</x:v>
      </x:c>
      <x:c r="E3056" t="str">
        <x:v>LEFT_01</x:v>
      </x:c>
      <x:c r="F3056" t="str">
        <x:v>ShieldSkeleton</x:v>
      </x:c>
      <x:c r="G3056" s="410" t="n">
        <x:v>51</x:v>
      </x:c>
    </x:row>
    <x:row r="3057">
      <x:c r="A3057" t="str">
        <x:v>Stage01</x:v>
      </x:c>
      <x:c r="B3057" t="str">
        <x:v>WAVE_59</x:v>
      </x:c>
      <x:c r="C3057" s="409" t="n">
        <x:v>582.22</x:v>
      </x:c>
      <x:c r="D3057" s="410" t="n">
        <x:v>18</x:v>
      </x:c>
      <x:c r="E3057" t="str">
        <x:v>TOP_03</x:v>
      </x:c>
      <x:c r="F3057" t="str">
        <x:v>GoblinMelee</x:v>
      </x:c>
      <x:c r="G3057" s="410" t="n">
        <x:v>51</x:v>
      </x:c>
    </x:row>
    <x:row r="3058">
      <x:c r="A3058" t="str">
        <x:v>Stage01</x:v>
      </x:c>
      <x:c r="B3058" t="str">
        <x:v>WAVE_59</x:v>
      </x:c>
      <x:c r="C3058" s="409" t="n">
        <x:v>582.29</x:v>
      </x:c>
      <x:c r="D3058" s="410" t="n">
        <x:v>19</x:v>
      </x:c>
      <x:c r="E3058" t="str">
        <x:v>RIGHT_04</x:v>
      </x:c>
      <x:c r="F3058" t="str">
        <x:v>GoblinRanged</x:v>
      </x:c>
      <x:c r="G3058" s="410" t="n">
        <x:v>51</x:v>
      </x:c>
    </x:row>
    <x:row r="3059">
      <x:c r="A3059" t="str">
        <x:v>Stage01</x:v>
      </x:c>
      <x:c r="B3059" t="str">
        <x:v>WAVE_59</x:v>
      </x:c>
      <x:c r="C3059" s="409" t="n">
        <x:v>582.36</x:v>
      </x:c>
      <x:c r="D3059" s="410" t="n">
        <x:v>20</x:v>
      </x:c>
      <x:c r="E3059" t="str">
        <x:v>BOTTOM_05</x:v>
      </x:c>
      <x:c r="F3059" t="str">
        <x:v>GoblinMelee</x:v>
      </x:c>
      <x:c r="G3059" s="410" t="n">
        <x:v>51</x:v>
      </x:c>
    </x:row>
    <x:row r="3060">
      <x:c r="A3060" t="str">
        <x:v>Stage01</x:v>
      </x:c>
      <x:c r="B3060" t="str">
        <x:v>WAVE_59</x:v>
      </x:c>
      <x:c r="C3060" s="409" t="n">
        <x:v>582.43</x:v>
      </x:c>
      <x:c r="D3060" s="410" t="n">
        <x:v>21</x:v>
      </x:c>
      <x:c r="E3060" t="str">
        <x:v>LEFT_06</x:v>
      </x:c>
      <x:c r="F3060" t="str">
        <x:v>GoblinMelee</x:v>
      </x:c>
      <x:c r="G3060" s="410" t="n">
        <x:v>51</x:v>
      </x:c>
    </x:row>
    <x:row r="3061">
      <x:c r="A3061" t="str">
        <x:v>Stage01</x:v>
      </x:c>
      <x:c r="B3061" t="str">
        <x:v>WAVE_59</x:v>
      </x:c>
      <x:c r="C3061" s="409" t="n">
        <x:v>582.51</x:v>
      </x:c>
      <x:c r="D3061" s="410" t="n">
        <x:v>22</x:v>
      </x:c>
      <x:c r="E3061" t="str">
        <x:v>TOP_08</x:v>
      </x:c>
      <x:c r="F3061" t="str">
        <x:v>GoblinRanged</x:v>
      </x:c>
      <x:c r="G3061" s="410" t="n">
        <x:v>51</x:v>
      </x:c>
    </x:row>
    <x:row r="3062">
      <x:c r="A3062" t="str">
        <x:v>Stage01</x:v>
      </x:c>
      <x:c r="B3062" t="str">
        <x:v>WAVE_59</x:v>
      </x:c>
      <x:c r="C3062" s="409" t="n">
        <x:v>582.58</x:v>
      </x:c>
      <x:c r="D3062" s="410" t="n">
        <x:v>23</x:v>
      </x:c>
      <x:c r="E3062" t="str">
        <x:v>RIGHT_01</x:v>
      </x:c>
      <x:c r="F3062" t="str">
        <x:v>GoblinMelee</x:v>
      </x:c>
      <x:c r="G3062" s="410" t="n">
        <x:v>51</x:v>
      </x:c>
    </x:row>
    <x:row r="3063">
      <x:c r="A3063" t="str">
        <x:v>Stage01</x:v>
      </x:c>
      <x:c r="B3063" t="str">
        <x:v>WAVE_59</x:v>
      </x:c>
      <x:c r="C3063" s="409" t="n">
        <x:v>582.65</x:v>
      </x:c>
      <x:c r="D3063" s="410" t="n">
        <x:v>24</x:v>
      </x:c>
      <x:c r="E3063" t="str">
        <x:v>BOTTOM_02</x:v>
      </x:c>
      <x:c r="F3063" t="str">
        <x:v>ShieldSkeleton</x:v>
      </x:c>
      <x:c r="G3063" s="410" t="n">
        <x:v>51</x:v>
      </x:c>
    </x:row>
    <x:row r="3064">
      <x:c r="A3064" t="str">
        <x:v>Stage01</x:v>
      </x:c>
      <x:c r="B3064" t="str">
        <x:v>WAVE_59</x:v>
      </x:c>
      <x:c r="C3064" s="409" t="n">
        <x:v>582.72</x:v>
      </x:c>
      <x:c r="D3064" s="410" t="n">
        <x:v>25</x:v>
      </x:c>
      <x:c r="E3064" t="str">
        <x:v>LEFT_03</x:v>
      </x:c>
      <x:c r="F3064" t="str">
        <x:v>GoblinMelee</x:v>
      </x:c>
      <x:c r="G3064" s="410" t="n">
        <x:v>51</x:v>
      </x:c>
    </x:row>
    <x:row r="3065">
      <x:c r="A3065" t="str">
        <x:v>Stage01</x:v>
      </x:c>
      <x:c r="B3065" t="str">
        <x:v>WAVE_59</x:v>
      </x:c>
      <x:c r="C3065" s="409" t="n">
        <x:v>582.79</x:v>
      </x:c>
      <x:c r="D3065" s="410" t="n">
        <x:v>26</x:v>
      </x:c>
      <x:c r="E3065" t="str">
        <x:v>TOP_05</x:v>
      </x:c>
      <x:c r="F3065" t="str">
        <x:v>GoblinRanged</x:v>
      </x:c>
      <x:c r="G3065" s="410" t="n">
        <x:v>51</x:v>
      </x:c>
    </x:row>
    <x:row r="3066">
      <x:c r="A3066" t="str">
        <x:v>Stage01</x:v>
      </x:c>
      <x:c r="B3066" t="str">
        <x:v>WAVE_59</x:v>
      </x:c>
      <x:c r="C3066" s="409" t="n">
        <x:v>582.86</x:v>
      </x:c>
      <x:c r="D3066" s="410" t="n">
        <x:v>27</x:v>
      </x:c>
      <x:c r="E3066" t="str">
        <x:v>RIGHT_06</x:v>
      </x:c>
      <x:c r="F3066" t="str">
        <x:v>GoblinMelee</x:v>
      </x:c>
      <x:c r="G3066" s="410" t="n">
        <x:v>51</x:v>
      </x:c>
    </x:row>
    <x:row r="3067">
      <x:c r="A3067" t="str">
        <x:v>Stage01</x:v>
      </x:c>
      <x:c r="B3067" t="str">
        <x:v>WAVE_59</x:v>
      </x:c>
      <x:c r="C3067" s="409" t="n">
        <x:v>582.93</x:v>
      </x:c>
      <x:c r="D3067" s="410" t="n">
        <x:v>28</x:v>
      </x:c>
      <x:c r="E3067" t="str">
        <x:v>BOTTOM_07</x:v>
      </x:c>
      <x:c r="F3067" t="str">
        <x:v>FlyingEye</x:v>
      </x:c>
      <x:c r="G3067" s="410" t="n">
        <x:v>51</x:v>
      </x:c>
    </x:row>
    <x:row r="3068">
      <x:c r="A3068" t="str">
        <x:v>Stage01</x:v>
      </x:c>
      <x:c r="B3068" t="str">
        <x:v>WAVE_59</x:v>
      </x:c>
      <x:c r="C3068" s="409" t="n">
        <x:v>583.01</x:v>
      </x:c>
      <x:c r="D3068" s="410" t="n">
        <x:v>29</x:v>
      </x:c>
      <x:c r="E3068" t="str">
        <x:v>LEFT_08</x:v>
      </x:c>
      <x:c r="F3068" t="str">
        <x:v>GoblinRanged</x:v>
      </x:c>
      <x:c r="G3068" s="410" t="n">
        <x:v>51</x:v>
      </x:c>
    </x:row>
    <x:row r="3069">
      <x:c r="A3069" t="str">
        <x:v>Stage01</x:v>
      </x:c>
      <x:c r="B3069" t="str">
        <x:v>WAVE_59</x:v>
      </x:c>
      <x:c r="C3069" s="409" t="n">
        <x:v>583.08</x:v>
      </x:c>
      <x:c r="D3069" s="410" t="n">
        <x:v>30</x:v>
      </x:c>
      <x:c r="E3069" t="str">
        <x:v>TOP_02</x:v>
      </x:c>
      <x:c r="F3069" t="str">
        <x:v>GoblinMelee</x:v>
      </x:c>
      <x:c r="G3069" s="410" t="n">
        <x:v>51</x:v>
      </x:c>
    </x:row>
    <x:row r="3070">
      <x:c r="A3070" t="str">
        <x:v>Stage01</x:v>
      </x:c>
      <x:c r="B3070" t="str">
        <x:v>WAVE_59</x:v>
      </x:c>
      <x:c r="C3070" s="409" t="n">
        <x:v>583.15</x:v>
      </x:c>
      <x:c r="D3070" s="410" t="n">
        <x:v>31</x:v>
      </x:c>
      <x:c r="E3070" t="str">
        <x:v>RIGHT_03</x:v>
      </x:c>
      <x:c r="F3070" t="str">
        <x:v>ShieldSkeleton</x:v>
      </x:c>
      <x:c r="G3070" s="410" t="n">
        <x:v>51</x:v>
      </x:c>
    </x:row>
    <x:row r="3071">
      <x:c r="A3071" t="str">
        <x:v>Stage01</x:v>
      </x:c>
      <x:c r="B3071" t="str">
        <x:v>WAVE_59</x:v>
      </x:c>
      <x:c r="C3071" s="409" t="n">
        <x:v>583.22</x:v>
      </x:c>
      <x:c r="D3071" s="410" t="n">
        <x:v>32</x:v>
      </x:c>
      <x:c r="E3071" t="str">
        <x:v>BOTTOM_04</x:v>
      </x:c>
      <x:c r="F3071" t="str">
        <x:v>GoblinMelee</x:v>
      </x:c>
      <x:c r="G3071" s="410" t="n">
        <x:v>51</x:v>
      </x:c>
    </x:row>
    <x:row r="3072">
      <x:c r="A3072" t="str">
        <x:v>Stage01</x:v>
      </x:c>
      <x:c r="B3072" t="str">
        <x:v>WAVE_59</x:v>
      </x:c>
      <x:c r="C3072" s="409" t="n">
        <x:v>583.29</x:v>
      </x:c>
      <x:c r="D3072" s="410" t="n">
        <x:v>33</x:v>
      </x:c>
      <x:c r="E3072" t="str">
        <x:v>LEFT_05</x:v>
      </x:c>
      <x:c r="F3072" t="str">
        <x:v>GoblinRanged</x:v>
      </x:c>
      <x:c r="G3072" s="410" t="n">
        <x:v>51</x:v>
      </x:c>
    </x:row>
    <x:row r="3073">
      <x:c r="A3073" t="str">
        <x:v>Stage01</x:v>
      </x:c>
      <x:c r="B3073" t="str">
        <x:v>WAVE_59</x:v>
      </x:c>
      <x:c r="C3073" s="409" t="n">
        <x:v>583.37</x:v>
      </x:c>
      <x:c r="D3073" s="410" t="n">
        <x:v>34</x:v>
      </x:c>
      <x:c r="E3073" t="str">
        <x:v>TOP_07</x:v>
      </x:c>
      <x:c r="F3073" t="str">
        <x:v>GoblinMelee</x:v>
      </x:c>
      <x:c r="G3073" s="410" t="n">
        <x:v>51</x:v>
      </x:c>
    </x:row>
    <x:row r="3074">
      <x:c r="A3074" t="str">
        <x:v>Stage01</x:v>
      </x:c>
      <x:c r="B3074" t="str">
        <x:v>WAVE_59</x:v>
      </x:c>
      <x:c r="C3074" s="409" t="n">
        <x:v>583.44</x:v>
      </x:c>
      <x:c r="D3074" s="410" t="n">
        <x:v>35</x:v>
      </x:c>
      <x:c r="E3074" t="str">
        <x:v>RIGHT_08</x:v>
      </x:c>
      <x:c r="F3074" t="str">
        <x:v>GoblinRanged</x:v>
      </x:c>
      <x:c r="G3074" s="410" t="n">
        <x:v>51</x:v>
      </x:c>
    </x:row>
    <x:row r="3075">
      <x:c r="A3075" t="str">
        <x:v>Stage01</x:v>
      </x:c>
      <x:c r="B3075" t="str">
        <x:v>WAVE_59</x:v>
      </x:c>
      <x:c r="C3075" s="409" t="n">
        <x:v>583.51</x:v>
      </x:c>
      <x:c r="D3075" s="410" t="n">
        <x:v>36</x:v>
      </x:c>
      <x:c r="E3075" t="str">
        <x:v>BOTTOM_01</x:v>
      </x:c>
      <x:c r="F3075" t="str">
        <x:v>GoblinMelee</x:v>
      </x:c>
      <x:c r="G3075" s="410" t="n">
        <x:v>51</x:v>
      </x:c>
    </x:row>
    <x:row r="3076">
      <x:c r="A3076" t="str">
        <x:v>Stage01</x:v>
      </x:c>
      <x:c r="B3076" t="str">
        <x:v>WAVE_59</x:v>
      </x:c>
      <x:c r="C3076" s="409" t="n">
        <x:v>583.58</x:v>
      </x:c>
      <x:c r="D3076" s="410" t="n">
        <x:v>37</x:v>
      </x:c>
      <x:c r="E3076" t="str">
        <x:v>LEFT_02</x:v>
      </x:c>
      <x:c r="F3076" t="str">
        <x:v>ShieldSkeleton</x:v>
      </x:c>
      <x:c r="G3076" s="410" t="n">
        <x:v>51</x:v>
      </x:c>
    </x:row>
    <x:row r="3077">
      <x:c r="A3077" t="str">
        <x:v>Stage01</x:v>
      </x:c>
      <x:c r="B3077" t="str">
        <x:v>WAVE_59</x:v>
      </x:c>
      <x:c r="C3077" s="409" t="n">
        <x:v>583.65</x:v>
      </x:c>
      <x:c r="D3077" s="410" t="n">
        <x:v>38</x:v>
      </x:c>
      <x:c r="E3077" t="str">
        <x:v>TOP_04</x:v>
      </x:c>
      <x:c r="F3077" t="str">
        <x:v>GoblinMelee</x:v>
      </x:c>
      <x:c r="G3077" s="410" t="n">
        <x:v>51</x:v>
      </x:c>
    </x:row>
    <x:row r="3078">
      <x:c r="A3078" t="str">
        <x:v>Stage01</x:v>
      </x:c>
      <x:c r="B3078" t="str">
        <x:v>WAVE_59</x:v>
      </x:c>
      <x:c r="C3078" s="409" t="n">
        <x:v>583.72</x:v>
      </x:c>
      <x:c r="D3078" s="410" t="n">
        <x:v>39</x:v>
      </x:c>
      <x:c r="E3078" t="str">
        <x:v>RIGHT_05</x:v>
      </x:c>
      <x:c r="F3078" t="str">
        <x:v>GoblinRanged</x:v>
      </x:c>
      <x:c r="G3078" s="410" t="n">
        <x:v>51</x:v>
      </x:c>
    </x:row>
    <x:row r="3079">
      <x:c r="A3079" t="str">
        <x:v>Stage01</x:v>
      </x:c>
      <x:c r="B3079" t="str">
        <x:v>WAVE_59</x:v>
      </x:c>
      <x:c r="C3079" s="409" t="n">
        <x:v>583.79</x:v>
      </x:c>
      <x:c r="D3079" s="410" t="n">
        <x:v>40</x:v>
      </x:c>
      <x:c r="E3079" t="str">
        <x:v>BOTTOM_06</x:v>
      </x:c>
      <x:c r="F3079" t="str">
        <x:v>GoblinMelee</x:v>
      </x:c>
      <x:c r="G3079" s="410" t="n">
        <x:v>51</x:v>
      </x:c>
    </x:row>
    <x:row r="3080">
      <x:c r="A3080" t="str">
        <x:v>Stage01</x:v>
      </x:c>
      <x:c r="B3080" t="str">
        <x:v>WAVE_59</x:v>
      </x:c>
      <x:c r="C3080" s="409" t="n">
        <x:v>583.87</x:v>
      </x:c>
      <x:c r="D3080" s="410" t="n">
        <x:v>41</x:v>
      </x:c>
      <x:c r="E3080" t="str">
        <x:v>LEFT_07</x:v>
      </x:c>
      <x:c r="F3080" t="str">
        <x:v>GoblinMelee</x:v>
      </x:c>
      <x:c r="G3080" s="410" t="n">
        <x:v>51</x:v>
      </x:c>
    </x:row>
    <x:row r="3081">
      <x:c r="A3081" t="str">
        <x:v>Stage01</x:v>
      </x:c>
      <x:c r="B3081" t="str">
        <x:v>WAVE_59</x:v>
      </x:c>
      <x:c r="C3081" s="409" t="n">
        <x:v>583.94</x:v>
      </x:c>
      <x:c r="D3081" s="410" t="n">
        <x:v>42</x:v>
      </x:c>
      <x:c r="E3081" t="str">
        <x:v>TOP_01</x:v>
      </x:c>
      <x:c r="F3081" t="str">
        <x:v>GoblinRanged</x:v>
      </x:c>
      <x:c r="G3081" s="410" t="n">
        <x:v>51</x:v>
      </x:c>
    </x:row>
    <x:row r="3082">
      <x:c r="A3082" t="str">
        <x:v>Stage01</x:v>
      </x:c>
      <x:c r="B3082" t="str">
        <x:v>WAVE_59</x:v>
      </x:c>
      <x:c r="C3082" s="409" t="n">
        <x:v>584.01</x:v>
      </x:c>
      <x:c r="D3082" s="410" t="n">
        <x:v>43</x:v>
      </x:c>
      <x:c r="E3082" t="str">
        <x:v>RIGHT_02</x:v>
      </x:c>
      <x:c r="F3082" t="str">
        <x:v>FlyingEye</x:v>
      </x:c>
      <x:c r="G3082" s="410" t="n">
        <x:v>51</x:v>
      </x:c>
    </x:row>
    <x:row r="3083">
      <x:c r="A3083" t="str">
        <x:v>Stage01</x:v>
      </x:c>
      <x:c r="B3083" t="str">
        <x:v>WAVE_59</x:v>
      </x:c>
      <x:c r="C3083" s="409" t="n">
        <x:v>584.08</x:v>
      </x:c>
      <x:c r="D3083" s="410" t="n">
        <x:v>44</x:v>
      </x:c>
      <x:c r="E3083" t="str">
        <x:v>BOTTOM_03</x:v>
      </x:c>
      <x:c r="F3083" t="str">
        <x:v>ShieldSkeleton</x:v>
      </x:c>
      <x:c r="G3083" s="410" t="n">
        <x:v>51</x:v>
      </x:c>
    </x:row>
    <x:row r="3084">
      <x:c r="A3084" t="str">
        <x:v>Stage01</x:v>
      </x:c>
      <x:c r="B3084" t="str">
        <x:v>WAVE_59</x:v>
      </x:c>
      <x:c r="C3084" s="409" t="n">
        <x:v>584.15</x:v>
      </x:c>
      <x:c r="D3084" s="410" t="n">
        <x:v>45</x:v>
      </x:c>
      <x:c r="E3084" t="str">
        <x:v>LEFT_04</x:v>
      </x:c>
      <x:c r="F3084" t="str">
        <x:v>GoblinMelee</x:v>
      </x:c>
      <x:c r="G3084" s="410" t="n">
        <x:v>51</x:v>
      </x:c>
    </x:row>
    <x:row r="3085">
      <x:c r="A3085" t="str">
        <x:v>Stage01</x:v>
      </x:c>
      <x:c r="B3085" t="str">
        <x:v>WAVE_59</x:v>
      </x:c>
      <x:c r="C3085" s="409" t="n">
        <x:v>584.23</x:v>
      </x:c>
      <x:c r="D3085" s="410" t="n">
        <x:v>46</x:v>
      </x:c>
      <x:c r="E3085" t="str">
        <x:v>TOP_06</x:v>
      </x:c>
      <x:c r="F3085" t="str">
        <x:v>GoblinRanged</x:v>
      </x:c>
      <x:c r="G3085" s="410" t="n">
        <x:v>50</x:v>
      </x:c>
    </x:row>
    <x:row r="3086">
      <x:c r="A3086" t="str">
        <x:v>Stage01</x:v>
      </x:c>
      <x:c r="B3086" t="str">
        <x:v>WAVE_59</x:v>
      </x:c>
      <x:c r="C3086" s="409" t="n">
        <x:v>584.3</x:v>
      </x:c>
      <x:c r="D3086" s="410" t="n">
        <x:v>47</x:v>
      </x:c>
      <x:c r="E3086" t="str">
        <x:v>RIGHT_07</x:v>
      </x:c>
      <x:c r="F3086" t="str">
        <x:v>GoblinMelee</x:v>
      </x:c>
      <x:c r="G3086" s="410" t="n">
        <x:v>51</x:v>
      </x:c>
    </x:row>
    <x:row r="3087">
      <x:c r="A3087" t="str">
        <x:v>Stage01</x:v>
      </x:c>
      <x:c r="B3087" t="str">
        <x:v>WAVE_59</x:v>
      </x:c>
      <x:c r="C3087" s="409" t="n">
        <x:v>584.37</x:v>
      </x:c>
      <x:c r="D3087" s="410" t="n">
        <x:v>48</x:v>
      </x:c>
      <x:c r="E3087" t="str">
        <x:v>BOTTOM_08</x:v>
      </x:c>
      <x:c r="F3087" t="str">
        <x:v>GoblinMelee</x:v>
      </x:c>
      <x:c r="G3087" s="410" t="n">
        <x:v>51</x:v>
      </x:c>
    </x:row>
    <x:row r="3088">
      <x:c r="A3088" t="str">
        <x:v>Stage01</x:v>
      </x:c>
      <x:c r="B3088" t="str">
        <x:v>WAVE_59</x:v>
      </x:c>
      <x:c r="C3088" s="409" t="n">
        <x:v>584.44</x:v>
      </x:c>
      <x:c r="D3088" s="410" t="n">
        <x:v>49</x:v>
      </x:c>
      <x:c r="E3088" t="str">
        <x:v>LEFT_01</x:v>
      </x:c>
      <x:c r="F3088" t="str">
        <x:v>GoblinRanged</x:v>
      </x:c>
      <x:c r="G3088" s="410" t="n">
        <x:v>51</x:v>
      </x:c>
    </x:row>
    <x:row r="3089">
      <x:c r="A3089" t="str">
        <x:v>Stage01</x:v>
      </x:c>
      <x:c r="B3089" t="str">
        <x:v>WAVE_59</x:v>
      </x:c>
      <x:c r="C3089" s="409" t="n">
        <x:v>584.51</x:v>
      </x:c>
      <x:c r="D3089" s="410" t="n">
        <x:v>50</x:v>
      </x:c>
      <x:c r="E3089" t="str">
        <x:v>TOP_03</x:v>
      </x:c>
      <x:c r="F3089" t="str">
        <x:v>GoblinMelee</x:v>
      </x:c>
      <x:c r="G3089" s="410" t="n">
        <x:v>51</x:v>
      </x:c>
    </x:row>
    <x:row r="3090">
      <x:c r="A3090" t="str">
        <x:v>Stage01</x:v>
      </x:c>
      <x:c r="B3090" t="str">
        <x:v>WAVE_59</x:v>
      </x:c>
      <x:c r="C3090" s="409" t="n">
        <x:v>584.58</x:v>
      </x:c>
      <x:c r="D3090" s="410" t="n">
        <x:v>51</x:v>
      </x:c>
      <x:c r="E3090" t="str">
        <x:v>RIGHT_04</x:v>
      </x:c>
      <x:c r="F3090" t="str">
        <x:v>ShieldSkeleton</x:v>
      </x:c>
      <x:c r="G3090" s="410" t="n">
        <x:v>51</x:v>
      </x:c>
    </x:row>
    <x:row r="3091">
      <x:c r="A3091" t="str">
        <x:v>Stage01</x:v>
      </x:c>
      <x:c r="B3091" t="str">
        <x:v>WAVE_59</x:v>
      </x:c>
      <x:c r="C3091" s="409" t="n">
        <x:v>584.66</x:v>
      </x:c>
      <x:c r="D3091" s="410" t="n">
        <x:v>52</x:v>
      </x:c>
      <x:c r="E3091" t="str">
        <x:v>BOTTOM_05</x:v>
      </x:c>
      <x:c r="F3091" t="str">
        <x:v>GoblinMelee</x:v>
      </x:c>
      <x:c r="G3091" s="410" t="n">
        <x:v>51</x:v>
      </x:c>
    </x:row>
    <x:row r="3092">
      <x:c r="A3092" t="str">
        <x:v>Stage01</x:v>
      </x:c>
      <x:c r="B3092" t="str">
        <x:v>WAVE_59</x:v>
      </x:c>
      <x:c r="C3092" s="409" t="n">
        <x:v>584.73</x:v>
      </x:c>
      <x:c r="D3092" s="410" t="n">
        <x:v>53</x:v>
      </x:c>
      <x:c r="E3092" t="str">
        <x:v>LEFT_06</x:v>
      </x:c>
      <x:c r="F3092" t="str">
        <x:v>GoblinRanged</x:v>
      </x:c>
      <x:c r="G3092" s="410" t="n">
        <x:v>51</x:v>
      </x:c>
    </x:row>
    <x:row r="3093">
      <x:c r="A3093" t="str">
        <x:v>Stage01</x:v>
      </x:c>
      <x:c r="B3093" t="str">
        <x:v>WAVE_59</x:v>
      </x:c>
      <x:c r="C3093" s="409" t="n">
        <x:v>584.8</x:v>
      </x:c>
      <x:c r="D3093" s="410" t="n">
        <x:v>54</x:v>
      </x:c>
      <x:c r="E3093" t="str">
        <x:v>TOP_08</x:v>
      </x:c>
      <x:c r="F3093" t="str">
        <x:v>GoblinMelee</x:v>
      </x:c>
      <x:c r="G3093" s="410" t="n">
        <x:v>51</x:v>
      </x:c>
    </x:row>
    <x:row r="3094">
      <x:c r="A3094" t="str">
        <x:v>Stage01</x:v>
      </x:c>
      <x:c r="B3094" t="str">
        <x:v>WAVE_59</x:v>
      </x:c>
      <x:c r="C3094" s="409" t="n">
        <x:v>584.87</x:v>
      </x:c>
      <x:c r="D3094" s="410" t="n">
        <x:v>55</x:v>
      </x:c>
      <x:c r="E3094" t="str">
        <x:v>RIGHT_01</x:v>
      </x:c>
      <x:c r="F3094" t="str">
        <x:v>GoblinMelee</x:v>
      </x:c>
      <x:c r="G3094" s="410" t="n">
        <x:v>51</x:v>
      </x:c>
    </x:row>
    <x:row r="3095">
      <x:c r="A3095" t="str">
        <x:v>Stage01</x:v>
      </x:c>
      <x:c r="B3095" t="str">
        <x:v>WAVE_59</x:v>
      </x:c>
      <x:c r="C3095" s="409" t="n">
        <x:v>584.94</x:v>
      </x:c>
      <x:c r="D3095" s="410" t="n">
        <x:v>56</x:v>
      </x:c>
      <x:c r="E3095" t="str">
        <x:v>BOTTOM_02</x:v>
      </x:c>
      <x:c r="F3095" t="str">
        <x:v>GoblinRanged</x:v>
      </x:c>
      <x:c r="G3095" s="410" t="n">
        <x:v>51</x:v>
      </x:c>
    </x:row>
    <x:row r="3096">
      <x:c r="A3096" t="str">
        <x:v>Stage01</x:v>
      </x:c>
      <x:c r="B3096" t="str">
        <x:v>WAVE_59</x:v>
      </x:c>
      <x:c r="C3096" s="409" t="n">
        <x:v>585.01</x:v>
      </x:c>
      <x:c r="D3096" s="410" t="n">
        <x:v>57</x:v>
      </x:c>
      <x:c r="E3096" t="str">
        <x:v>LEFT_03</x:v>
      </x:c>
      <x:c r="F3096" t="str">
        <x:v>FlyingEye</x:v>
      </x:c>
      <x:c r="G3096" s="410" t="n">
        <x:v>51</x:v>
      </x:c>
    </x:row>
    <x:row r="3097">
      <x:c r="A3097" t="str">
        <x:v>Stage01</x:v>
      </x:c>
      <x:c r="B3097" t="str">
        <x:v>WAVE_59</x:v>
      </x:c>
      <x:c r="C3097" s="409" t="n">
        <x:v>585.09</x:v>
      </x:c>
      <x:c r="D3097" s="410" t="n">
        <x:v>58</x:v>
      </x:c>
      <x:c r="E3097" t="str">
        <x:v>TOP_05</x:v>
      </x:c>
      <x:c r="F3097" t="str">
        <x:v>ShieldSkeleton</x:v>
      </x:c>
      <x:c r="G3097" s="410" t="n">
        <x:v>51</x:v>
      </x:c>
    </x:row>
    <x:row r="3098">
      <x:c r="A3098" t="str">
        <x:v>Stage01</x:v>
      </x:c>
      <x:c r="B3098" t="str">
        <x:v>WAVE_59</x:v>
      </x:c>
      <x:c r="C3098" s="409" t="n">
        <x:v>585.16</x:v>
      </x:c>
      <x:c r="D3098" s="410" t="n">
        <x:v>59</x:v>
      </x:c>
      <x:c r="E3098" t="str">
        <x:v>RIGHT_06</x:v>
      </x:c>
      <x:c r="F3098" t="str">
        <x:v>GoblinMelee</x:v>
      </x:c>
      <x:c r="G3098" s="410" t="n">
        <x:v>51</x:v>
      </x:c>
    </x:row>
    <x:row r="3099">
      <x:c r="A3099" t="str">
        <x:v>Stage01</x:v>
      </x:c>
      <x:c r="B3099" t="str">
        <x:v>WAVE_59</x:v>
      </x:c>
      <x:c r="C3099" s="409" t="n">
        <x:v>585.23</x:v>
      </x:c>
      <x:c r="D3099" s="410" t="n">
        <x:v>60</x:v>
      </x:c>
      <x:c r="E3099" t="str">
        <x:v>BOTTOM_07</x:v>
      </x:c>
      <x:c r="F3099" t="str">
        <x:v>GoblinRanged</x:v>
      </x:c>
      <x:c r="G3099" s="410" t="n">
        <x:v>51</x:v>
      </x:c>
    </x:row>
    <x:row r="3100">
      <x:c r="A3100" t="str">
        <x:v>Stage01</x:v>
      </x:c>
      <x:c r="B3100" t="str">
        <x:v>WAVE_59</x:v>
      </x:c>
      <x:c r="C3100" s="409" t="n">
        <x:v>585.3</x:v>
      </x:c>
      <x:c r="D3100" s="410" t="n">
        <x:v>61</x:v>
      </x:c>
      <x:c r="E3100" t="str">
        <x:v>LEFT_08</x:v>
      </x:c>
      <x:c r="F3100" t="str">
        <x:v>GoblinMelee</x:v>
      </x:c>
      <x:c r="G3100" s="410" t="n">
        <x:v>51</x:v>
      </x:c>
    </x:row>
    <x:row r="3101">
      <x:c r="A3101" t="str">
        <x:v>Stage01</x:v>
      </x:c>
      <x:c r="B3101" t="str">
        <x:v>WAVE_59</x:v>
      </x:c>
      <x:c r="C3101" s="409" t="n">
        <x:v>585.37</x:v>
      </x:c>
      <x:c r="D3101" s="410" t="n">
        <x:v>62</x:v>
      </x:c>
      <x:c r="E3101" t="str">
        <x:v>TOP_02</x:v>
      </x:c>
      <x:c r="F3101" t="str">
        <x:v>GoblinRanged</x:v>
      </x:c>
      <x:c r="G3101" s="410" t="n">
        <x:v>51</x:v>
      </x:c>
    </x:row>
    <x:row r="3102">
      <x:c r="A3102" t="str">
        <x:v>Stage01</x:v>
      </x:c>
      <x:c r="B3102" t="str">
        <x:v>WAVE_59</x:v>
      </x:c>
      <x:c r="C3102" s="409" t="n">
        <x:v>585.44</x:v>
      </x:c>
      <x:c r="D3102" s="410" t="n">
        <x:v>63</x:v>
      </x:c>
      <x:c r="E3102" t="str">
        <x:v>RIGHT_03</x:v>
      </x:c>
      <x:c r="F3102" t="str">
        <x:v>GoblinMelee</x:v>
      </x:c>
      <x:c r="G3102" s="410" t="n">
        <x:v>51</x:v>
      </x:c>
    </x:row>
    <x:row r="3103">
      <x:c r="A3103" t="str">
        <x:v>Stage01</x:v>
      </x:c>
      <x:c r="B3103" t="str">
        <x:v>WAVE_59</x:v>
      </x:c>
      <x:c r="C3103" s="409" t="n">
        <x:v>585.52</x:v>
      </x:c>
      <x:c r="D3103" s="410" t="n">
        <x:v>64</x:v>
      </x:c>
      <x:c r="E3103" t="str">
        <x:v>BOTTOM_04</x:v>
      </x:c>
      <x:c r="F3103" t="str">
        <x:v>ShieldSkeleton</x:v>
      </x:c>
      <x:c r="G3103" s="410" t="n">
        <x:v>51</x:v>
      </x:c>
    </x:row>
    <x:row r="3104">
      <x:c r="A3104" t="str">
        <x:v>Stage01</x:v>
      </x:c>
      <x:c r="B3104" t="str">
        <x:v>WAVE_59</x:v>
      </x:c>
      <x:c r="C3104" s="409" t="n">
        <x:v>585.59</x:v>
      </x:c>
      <x:c r="D3104" s="410" t="n">
        <x:v>65</x:v>
      </x:c>
      <x:c r="E3104" t="str">
        <x:v>LEFT_05</x:v>
      </x:c>
      <x:c r="F3104" t="str">
        <x:v>GoblinMelee</x:v>
      </x:c>
      <x:c r="G3104" s="410" t="n">
        <x:v>51</x:v>
      </x:c>
    </x:row>
    <x:row r="3105">
      <x:c r="A3105" t="str">
        <x:v>Stage01</x:v>
      </x:c>
      <x:c r="B3105" t="str">
        <x:v>WAVE_59</x:v>
      </x:c>
      <x:c r="C3105" s="409" t="n">
        <x:v>585.66</x:v>
      </x:c>
      <x:c r="D3105" s="410" t="n">
        <x:v>66</x:v>
      </x:c>
      <x:c r="E3105" t="str">
        <x:v>TOP_07</x:v>
      </x:c>
      <x:c r="F3105" t="str">
        <x:v>GoblinRanged</x:v>
      </x:c>
      <x:c r="G3105" s="410" t="n">
        <x:v>51</x:v>
      </x:c>
    </x:row>
    <x:row r="3106">
      <x:c r="A3106" t="str">
        <x:v>Stage01</x:v>
      </x:c>
      <x:c r="B3106" t="str">
        <x:v>WAVE_59</x:v>
      </x:c>
      <x:c r="C3106" s="409" t="n">
        <x:v>585.73</x:v>
      </x:c>
      <x:c r="D3106" s="410" t="n">
        <x:v>67</x:v>
      </x:c>
      <x:c r="E3106" t="str">
        <x:v>RIGHT_08</x:v>
      </x:c>
      <x:c r="F3106" t="str">
        <x:v>GoblinMelee</x:v>
      </x:c>
      <x:c r="G3106" s="410" t="n">
        <x:v>51</x:v>
      </x:c>
    </x:row>
    <x:row r="3107">
      <x:c r="A3107" t="str">
        <x:v>Stage01</x:v>
      </x:c>
      <x:c r="B3107" t="str">
        <x:v>WAVE_59</x:v>
      </x:c>
      <x:c r="C3107" s="409" t="n">
        <x:v>585.8</x:v>
      </x:c>
      <x:c r="D3107" s="410" t="n">
        <x:v>68</x:v>
      </x:c>
      <x:c r="E3107" t="str">
        <x:v>BOTTOM_01</x:v>
      </x:c>
      <x:c r="F3107" t="str">
        <x:v>GoblinMelee</x:v>
      </x:c>
      <x:c r="G3107" s="410" t="n">
        <x:v>51</x:v>
      </x:c>
    </x:row>
    <x:row r="3108">
      <x:c r="A3108" t="str">
        <x:v>Stage01</x:v>
      </x:c>
      <x:c r="B3108" t="str">
        <x:v>WAVE_59</x:v>
      </x:c>
      <x:c r="C3108" s="409" t="n">
        <x:v>585.87</x:v>
      </x:c>
      <x:c r="D3108" s="410" t="n">
        <x:v>69</x:v>
      </x:c>
      <x:c r="E3108" t="str">
        <x:v>LEFT_02</x:v>
      </x:c>
      <x:c r="F3108" t="str">
        <x:v>GoblinRanged</x:v>
      </x:c>
      <x:c r="G3108" s="410" t="n">
        <x:v>51</x:v>
      </x:c>
    </x:row>
    <x:row r="3109">
      <x:c r="A3109" t="str">
        <x:v>Stage01</x:v>
      </x:c>
      <x:c r="B3109" t="str">
        <x:v>WAVE_59</x:v>
      </x:c>
      <x:c r="C3109" s="409" t="n">
        <x:v>585.95</x:v>
      </x:c>
      <x:c r="D3109" s="410" t="n">
        <x:v>70</x:v>
      </x:c>
      <x:c r="E3109" t="str">
        <x:v>TOP_04</x:v>
      </x:c>
      <x:c r="F3109" t="str">
        <x:v>GoblinMelee</x:v>
      </x:c>
      <x:c r="G3109" s="410" t="n">
        <x:v>51</x:v>
      </x:c>
    </x:row>
    <x:row r="3110">
      <x:c r="A3110" t="str">
        <x:v>Stage01</x:v>
      </x:c>
      <x:c r="B3110" t="str">
        <x:v>WAVE_59</x:v>
      </x:c>
      <x:c r="C3110" s="409" t="n">
        <x:v>586.02</x:v>
      </x:c>
      <x:c r="D3110" s="410" t="n">
        <x:v>71</x:v>
      </x:c>
      <x:c r="E3110" t="str">
        <x:v>RIGHT_05</x:v>
      </x:c>
      <x:c r="F3110" t="str">
        <x:v>ShieldSkeleton</x:v>
      </x:c>
      <x:c r="G3110" s="410" t="n">
        <x:v>51</x:v>
      </x:c>
    </x:row>
    <x:row r="3111">
      <x:c r="A3111" t="str">
        <x:v>Stage01</x:v>
      </x:c>
      <x:c r="B3111" t="str">
        <x:v>WAVE_59</x:v>
      </x:c>
      <x:c r="C3111" s="409" t="n">
        <x:v>586.09</x:v>
      </x:c>
      <x:c r="D3111" s="410" t="n">
        <x:v>72</x:v>
      </x:c>
      <x:c r="E3111" t="str">
        <x:v>BOTTOM_06</x:v>
      </x:c>
      <x:c r="F3111" t="str">
        <x:v>FlyingEye</x:v>
      </x:c>
      <x:c r="G3111" s="410" t="n">
        <x:v>51</x:v>
      </x:c>
    </x:row>
    <x:row r="3112">
      <x:c r="A3112" t="str">
        <x:v>Stage01</x:v>
      </x:c>
      <x:c r="B3112" t="str">
        <x:v>WAVE_59</x:v>
      </x:c>
      <x:c r="C3112" s="409" t="n">
        <x:v>586.16</x:v>
      </x:c>
      <x:c r="D3112" s="410" t="n">
        <x:v>73</x:v>
      </x:c>
      <x:c r="E3112" t="str">
        <x:v>LEFT_07</x:v>
      </x:c>
      <x:c r="F3112" t="str">
        <x:v>GoblinRanged</x:v>
      </x:c>
      <x:c r="G3112" s="410" t="n">
        <x:v>51</x:v>
      </x:c>
    </x:row>
    <x:row r="3113">
      <x:c r="A3113" t="str">
        <x:v>Stage01</x:v>
      </x:c>
      <x:c r="B3113" t="str">
        <x:v>WAVE_59</x:v>
      </x:c>
      <x:c r="C3113" s="409" t="n">
        <x:v>586.23</x:v>
      </x:c>
      <x:c r="D3113" s="410" t="n">
        <x:v>74</x:v>
      </x:c>
      <x:c r="E3113" t="str">
        <x:v>TOP_01</x:v>
      </x:c>
      <x:c r="F3113" t="str">
        <x:v>GoblinMelee</x:v>
      </x:c>
      <x:c r="G3113" s="410" t="n">
        <x:v>51</x:v>
      </x:c>
    </x:row>
    <x:row r="3114">
      <x:c r="A3114" t="str">
        <x:v>Stage01</x:v>
      </x:c>
      <x:c r="B3114" t="str">
        <x:v>WAVE_59</x:v>
      </x:c>
      <x:c r="C3114" s="409" t="n">
        <x:v>586.3</x:v>
      </x:c>
      <x:c r="D3114" s="410" t="n">
        <x:v>75</x:v>
      </x:c>
      <x:c r="E3114" t="str">
        <x:v>RIGHT_02</x:v>
      </x:c>
      <x:c r="F3114" t="str">
        <x:v>GoblinMelee</x:v>
      </x:c>
      <x:c r="G3114" s="410" t="n">
        <x:v>51</x:v>
      </x:c>
    </x:row>
    <x:row r="3115">
      <x:c r="A3115" t="str">
        <x:v>Stage01</x:v>
      </x:c>
      <x:c r="B3115" t="str">
        <x:v>WAVE_59</x:v>
      </x:c>
      <x:c r="C3115" s="409" t="n">
        <x:v>586.38</x:v>
      </x:c>
      <x:c r="D3115" s="410" t="n">
        <x:v>76</x:v>
      </x:c>
      <x:c r="E3115" t="str">
        <x:v>BOTTOM_03</x:v>
      </x:c>
      <x:c r="F3115" t="str">
        <x:v>GoblinRanged</x:v>
      </x:c>
      <x:c r="G3115" s="410" t="n">
        <x:v>50</x:v>
      </x:c>
    </x:row>
    <x:row r="3116">
      <x:c r="A3116" t="str">
        <x:v>Stage01</x:v>
      </x:c>
      <x:c r="B3116" t="str">
        <x:v>WAVE_59</x:v>
      </x:c>
      <x:c r="C3116" s="409" t="n">
        <x:v>586.45</x:v>
      </x:c>
      <x:c r="D3116" s="410" t="n">
        <x:v>77</x:v>
      </x:c>
      <x:c r="E3116" t="str">
        <x:v>LEFT_04</x:v>
      </x:c>
      <x:c r="F3116" t="str">
        <x:v>GoblinMelee</x:v>
      </x:c>
      <x:c r="G3116" s="410" t="n">
        <x:v>51</x:v>
      </x:c>
    </x:row>
    <x:row r="3117">
      <x:c r="A3117" t="str">
        <x:v>Stage01</x:v>
      </x:c>
      <x:c r="B3117" t="str">
        <x:v>WAVE_59</x:v>
      </x:c>
      <x:c r="C3117" s="409" t="n">
        <x:v>586.52</x:v>
      </x:c>
      <x:c r="D3117" s="410" t="n">
        <x:v>78</x:v>
      </x:c>
      <x:c r="E3117" t="str">
        <x:v>TOP_06</x:v>
      </x:c>
      <x:c r="F3117" t="str">
        <x:v>ShieldSkeleton</x:v>
      </x:c>
      <x:c r="G3117" s="410" t="n">
        <x:v>51</x:v>
      </x:c>
    </x:row>
    <x:row r="3118">
      <x:c r="A3118" t="str">
        <x:v>Stage01</x:v>
      </x:c>
      <x:c r="B3118" t="str">
        <x:v>WAVE_59</x:v>
      </x:c>
      <x:c r="C3118" s="409" t="n">
        <x:v>586.59</x:v>
      </x:c>
      <x:c r="D3118" s="410" t="n">
        <x:v>79</x:v>
      </x:c>
      <x:c r="E3118" t="str">
        <x:v>RIGHT_07</x:v>
      </x:c>
      <x:c r="F3118" t="str">
        <x:v>GoblinMelee</x:v>
      </x:c>
      <x:c r="G3118" s="410" t="n">
        <x:v>51</x:v>
      </x:c>
    </x:row>
    <x:row r="3119">
      <x:c r="A3119" t="str">
        <x:v>Stage01</x:v>
      </x:c>
      <x:c r="B3119" t="str">
        <x:v>WAVE_59</x:v>
      </x:c>
      <x:c r="C3119" s="409" t="n">
        <x:v>586.66</x:v>
      </x:c>
      <x:c r="D3119" s="410" t="n">
        <x:v>80</x:v>
      </x:c>
      <x:c r="E3119" t="str">
        <x:v>BOTTOM_08</x:v>
      </x:c>
      <x:c r="F3119" t="str">
        <x:v>GoblinRanged</x:v>
      </x:c>
      <x:c r="G3119" s="410" t="n">
        <x:v>51</x:v>
      </x:c>
    </x:row>
    <x:row r="3120">
      <x:c r="A3120" t="str">
        <x:v>Stage01</x:v>
      </x:c>
      <x:c r="B3120" t="str">
        <x:v>WAVE_59</x:v>
      </x:c>
      <x:c r="C3120" s="409" t="n">
        <x:v>586.73</x:v>
      </x:c>
      <x:c r="D3120" s="410" t="n">
        <x:v>81</x:v>
      </x:c>
      <x:c r="E3120" t="str">
        <x:v>LEFT_01</x:v>
      </x:c>
      <x:c r="F3120" t="str">
        <x:v>GoblinMelee</x:v>
      </x:c>
      <x:c r="G3120" s="410" t="n">
        <x:v>51</x:v>
      </x:c>
    </x:row>
    <x:row r="3121">
      <x:c r="A3121" t="str">
        <x:v>Stage01</x:v>
      </x:c>
      <x:c r="B3121" t="str">
        <x:v>WAVE_59</x:v>
      </x:c>
      <x:c r="C3121" s="409" t="n">
        <x:v>586.8</x:v>
      </x:c>
      <x:c r="D3121" s="410" t="n">
        <x:v>82</x:v>
      </x:c>
      <x:c r="E3121" t="str">
        <x:v>TOP_03</x:v>
      </x:c>
      <x:c r="F3121" t="str">
        <x:v>GoblinMelee</x:v>
      </x:c>
      <x:c r="G3121" s="410" t="n">
        <x:v>51</x:v>
      </x:c>
    </x:row>
    <x:row r="3122">
      <x:c r="A3122" t="str">
        <x:v>Stage01</x:v>
      </x:c>
      <x:c r="B3122" t="str">
        <x:v>WAVE_59</x:v>
      </x:c>
      <x:c r="C3122" s="409" t="n">
        <x:v>586.88</x:v>
      </x:c>
      <x:c r="D3122" s="410" t="n">
        <x:v>83</x:v>
      </x:c>
      <x:c r="E3122" t="str">
        <x:v>RIGHT_04</x:v>
      </x:c>
      <x:c r="F3122" t="str">
        <x:v>GoblinRanged</x:v>
      </x:c>
      <x:c r="G3122" s="410" t="n">
        <x:v>51</x:v>
      </x:c>
    </x:row>
    <x:row r="3123">
      <x:c r="A3123" t="str">
        <x:v>Stage01</x:v>
      </x:c>
      <x:c r="B3123" t="str">
        <x:v>WAVE_59</x:v>
      </x:c>
      <x:c r="C3123" s="409" t="n">
        <x:v>586.95</x:v>
      </x:c>
      <x:c r="D3123" s="410" t="n">
        <x:v>84</x:v>
      </x:c>
      <x:c r="E3123" t="str">
        <x:v>BOTTOM_05</x:v>
      </x:c>
      <x:c r="F3123" t="str">
        <x:v>GoblinMelee</x:v>
      </x:c>
      <x:c r="G3123" s="410" t="n">
        <x:v>51</x:v>
      </x:c>
    </x:row>
    <x:row r="3124">
      <x:c r="A3124" t="str">
        <x:v>Stage01</x:v>
      </x:c>
      <x:c r="B3124" t="str">
        <x:v>WAVE_59</x:v>
      </x:c>
      <x:c r="C3124" s="409" t="n">
        <x:v>587.02</x:v>
      </x:c>
      <x:c r="D3124" s="410" t="n">
        <x:v>85</x:v>
      </x:c>
      <x:c r="E3124" t="str">
        <x:v>LEFT_06</x:v>
      </x:c>
      <x:c r="F3124" t="str">
        <x:v>ShieldSkeleton</x:v>
      </x:c>
      <x:c r="G3124" s="410" t="n">
        <x:v>51</x:v>
      </x:c>
    </x:row>
    <x:row r="3125">
      <x:c r="A3125" t="str">
        <x:v>Stage01</x:v>
      </x:c>
      <x:c r="B3125" t="str">
        <x:v>WAVE_59</x:v>
      </x:c>
      <x:c r="C3125" s="409" t="n">
        <x:v>587.09</x:v>
      </x:c>
      <x:c r="D3125" s="410" t="n">
        <x:v>86</x:v>
      </x:c>
      <x:c r="E3125" t="str">
        <x:v>TOP_08</x:v>
      </x:c>
      <x:c r="F3125" t="str">
        <x:v>FlyingEye</x:v>
      </x:c>
      <x:c r="G3125" s="410" t="n">
        <x:v>51</x:v>
      </x:c>
    </x:row>
    <x:row r="3126">
      <x:c r="A3126" t="str">
        <x:v>Stage01</x:v>
      </x:c>
      <x:c r="B3126" t="str">
        <x:v>WAVE_59</x:v>
      </x:c>
      <x:c r="C3126" s="409" t="n">
        <x:v>587.16</x:v>
      </x:c>
      <x:c r="D3126" s="410" t="n">
        <x:v>87</x:v>
      </x:c>
      <x:c r="E3126" t="str">
        <x:v>RIGHT_01</x:v>
      </x:c>
      <x:c r="F3126" t="str">
        <x:v>GoblinRanged</x:v>
      </x:c>
      <x:c r="G3126" s="410" t="n">
        <x:v>51</x:v>
      </x:c>
    </x:row>
    <x:row r="3127">
      <x:c r="A3127" t="str">
        <x:v>Stage01</x:v>
      </x:c>
      <x:c r="B3127" t="str">
        <x:v>WAVE_59</x:v>
      </x:c>
      <x:c r="C3127" s="409" t="n">
        <x:v>587.24</x:v>
      </x:c>
      <x:c r="D3127" s="410" t="n">
        <x:v>88</x:v>
      </x:c>
      <x:c r="E3127" t="str">
        <x:v>BOTTOM_02</x:v>
      </x:c>
      <x:c r="F3127" t="str">
        <x:v>GoblinMelee</x:v>
      </x:c>
      <x:c r="G3127" s="410" t="n">
        <x:v>51</x:v>
      </x:c>
    </x:row>
    <x:row r="3128">
      <x:c r="A3128" t="str">
        <x:v>Stage01</x:v>
      </x:c>
      <x:c r="B3128" t="str">
        <x:v>WAVE_59</x:v>
      </x:c>
      <x:c r="C3128" s="409" t="n">
        <x:v>587.31</x:v>
      </x:c>
      <x:c r="D3128" s="410" t="n">
        <x:v>89</x:v>
      </x:c>
      <x:c r="E3128" t="str">
        <x:v>LEFT_03</x:v>
      </x:c>
      <x:c r="F3128" t="str">
        <x:v>GoblinRanged</x:v>
      </x:c>
      <x:c r="G3128" s="410" t="n">
        <x:v>51</x:v>
      </x:c>
    </x:row>
    <x:row r="3129">
      <x:c r="A3129" t="str">
        <x:v>Stage01</x:v>
      </x:c>
      <x:c r="B3129" t="str">
        <x:v>WAVE_59</x:v>
      </x:c>
      <x:c r="C3129" s="409" t="n">
        <x:v>587.38</x:v>
      </x:c>
      <x:c r="D3129" s="410" t="n">
        <x:v>90</x:v>
      </x:c>
      <x:c r="E3129" t="str">
        <x:v>TOP_05</x:v>
      </x:c>
      <x:c r="F3129" t="str">
        <x:v>GoblinMelee</x:v>
      </x:c>
      <x:c r="G3129" s="410" t="n">
        <x:v>51</x:v>
      </x:c>
    </x:row>
    <x:row r="3130">
      <x:c r="A3130" t="str">
        <x:v>Stage01</x:v>
      </x:c>
      <x:c r="B3130" t="str">
        <x:v>WAVE_59</x:v>
      </x:c>
      <x:c r="C3130" s="409" t="n">
        <x:v>587.45</x:v>
      </x:c>
      <x:c r="D3130" s="410" t="n">
        <x:v>91</x:v>
      </x:c>
      <x:c r="E3130" t="str">
        <x:v>RIGHT_06</x:v>
      </x:c>
      <x:c r="F3130" t="str">
        <x:v>ShieldSkeleton</x:v>
      </x:c>
      <x:c r="G3130" s="410" t="n">
        <x:v>51</x:v>
      </x:c>
    </x:row>
    <x:row r="3131">
      <x:c r="A3131" t="str">
        <x:v>Stage01</x:v>
      </x:c>
      <x:c r="B3131" t="str">
        <x:v>WAVE_59</x:v>
      </x:c>
      <x:c r="C3131" s="409" t="n">
        <x:v>587.52</x:v>
      </x:c>
      <x:c r="D3131" s="410" t="n">
        <x:v>92</x:v>
      </x:c>
      <x:c r="E3131" t="str">
        <x:v>BOTTOM_07</x:v>
      </x:c>
      <x:c r="F3131" t="str">
        <x:v>GoblinMelee</x:v>
      </x:c>
      <x:c r="G3131" s="410" t="n">
        <x:v>51</x:v>
      </x:c>
    </x:row>
    <x:row r="3132">
      <x:c r="A3132" t="str">
        <x:v>Stage01</x:v>
      </x:c>
      <x:c r="B3132" t="str">
        <x:v>WAVE_59</x:v>
      </x:c>
      <x:c r="C3132" s="409" t="n">
        <x:v>587.59</x:v>
      </x:c>
      <x:c r="D3132" s="410" t="n">
        <x:v>93</x:v>
      </x:c>
      <x:c r="E3132" t="str">
        <x:v>LEFT_08</x:v>
      </x:c>
      <x:c r="F3132" t="str">
        <x:v>GoblinRanged</x:v>
      </x:c>
      <x:c r="G3132" s="410" t="n">
        <x:v>51</x:v>
      </x:c>
    </x:row>
    <x:row r="3133">
      <x:c r="A3133" t="str">
        <x:v>Stage01</x:v>
      </x:c>
      <x:c r="B3133" t="str">
        <x:v>WAVE_59</x:v>
      </x:c>
      <x:c r="C3133" s="409" t="n">
        <x:v>587.67</x:v>
      </x:c>
      <x:c r="D3133" s="410" t="n">
        <x:v>94</x:v>
      </x:c>
      <x:c r="E3133" t="str">
        <x:v>TOP_02</x:v>
      </x:c>
      <x:c r="F3133" t="str">
        <x:v>GoblinMelee</x:v>
      </x:c>
      <x:c r="G3133" s="410" t="n">
        <x:v>51</x:v>
      </x:c>
    </x:row>
    <x:row r="3134">
      <x:c r="A3134" t="str">
        <x:v>Stage01</x:v>
      </x:c>
      <x:c r="B3134" t="str">
        <x:v>WAVE_59</x:v>
      </x:c>
      <x:c r="C3134" s="409" t="n">
        <x:v>587.74</x:v>
      </x:c>
      <x:c r="D3134" s="410" t="n">
        <x:v>95</x:v>
      </x:c>
      <x:c r="E3134" t="str">
        <x:v>RIGHT_03</x:v>
      </x:c>
      <x:c r="F3134" t="str">
        <x:v>GoblinMelee</x:v>
      </x:c>
      <x:c r="G3134" s="410" t="n">
        <x:v>51</x:v>
      </x:c>
    </x:row>
    <x:row r="3135">
      <x:c r="A3135" t="str">
        <x:v>Stage01</x:v>
      </x:c>
      <x:c r="B3135" t="str">
        <x:v>WAVE_59</x:v>
      </x:c>
      <x:c r="C3135" s="409" t="n">
        <x:v>587.81</x:v>
      </x:c>
      <x:c r="D3135" s="410" t="n">
        <x:v>96</x:v>
      </x:c>
      <x:c r="E3135" t="str">
        <x:v>BOTTOM_04</x:v>
      </x:c>
      <x:c r="F3135" t="str">
        <x:v>GoblinRanged</x:v>
      </x:c>
      <x:c r="G3135" s="410" t="n">
        <x:v>51</x:v>
      </x:c>
    </x:row>
    <x:row r="3136">
      <x:c r="A3136" t="str">
        <x:v>Stage01</x:v>
      </x:c>
      <x:c r="B3136" t="str">
        <x:v>WAVE_59</x:v>
      </x:c>
      <x:c r="C3136" s="409" t="n">
        <x:v>587.88</x:v>
      </x:c>
      <x:c r="D3136" s="410" t="n">
        <x:v>97</x:v>
      </x:c>
      <x:c r="E3136" t="str">
        <x:v>LEFT_05</x:v>
      </x:c>
      <x:c r="F3136" t="str">
        <x:v>GoblinMelee</x:v>
      </x:c>
      <x:c r="G3136" s="410" t="n">
        <x:v>51</x:v>
      </x:c>
    </x:row>
    <x:row r="3137">
      <x:c r="A3137" t="str">
        <x:v>Stage01</x:v>
      </x:c>
      <x:c r="B3137" t="str">
        <x:v>WAVE_59</x:v>
      </x:c>
      <x:c r="C3137" s="409" t="n">
        <x:v>587.95</x:v>
      </x:c>
      <x:c r="D3137" s="410" t="n">
        <x:v>98</x:v>
      </x:c>
      <x:c r="E3137" t="str">
        <x:v>TOP_07</x:v>
      </x:c>
      <x:c r="F3137" t="str">
        <x:v>ShieldSkeleton</x:v>
      </x:c>
      <x:c r="G3137" s="410" t="n">
        <x:v>51</x:v>
      </x:c>
    </x:row>
    <x:row r="3138">
      <x:c r="A3138" t="str">
        <x:v>Stage01</x:v>
      </x:c>
      <x:c r="B3138" t="str">
        <x:v>WAVE_59</x:v>
      </x:c>
      <x:c r="C3138" s="409" t="n">
        <x:v>588.02</x:v>
      </x:c>
      <x:c r="D3138" s="410" t="n">
        <x:v>99</x:v>
      </x:c>
      <x:c r="E3138" t="str">
        <x:v>RIGHT_08</x:v>
      </x:c>
      <x:c r="F3138" t="str">
        <x:v>GoblinMelee</x:v>
      </x:c>
      <x:c r="G3138" s="410" t="n">
        <x:v>51</x:v>
      </x:c>
    </x:row>
    <x:row r="3139">
      <x:c r="A3139" t="str">
        <x:v>Stage01</x:v>
      </x:c>
      <x:c r="B3139" t="str">
        <x:v>WAVE_59</x:v>
      </x:c>
      <x:c r="C3139" s="409" t="n">
        <x:v>588.1</x:v>
      </x:c>
      <x:c r="D3139" s="410" t="n">
        <x:v>100</x:v>
      </x:c>
      <x:c r="E3139" t="str">
        <x:v>BOTTOM_01</x:v>
      </x:c>
      <x:c r="F3139" t="str">
        <x:v>GoblinRanged</x:v>
      </x:c>
      <x:c r="G3139" s="410" t="n">
        <x:v>51</x:v>
      </x:c>
    </x:row>
    <x:row r="3140">
      <x:c r="A3140" t="str">
        <x:v>Stage01</x:v>
      </x:c>
      <x:c r="B3140" t="str">
        <x:v>WAVE_59</x:v>
      </x:c>
      <x:c r="C3140" s="409" t="n">
        <x:v>588.17</x:v>
      </x:c>
      <x:c r="D3140" s="410" t="n">
        <x:v>101</x:v>
      </x:c>
      <x:c r="E3140" t="str">
        <x:v>LEFT_02</x:v>
      </x:c>
      <x:c r="F3140" t="str">
        <x:v>FlyingEye</x:v>
      </x:c>
      <x:c r="G3140" s="410" t="n">
        <x:v>51</x:v>
      </x:c>
    </x:row>
    <x:row r="3141">
      <x:c r="A3141" t="str">
        <x:v>Stage01</x:v>
      </x:c>
      <x:c r="B3141" t="str">
        <x:v>WAVE_59</x:v>
      </x:c>
      <x:c r="C3141" s="409" t="n">
        <x:v>588.24</x:v>
      </x:c>
      <x:c r="D3141" s="410" t="n">
        <x:v>102</x:v>
      </x:c>
      <x:c r="E3141" t="str">
        <x:v>TOP_04</x:v>
      </x:c>
      <x:c r="F3141" t="str">
        <x:v>GoblinMelee</x:v>
      </x:c>
      <x:c r="G3141" s="410" t="n">
        <x:v>51</x:v>
      </x:c>
    </x:row>
    <x:row r="3142">
      <x:c r="A3142" t="str">
        <x:v>Stage01</x:v>
      </x:c>
      <x:c r="B3142" t="str">
        <x:v>WAVE_59</x:v>
      </x:c>
      <x:c r="C3142" s="409" t="n">
        <x:v>588.31</x:v>
      </x:c>
      <x:c r="D3142" s="410" t="n">
        <x:v>103</x:v>
      </x:c>
      <x:c r="E3142" t="str">
        <x:v>RIGHT_05</x:v>
      </x:c>
      <x:c r="F3142" t="str">
        <x:v>GoblinRanged</x:v>
      </x:c>
      <x:c r="G3142" s="410" t="n">
        <x:v>51</x:v>
      </x:c>
    </x:row>
    <x:row r="3143">
      <x:c r="A3143" t="str">
        <x:v>Stage01</x:v>
      </x:c>
      <x:c r="B3143" t="str">
        <x:v>WAVE_59</x:v>
      </x:c>
      <x:c r="C3143" s="409" t="n">
        <x:v>588.38</x:v>
      </x:c>
      <x:c r="D3143" s="410" t="n">
        <x:v>104</x:v>
      </x:c>
      <x:c r="E3143" t="str">
        <x:v>BOTTOM_06</x:v>
      </x:c>
      <x:c r="F3143" t="str">
        <x:v>GoblinMelee</x:v>
      </x:c>
      <x:c r="G3143" s="410" t="n">
        <x:v>51</x:v>
      </x:c>
    </x:row>
    <x:row r="3144">
      <x:c r="A3144" t="str">
        <x:v>Stage01</x:v>
      </x:c>
      <x:c r="B3144" t="str">
        <x:v>WAVE_59</x:v>
      </x:c>
      <x:c r="C3144" s="409" t="n">
        <x:v>588.45</x:v>
      </x:c>
      <x:c r="D3144" s="410" t="n">
        <x:v>105</x:v>
      </x:c>
      <x:c r="E3144" t="str">
        <x:v>LEFT_07</x:v>
      </x:c>
      <x:c r="F3144" t="str">
        <x:v>ShieldSkeleton</x:v>
      </x:c>
      <x:c r="G3144" s="410" t="n">
        <x:v>51</x:v>
      </x:c>
    </x:row>
    <x:row r="3145">
      <x:c r="A3145" t="str">
        <x:v>Stage01</x:v>
      </x:c>
      <x:c r="B3145" t="str">
        <x:v>WAVE_59</x:v>
      </x:c>
      <x:c r="C3145" s="409" t="n">
        <x:v>588.53</x:v>
      </x:c>
      <x:c r="D3145" s="410" t="n">
        <x:v>106</x:v>
      </x:c>
      <x:c r="E3145" t="str">
        <x:v>TOP_01</x:v>
      </x:c>
      <x:c r="F3145" t="str">
        <x:v>GoblinMelee</x:v>
      </x:c>
      <x:c r="G3145" s="410" t="n">
        <x:v>50</x:v>
      </x:c>
    </x:row>
    <x:row r="3146">
      <x:c r="A3146" t="str">
        <x:v>Stage01</x:v>
      </x:c>
      <x:c r="B3146" t="str">
        <x:v>WAVE_59</x:v>
      </x:c>
      <x:c r="C3146" s="409" t="n">
        <x:v>588.6</x:v>
      </x:c>
      <x:c r="D3146" s="410" t="n">
        <x:v>107</x:v>
      </x:c>
      <x:c r="E3146" t="str">
        <x:v>RIGHT_02</x:v>
      </x:c>
      <x:c r="F3146" t="str">
        <x:v>GoblinRanged</x:v>
      </x:c>
      <x:c r="G3146" s="410" t="n">
        <x:v>51</x:v>
      </x:c>
    </x:row>
    <x:row r="3147">
      <x:c r="A3147" t="str">
        <x:v>Stage01</x:v>
      </x:c>
      <x:c r="B3147" t="str">
        <x:v>WAVE_59</x:v>
      </x:c>
      <x:c r="C3147" s="409" t="n">
        <x:v>588.67</x:v>
      </x:c>
      <x:c r="D3147" s="410" t="n">
        <x:v>108</x:v>
      </x:c>
      <x:c r="E3147" t="str">
        <x:v>BOTTOM_03</x:v>
      </x:c>
      <x:c r="F3147" t="str">
        <x:v>GoblinMelee</x:v>
      </x:c>
      <x:c r="G3147" s="410" t="n">
        <x:v>51</x:v>
      </x:c>
    </x:row>
    <x:row r="3148">
      <x:c r="A3148" t="str">
        <x:v>Stage01</x:v>
      </x:c>
      <x:c r="B3148" t="str">
        <x:v>WAVE_59</x:v>
      </x:c>
      <x:c r="C3148" s="409" t="n">
        <x:v>588.74</x:v>
      </x:c>
      <x:c r="D3148" s="410" t="n">
        <x:v>109</x:v>
      </x:c>
      <x:c r="E3148" t="str">
        <x:v>LEFT_04</x:v>
      </x:c>
      <x:c r="F3148" t="str">
        <x:v>GoblinRanged</x:v>
      </x:c>
      <x:c r="G3148" s="410" t="n">
        <x:v>51</x:v>
      </x:c>
    </x:row>
    <x:row r="3149">
      <x:c r="A3149" t="str">
        <x:v>Stage01</x:v>
      </x:c>
      <x:c r="B3149" t="str">
        <x:v>WAVE_59</x:v>
      </x:c>
      <x:c r="C3149" s="409" t="n">
        <x:v>588.81</x:v>
      </x:c>
      <x:c r="D3149" s="410" t="n">
        <x:v>110</x:v>
      </x:c>
      <x:c r="E3149" t="str">
        <x:v>TOP_06</x:v>
      </x:c>
      <x:c r="F3149" t="str">
        <x:v>GoblinMelee</x:v>
      </x:c>
      <x:c r="G3149" s="410" t="n">
        <x:v>51</x:v>
      </x:c>
    </x:row>
    <x:row r="3150">
      <x:c r="A3150" t="str">
        <x:v>Stage01</x:v>
      </x:c>
      <x:c r="B3150" t="str">
        <x:v>WAVE_59</x:v>
      </x:c>
      <x:c r="C3150" s="409" t="n">
        <x:v>588.88</x:v>
      </x:c>
      <x:c r="D3150" s="410" t="n">
        <x:v>111</x:v>
      </x:c>
      <x:c r="E3150" t="str">
        <x:v>RIGHT_07</x:v>
      </x:c>
      <x:c r="F3150" t="str">
        <x:v>ShieldSkeleton</x:v>
      </x:c>
      <x:c r="G3150" s="410" t="n">
        <x:v>51</x:v>
      </x:c>
    </x:row>
    <x:row r="3151">
      <x:c r="A3151" t="str">
        <x:v>Stage01</x:v>
      </x:c>
      <x:c r="B3151" t="str">
        <x:v>WAVE_59</x:v>
      </x:c>
      <x:c r="C3151" s="409" t="n">
        <x:v>588.96</x:v>
      </x:c>
      <x:c r="D3151" s="410" t="n">
        <x:v>112</x:v>
      </x:c>
      <x:c r="E3151" t="str">
        <x:v>BOTTOM_08</x:v>
      </x:c>
      <x:c r="F3151" t="str">
        <x:v>GoblinMelee</x:v>
      </x:c>
      <x:c r="G3151" s="410" t="n">
        <x:v>51</x:v>
      </x:c>
    </x:row>
    <x:row r="3152">
      <x:c r="A3152" t="str">
        <x:v>Stage01</x:v>
      </x:c>
      <x:c r="B3152" t="str">
        <x:v>WAVE_59</x:v>
      </x:c>
      <x:c r="C3152" s="409" t="n">
        <x:v>589.03</x:v>
      </x:c>
      <x:c r="D3152" s="410" t="n">
        <x:v>113</x:v>
      </x:c>
      <x:c r="E3152" t="str">
        <x:v>LEFT_01</x:v>
      </x:c>
      <x:c r="F3152" t="str">
        <x:v>GoblinRanged</x:v>
      </x:c>
      <x:c r="G3152" s="410" t="n">
        <x:v>51</x:v>
      </x:c>
    </x:row>
    <x:row r="3153">
      <x:c r="A3153" t="str">
        <x:v>Stage01</x:v>
      </x:c>
      <x:c r="B3153" t="str">
        <x:v>WAVE_59</x:v>
      </x:c>
      <x:c r="C3153" s="409" t="n">
        <x:v>589.1</x:v>
      </x:c>
      <x:c r="D3153" s="410" t="n">
        <x:v>114</x:v>
      </x:c>
      <x:c r="E3153" t="str">
        <x:v>TOP_03</x:v>
      </x:c>
      <x:c r="F3153" t="str">
        <x:v>GoblinMelee</x:v>
      </x:c>
      <x:c r="G3153" s="410" t="n">
        <x:v>51</x:v>
      </x:c>
    </x:row>
    <x:row r="3154">
      <x:c r="A3154" t="str">
        <x:v>Stage01</x:v>
      </x:c>
      <x:c r="B3154" t="str">
        <x:v>WAVE_59</x:v>
      </x:c>
      <x:c r="C3154" s="409" t="n">
        <x:v>589.17</x:v>
      </x:c>
      <x:c r="D3154" s="410" t="n">
        <x:v>115</x:v>
      </x:c>
      <x:c r="E3154" t="str">
        <x:v>RIGHT_04</x:v>
      </x:c>
      <x:c r="F3154" t="str">
        <x:v>FlyingEye</x:v>
      </x:c>
      <x:c r="G3154" s="410" t="n">
        <x:v>51</x:v>
      </x:c>
    </x:row>
    <x:row r="3155">
      <x:c r="A3155" t="str">
        <x:v>Stage01</x:v>
      </x:c>
      <x:c r="B3155" t="str">
        <x:v>WAVE_59</x:v>
      </x:c>
      <x:c r="C3155" s="409" t="n">
        <x:v>589.24</x:v>
      </x:c>
      <x:c r="D3155" s="410" t="n">
        <x:v>116</x:v>
      </x:c>
      <x:c r="E3155" t="str">
        <x:v>BOTTOM_05</x:v>
      </x:c>
      <x:c r="F3155" t="str">
        <x:v>GoblinRanged</x:v>
      </x:c>
      <x:c r="G3155" s="410" t="n">
        <x:v>51</x:v>
      </x:c>
    </x:row>
    <x:row r="3156">
      <x:c r="A3156" t="str">
        <x:v>Stage01</x:v>
      </x:c>
      <x:c r="B3156" t="str">
        <x:v>WAVE_59</x:v>
      </x:c>
      <x:c r="C3156" s="409" t="n">
        <x:v>589.31</x:v>
      </x:c>
      <x:c r="D3156" s="410" t="n">
        <x:v>117</x:v>
      </x:c>
      <x:c r="E3156" t="str">
        <x:v>LEFT_06</x:v>
      </x:c>
      <x:c r="F3156" t="str">
        <x:v>GoblinMelee</x:v>
      </x:c>
      <x:c r="G3156" s="410" t="n">
        <x:v>51</x:v>
      </x:c>
    </x:row>
    <x:row r="3157">
      <x:c r="A3157" t="str">
        <x:v>Stage01</x:v>
      </x:c>
      <x:c r="B3157" t="str">
        <x:v>WAVE_59</x:v>
      </x:c>
      <x:c r="C3157" s="409" t="n">
        <x:v>589.39</x:v>
      </x:c>
      <x:c r="D3157" s="410" t="n">
        <x:v>118</x:v>
      </x:c>
      <x:c r="E3157" t="str">
        <x:v>TOP_08</x:v>
      </x:c>
      <x:c r="F3157" t="str">
        <x:v>ShieldSkeleton</x:v>
      </x:c>
      <x:c r="G3157" s="410" t="n">
        <x:v>51</x:v>
      </x:c>
    </x:row>
    <x:row r="3158">
      <x:c r="A3158" t="str">
        <x:v>Stage01</x:v>
      </x:c>
      <x:c r="B3158" t="str">
        <x:v>WAVE_59</x:v>
      </x:c>
      <x:c r="C3158" s="409" t="n">
        <x:v>589.46</x:v>
      </x:c>
      <x:c r="D3158" s="410" t="n">
        <x:v>119</x:v>
      </x:c>
      <x:c r="E3158" t="str">
        <x:v>RIGHT_01</x:v>
      </x:c>
      <x:c r="F3158" t="str">
        <x:v>GoblinMelee</x:v>
      </x:c>
      <x:c r="G3158" s="410" t="n">
        <x:v>51</x:v>
      </x:c>
    </x:row>
    <x:row r="3159">
      <x:c r="A3159" t="str">
        <x:v>Stage01</x:v>
      </x:c>
      <x:c r="B3159" t="str">
        <x:v>WAVE_59</x:v>
      </x:c>
      <x:c r="C3159" s="409" t="n">
        <x:v>589.53</x:v>
      </x:c>
      <x:c r="D3159" s="410" t="n">
        <x:v>120</x:v>
      </x:c>
      <x:c r="E3159" t="str">
        <x:v>BOTTOM_02</x:v>
      </x:c>
      <x:c r="F3159" t="str">
        <x:v>GoblinRanged</x:v>
      </x:c>
      <x:c r="G3159" s="410" t="n">
        <x:v>51</x:v>
      </x:c>
    </x:row>
    <x:row r="3160">
      <x:c r="A3160" t="str">
        <x:v>Stage01</x:v>
      </x:c>
      <x:c r="B3160" t="str">
        <x:v>WAVE_59</x:v>
      </x:c>
      <x:c r="C3160" s="409" t="n">
        <x:v>589.6</x:v>
      </x:c>
      <x:c r="D3160" s="410" t="n">
        <x:v>121</x:v>
      </x:c>
      <x:c r="E3160" t="str">
        <x:v>LEFT_03</x:v>
      </x:c>
      <x:c r="F3160" t="str">
        <x:v>GoblinMelee</x:v>
      </x:c>
      <x:c r="G3160" s="410" t="n">
        <x:v>51</x:v>
      </x:c>
    </x:row>
    <x:row r="3161">
      <x:c r="A3161" t="str">
        <x:v>Stage01</x:v>
      </x:c>
      <x:c r="B3161" t="str">
        <x:v>WAVE_60</x:v>
      </x:c>
      <x:c r="C3161" s="409" t="n">
        <x:v>591</x:v>
      </x:c>
      <x:c r="D3161" s="410" t="n">
        <x:v>1</x:v>
      </x:c>
      <x:c r="E3161" t="str">
        <x:v>LEFT_06</x:v>
      </x:c>
      <x:c r="F3161" t="str">
        <x:v>GoblinMelee</x:v>
      </x:c>
      <x:c r="G3161" s="410" t="n">
        <x:v>52</x:v>
      </x:c>
    </x:row>
    <x:row r="3162">
      <x:c r="A3162" t="str">
        <x:v>Stage01</x:v>
      </x:c>
      <x:c r="B3162" t="str">
        <x:v>WAVE_60</x:v>
      </x:c>
      <x:c r="C3162" s="409" t="n">
        <x:v>591.07</x:v>
      </x:c>
      <x:c r="D3162" s="410" t="n">
        <x:v>2</x:v>
      </x:c>
      <x:c r="E3162" t="str">
        <x:v>TOP_08</x:v>
      </x:c>
      <x:c r="F3162" t="str">
        <x:v>GoblinRanged</x:v>
      </x:c>
      <x:c r="G3162" s="410" t="n">
        <x:v>52</x:v>
      </x:c>
    </x:row>
    <x:row r="3163">
      <x:c r="A3163" t="str">
        <x:v>Stage01</x:v>
      </x:c>
      <x:c r="B3163" t="str">
        <x:v>WAVE_60</x:v>
      </x:c>
      <x:c r="C3163" s="409" t="n">
        <x:v>591.14</x:v>
      </x:c>
      <x:c r="D3163" s="410" t="n">
        <x:v>3</x:v>
      </x:c>
      <x:c r="E3163" t="str">
        <x:v>RIGHT_01</x:v>
      </x:c>
      <x:c r="F3163" t="str">
        <x:v>GoblinMelee</x:v>
      </x:c>
      <x:c r="G3163" s="410" t="n">
        <x:v>52</x:v>
      </x:c>
    </x:row>
    <x:row r="3164">
      <x:c r="A3164" t="str">
        <x:v>Stage01</x:v>
      </x:c>
      <x:c r="B3164" t="str">
        <x:v>WAVE_60</x:v>
      </x:c>
      <x:c r="C3164" s="409" t="n">
        <x:v>591.21</x:v>
      </x:c>
      <x:c r="D3164" s="410" t="n">
        <x:v>4</x:v>
      </x:c>
      <x:c r="E3164" t="str">
        <x:v>BOTTOM_02</x:v>
      </x:c>
      <x:c r="F3164" t="str">
        <x:v>ShieldSkeleton</x:v>
      </x:c>
      <x:c r="G3164" s="410" t="n">
        <x:v>52</x:v>
      </x:c>
    </x:row>
    <x:row r="3165">
      <x:c r="A3165" t="str">
        <x:v>Stage01</x:v>
      </x:c>
      <x:c r="B3165" t="str">
        <x:v>WAVE_60</x:v>
      </x:c>
      <x:c r="C3165" s="409" t="n">
        <x:v>591.28</x:v>
      </x:c>
      <x:c r="D3165" s="410" t="n">
        <x:v>5</x:v>
      </x:c>
      <x:c r="E3165" t="str">
        <x:v>LEFT_03</x:v>
      </x:c>
      <x:c r="F3165" t="str">
        <x:v>GoblinMelee</x:v>
      </x:c>
      <x:c r="G3165" s="410" t="n">
        <x:v>52</x:v>
      </x:c>
    </x:row>
    <x:row r="3166">
      <x:c r="A3166" t="str">
        <x:v>Stage01</x:v>
      </x:c>
      <x:c r="B3166" t="str">
        <x:v>WAVE_60</x:v>
      </x:c>
      <x:c r="C3166" s="409" t="n">
        <x:v>591.35</x:v>
      </x:c>
      <x:c r="D3166" s="410" t="n">
        <x:v>6</x:v>
      </x:c>
      <x:c r="E3166" t="str">
        <x:v>TOP_05</x:v>
      </x:c>
      <x:c r="F3166" t="str">
        <x:v>GoblinRanged</x:v>
      </x:c>
      <x:c r="G3166" s="410" t="n">
        <x:v>52</x:v>
      </x:c>
    </x:row>
    <x:row r="3167">
      <x:c r="A3167" t="str">
        <x:v>Stage01</x:v>
      </x:c>
      <x:c r="B3167" t="str">
        <x:v>WAVE_60</x:v>
      </x:c>
      <x:c r="C3167" s="409" t="n">
        <x:v>591.42</x:v>
      </x:c>
      <x:c r="D3167" s="410" t="n">
        <x:v>7</x:v>
      </x:c>
      <x:c r="E3167" t="str">
        <x:v>RIGHT_06</x:v>
      </x:c>
      <x:c r="F3167" t="str">
        <x:v>GoblinMelee</x:v>
      </x:c>
      <x:c r="G3167" s="410" t="n">
        <x:v>52</x:v>
      </x:c>
    </x:row>
    <x:row r="3168">
      <x:c r="A3168" t="str">
        <x:v>Stage01</x:v>
      </x:c>
      <x:c r="B3168" t="str">
        <x:v>WAVE_60</x:v>
      </x:c>
      <x:c r="C3168" s="409" t="n">
        <x:v>591.49</x:v>
      </x:c>
      <x:c r="D3168" s="410" t="n">
        <x:v>8</x:v>
      </x:c>
      <x:c r="E3168" t="str">
        <x:v>BOTTOM_07</x:v>
      </x:c>
      <x:c r="F3168" t="str">
        <x:v>GoblinRanged</x:v>
      </x:c>
      <x:c r="G3168" s="410" t="n">
        <x:v>52</x:v>
      </x:c>
    </x:row>
    <x:row r="3169">
      <x:c r="A3169" t="str">
        <x:v>Stage01</x:v>
      </x:c>
      <x:c r="B3169" t="str">
        <x:v>WAVE_60</x:v>
      </x:c>
      <x:c r="C3169" s="409" t="n">
        <x:v>591.56</x:v>
      </x:c>
      <x:c r="D3169" s="410" t="n">
        <x:v>9</x:v>
      </x:c>
      <x:c r="E3169" t="str">
        <x:v>LEFT_08</x:v>
      </x:c>
      <x:c r="F3169" t="str">
        <x:v>GoblinMelee</x:v>
      </x:c>
      <x:c r="G3169" s="410" t="n">
        <x:v>52</x:v>
      </x:c>
    </x:row>
    <x:row r="3170">
      <x:c r="A3170" t="str">
        <x:v>Stage01</x:v>
      </x:c>
      <x:c r="B3170" t="str">
        <x:v>WAVE_60</x:v>
      </x:c>
      <x:c r="C3170" s="409" t="n">
        <x:v>591.63</x:v>
      </x:c>
      <x:c r="D3170" s="410" t="n">
        <x:v>10</x:v>
      </x:c>
      <x:c r="E3170" t="str">
        <x:v>TOP_02</x:v>
      </x:c>
      <x:c r="F3170" t="str">
        <x:v>GoblinMelee</x:v>
      </x:c>
      <x:c r="G3170" s="410" t="n">
        <x:v>52</x:v>
      </x:c>
    </x:row>
    <x:row r="3171">
      <x:c r="A3171" t="str">
        <x:v>Stage01</x:v>
      </x:c>
      <x:c r="B3171" t="str">
        <x:v>WAVE_60</x:v>
      </x:c>
      <x:c r="C3171" s="409" t="n">
        <x:v>591.7</x:v>
      </x:c>
      <x:c r="D3171" s="410" t="n">
        <x:v>11</x:v>
      </x:c>
      <x:c r="E3171" t="str">
        <x:v>RIGHT_03</x:v>
      </x:c>
      <x:c r="F3171" t="str">
        <x:v>ShieldSkeleton</x:v>
      </x:c>
      <x:c r="G3171" s="410" t="n">
        <x:v>52</x:v>
      </x:c>
    </x:row>
    <x:row r="3172">
      <x:c r="A3172" t="str">
        <x:v>Stage01</x:v>
      </x:c>
      <x:c r="B3172" t="str">
        <x:v>WAVE_60</x:v>
      </x:c>
      <x:c r="C3172" s="409" t="n">
        <x:v>591.77</x:v>
      </x:c>
      <x:c r="D3172" s="410" t="n">
        <x:v>12</x:v>
      </x:c>
      <x:c r="E3172" t="str">
        <x:v>BOTTOM_04</x:v>
      </x:c>
      <x:c r="F3172" t="str">
        <x:v>GoblinMelee</x:v>
      </x:c>
      <x:c r="G3172" s="410" t="n">
        <x:v>52</x:v>
      </x:c>
    </x:row>
    <x:row r="3173">
      <x:c r="A3173" t="str">
        <x:v>Stage01</x:v>
      </x:c>
      <x:c r="B3173" t="str">
        <x:v>WAVE_60</x:v>
      </x:c>
      <x:c r="C3173" s="409" t="n">
        <x:v>591.84</x:v>
      </x:c>
      <x:c r="D3173" s="410" t="n">
        <x:v>13</x:v>
      </x:c>
      <x:c r="E3173" t="str">
        <x:v>LEFT_05</x:v>
      </x:c>
      <x:c r="F3173" t="str">
        <x:v>GoblinRanged</x:v>
      </x:c>
      <x:c r="G3173" s="410" t="n">
        <x:v>52</x:v>
      </x:c>
    </x:row>
    <x:row r="3174">
      <x:c r="A3174" t="str">
        <x:v>Stage01</x:v>
      </x:c>
      <x:c r="B3174" t="str">
        <x:v>WAVE_60</x:v>
      </x:c>
      <x:c r="C3174" s="409" t="n">
        <x:v>591.91</x:v>
      </x:c>
      <x:c r="D3174" s="410" t="n">
        <x:v>14</x:v>
      </x:c>
      <x:c r="E3174" t="str">
        <x:v>TOP_07</x:v>
      </x:c>
      <x:c r="F3174" t="str">
        <x:v>FlyingEye</x:v>
      </x:c>
      <x:c r="G3174" s="410" t="n">
        <x:v>52</x:v>
      </x:c>
    </x:row>
    <x:row r="3175">
      <x:c r="A3175" t="str">
        <x:v>Stage01</x:v>
      </x:c>
      <x:c r="B3175" t="str">
        <x:v>WAVE_60</x:v>
      </x:c>
      <x:c r="C3175" s="409" t="n">
        <x:v>591.98</x:v>
      </x:c>
      <x:c r="D3175" s="410" t="n">
        <x:v>15</x:v>
      </x:c>
      <x:c r="E3175" t="str">
        <x:v>RIGHT_08</x:v>
      </x:c>
      <x:c r="F3175" t="str">
        <x:v>GoblinRanged</x:v>
      </x:c>
      <x:c r="G3175" s="410" t="n">
        <x:v>52</x:v>
      </x:c>
    </x:row>
    <x:row r="3176">
      <x:c r="A3176" t="str">
        <x:v>Stage01</x:v>
      </x:c>
      <x:c r="B3176" t="str">
        <x:v>WAVE_60</x:v>
      </x:c>
      <x:c r="C3176" s="409" t="n">
        <x:v>592.05</x:v>
      </x:c>
      <x:c r="D3176" s="410" t="n">
        <x:v>16</x:v>
      </x:c>
      <x:c r="E3176" t="str">
        <x:v>BOTTOM_01</x:v>
      </x:c>
      <x:c r="F3176" t="str">
        <x:v>GoblinMelee</x:v>
      </x:c>
      <x:c r="G3176" s="410" t="n">
        <x:v>52</x:v>
      </x:c>
    </x:row>
    <x:row r="3177">
      <x:c r="A3177" t="str">
        <x:v>Stage01</x:v>
      </x:c>
      <x:c r="B3177" t="str">
        <x:v>WAVE_60</x:v>
      </x:c>
      <x:c r="C3177" s="409" t="n">
        <x:v>592.12</x:v>
      </x:c>
      <x:c r="D3177" s="410" t="n">
        <x:v>17</x:v>
      </x:c>
      <x:c r="E3177" t="str">
        <x:v>LEFT_02</x:v>
      </x:c>
      <x:c r="F3177" t="str">
        <x:v>ShieldSkeleton</x:v>
      </x:c>
      <x:c r="G3177" s="410" t="n">
        <x:v>52</x:v>
      </x:c>
    </x:row>
    <x:row r="3178">
      <x:c r="A3178" t="str">
        <x:v>Stage01</x:v>
      </x:c>
      <x:c r="B3178" t="str">
        <x:v>WAVE_60</x:v>
      </x:c>
      <x:c r="C3178" s="409" t="n">
        <x:v>592.19</x:v>
      </x:c>
      <x:c r="D3178" s="410" t="n">
        <x:v>18</x:v>
      </x:c>
      <x:c r="E3178" t="str">
        <x:v>TOP_04</x:v>
      </x:c>
      <x:c r="F3178" t="str">
        <x:v>GoblinMelee</x:v>
      </x:c>
      <x:c r="G3178" s="410" t="n">
        <x:v>52</x:v>
      </x:c>
    </x:row>
    <x:row r="3179">
      <x:c r="A3179" t="str">
        <x:v>Stage01</x:v>
      </x:c>
      <x:c r="B3179" t="str">
        <x:v>WAVE_60</x:v>
      </x:c>
      <x:c r="C3179" s="409" t="n">
        <x:v>592.26</x:v>
      </x:c>
      <x:c r="D3179" s="410" t="n">
        <x:v>19</x:v>
      </x:c>
      <x:c r="E3179" t="str">
        <x:v>RIGHT_05</x:v>
      </x:c>
      <x:c r="F3179" t="str">
        <x:v>GoblinRanged</x:v>
      </x:c>
      <x:c r="G3179" s="410" t="n">
        <x:v>52</x:v>
      </x:c>
    </x:row>
    <x:row r="3180">
      <x:c r="A3180" t="str">
        <x:v>Stage01</x:v>
      </x:c>
      <x:c r="B3180" t="str">
        <x:v>WAVE_60</x:v>
      </x:c>
      <x:c r="C3180" s="409" t="n">
        <x:v>592.33</x:v>
      </x:c>
      <x:c r="D3180" s="410" t="n">
        <x:v>20</x:v>
      </x:c>
      <x:c r="E3180" t="str">
        <x:v>BOTTOM_06</x:v>
      </x:c>
      <x:c r="F3180" t="str">
        <x:v>GoblinMelee</x:v>
      </x:c>
      <x:c r="G3180" s="410" t="n">
        <x:v>52</x:v>
      </x:c>
    </x:row>
    <x:row r="3181">
      <x:c r="A3181" t="str">
        <x:v>Stage01</x:v>
      </x:c>
      <x:c r="B3181" t="str">
        <x:v>WAVE_60</x:v>
      </x:c>
      <x:c r="C3181" s="409" t="n">
        <x:v>592.4</x:v>
      </x:c>
      <x:c r="D3181" s="410" t="n">
        <x:v>21</x:v>
      </x:c>
      <x:c r="E3181" t="str">
        <x:v>LEFT_07</x:v>
      </x:c>
      <x:c r="F3181" t="str">
        <x:v>GoblinMelee</x:v>
      </x:c>
      <x:c r="G3181" s="410" t="n">
        <x:v>52</x:v>
      </x:c>
    </x:row>
    <x:row r="3182">
      <x:c r="A3182" t="str">
        <x:v>Stage01</x:v>
      </x:c>
      <x:c r="B3182" t="str">
        <x:v>WAVE_60</x:v>
      </x:c>
      <x:c r="C3182" s="409" t="n">
        <x:v>592.47</x:v>
      </x:c>
      <x:c r="D3182" s="410" t="n">
        <x:v>22</x:v>
      </x:c>
      <x:c r="E3182" t="str">
        <x:v>TOP_01</x:v>
      </x:c>
      <x:c r="F3182" t="str">
        <x:v>GoblinRanged</x:v>
      </x:c>
      <x:c r="G3182" s="410" t="n">
        <x:v>52</x:v>
      </x:c>
    </x:row>
    <x:row r="3183">
      <x:c r="A3183" t="str">
        <x:v>Stage01</x:v>
      </x:c>
      <x:c r="B3183" t="str">
        <x:v>WAVE_60</x:v>
      </x:c>
      <x:c r="C3183" s="409" t="n">
        <x:v>592.54</x:v>
      </x:c>
      <x:c r="D3183" s="410" t="n">
        <x:v>23</x:v>
      </x:c>
      <x:c r="E3183" t="str">
        <x:v>RIGHT_02</x:v>
      </x:c>
      <x:c r="F3183" t="str">
        <x:v>GoblinMelee</x:v>
      </x:c>
      <x:c r="G3183" s="410" t="n">
        <x:v>52</x:v>
      </x:c>
    </x:row>
    <x:row r="3184">
      <x:c r="A3184" t="str">
        <x:v>Stage01</x:v>
      </x:c>
      <x:c r="B3184" t="str">
        <x:v>WAVE_60</x:v>
      </x:c>
      <x:c r="C3184" s="409" t="n">
        <x:v>592.61</x:v>
      </x:c>
      <x:c r="D3184" s="410" t="n">
        <x:v>24</x:v>
      </x:c>
      <x:c r="E3184" t="str">
        <x:v>BOTTOM_03</x:v>
      </x:c>
      <x:c r="F3184" t="str">
        <x:v>ShieldSkeleton</x:v>
      </x:c>
      <x:c r="G3184" s="410" t="n">
        <x:v>52</x:v>
      </x:c>
    </x:row>
    <x:row r="3185">
      <x:c r="A3185" t="str">
        <x:v>Stage01</x:v>
      </x:c>
      <x:c r="B3185" t="str">
        <x:v>WAVE_60</x:v>
      </x:c>
      <x:c r="C3185" s="409" t="n">
        <x:v>592.68</x:v>
      </x:c>
      <x:c r="D3185" s="410" t="n">
        <x:v>25</x:v>
      </x:c>
      <x:c r="E3185" t="str">
        <x:v>LEFT_04</x:v>
      </x:c>
      <x:c r="F3185" t="str">
        <x:v>GoblinMelee</x:v>
      </x:c>
      <x:c r="G3185" s="410" t="n">
        <x:v>52</x:v>
      </x:c>
    </x:row>
    <x:row r="3186">
      <x:c r="A3186" t="str">
        <x:v>Stage01</x:v>
      </x:c>
      <x:c r="B3186" t="str">
        <x:v>WAVE_60</x:v>
      </x:c>
      <x:c r="C3186" s="409" t="n">
        <x:v>592.75</x:v>
      </x:c>
      <x:c r="D3186" s="410" t="n">
        <x:v>26</x:v>
      </x:c>
      <x:c r="E3186" t="str">
        <x:v>TOP_06</x:v>
      </x:c>
      <x:c r="F3186" t="str">
        <x:v>GoblinRanged</x:v>
      </x:c>
      <x:c r="G3186" s="410" t="n">
        <x:v>52</x:v>
      </x:c>
    </x:row>
    <x:row r="3187">
      <x:c r="A3187" t="str">
        <x:v>Stage01</x:v>
      </x:c>
      <x:c r="B3187" t="str">
        <x:v>WAVE_60</x:v>
      </x:c>
      <x:c r="C3187" s="409" t="n">
        <x:v>592.82</x:v>
      </x:c>
      <x:c r="D3187" s="410" t="n">
        <x:v>27</x:v>
      </x:c>
      <x:c r="E3187" t="str">
        <x:v>RIGHT_07</x:v>
      </x:c>
      <x:c r="F3187" t="str">
        <x:v>GoblinMelee</x:v>
      </x:c>
      <x:c r="G3187" s="410" t="n">
        <x:v>52</x:v>
      </x:c>
    </x:row>
    <x:row r="3188">
      <x:c r="A3188" t="str">
        <x:v>Stage01</x:v>
      </x:c>
      <x:c r="B3188" t="str">
        <x:v>WAVE_60</x:v>
      </x:c>
      <x:c r="C3188" s="409" t="n">
        <x:v>592.89</x:v>
      </x:c>
      <x:c r="D3188" s="410" t="n">
        <x:v>28</x:v>
      </x:c>
      <x:c r="E3188" t="str">
        <x:v>BOTTOM_08</x:v>
      </x:c>
      <x:c r="F3188" t="str">
        <x:v>FlyingEye</x:v>
      </x:c>
      <x:c r="G3188" s="410" t="n">
        <x:v>52</x:v>
      </x:c>
    </x:row>
    <x:row r="3189">
      <x:c r="A3189" t="str">
        <x:v>Stage01</x:v>
      </x:c>
      <x:c r="B3189" t="str">
        <x:v>WAVE_60</x:v>
      </x:c>
      <x:c r="C3189" s="409" t="n">
        <x:v>592.96</x:v>
      </x:c>
      <x:c r="D3189" s="410" t="n">
        <x:v>29</x:v>
      </x:c>
      <x:c r="E3189" t="str">
        <x:v>LEFT_01</x:v>
      </x:c>
      <x:c r="F3189" t="str">
        <x:v>GoblinRanged</x:v>
      </x:c>
      <x:c r="G3189" s="410" t="n">
        <x:v>52</x:v>
      </x:c>
    </x:row>
    <x:row r="3190">
      <x:c r="A3190" t="str">
        <x:v>Stage01</x:v>
      </x:c>
      <x:c r="B3190" t="str">
        <x:v>WAVE_60</x:v>
      </x:c>
      <x:c r="C3190" s="409" t="n">
        <x:v>593.03</x:v>
      </x:c>
      <x:c r="D3190" s="410" t="n">
        <x:v>30</x:v>
      </x:c>
      <x:c r="E3190" t="str">
        <x:v>TOP_03</x:v>
      </x:c>
      <x:c r="F3190" t="str">
        <x:v>GoblinMelee</x:v>
      </x:c>
      <x:c r="G3190" s="410" t="n">
        <x:v>52</x:v>
      </x:c>
    </x:row>
    <x:row r="3191">
      <x:c r="A3191" t="str">
        <x:v>Stage01</x:v>
      </x:c>
      <x:c r="B3191" t="str">
        <x:v>WAVE_60</x:v>
      </x:c>
      <x:c r="C3191" s="409" t="n">
        <x:v>593.1</x:v>
      </x:c>
      <x:c r="D3191" s="410" t="n">
        <x:v>31</x:v>
      </x:c>
      <x:c r="E3191" t="str">
        <x:v>RIGHT_04</x:v>
      </x:c>
      <x:c r="F3191" t="str">
        <x:v>ShieldSkeleton</x:v>
      </x:c>
      <x:c r="G3191" s="410" t="n">
        <x:v>52</x:v>
      </x:c>
    </x:row>
    <x:row r="3192">
      <x:c r="A3192" t="str">
        <x:v>Stage01</x:v>
      </x:c>
      <x:c r="B3192" t="str">
        <x:v>WAVE_60</x:v>
      </x:c>
      <x:c r="C3192" s="409" t="n">
        <x:v>593.17</x:v>
      </x:c>
      <x:c r="D3192" s="410" t="n">
        <x:v>32</x:v>
      </x:c>
      <x:c r="E3192" t="str">
        <x:v>BOTTOM_05</x:v>
      </x:c>
      <x:c r="F3192" t="str">
        <x:v>GoblinRanged</x:v>
      </x:c>
      <x:c r="G3192" s="410" t="n">
        <x:v>52</x:v>
      </x:c>
    </x:row>
    <x:row r="3193">
      <x:c r="A3193" t="str">
        <x:v>Stage01</x:v>
      </x:c>
      <x:c r="B3193" t="str">
        <x:v>WAVE_60</x:v>
      </x:c>
      <x:c r="C3193" s="409" t="n">
        <x:v>593.24</x:v>
      </x:c>
      <x:c r="D3193" s="410" t="n">
        <x:v>33</x:v>
      </x:c>
      <x:c r="E3193" t="str">
        <x:v>LEFT_06</x:v>
      </x:c>
      <x:c r="F3193" t="str">
        <x:v>GoblinMelee</x:v>
      </x:c>
      <x:c r="G3193" s="410" t="n">
        <x:v>52</x:v>
      </x:c>
    </x:row>
    <x:row r="3194">
      <x:c r="A3194" t="str">
        <x:v>Stage01</x:v>
      </x:c>
      <x:c r="B3194" t="str">
        <x:v>WAVE_60</x:v>
      </x:c>
      <x:c r="C3194" s="409" t="n">
        <x:v>593.31</x:v>
      </x:c>
      <x:c r="D3194" s="410" t="n">
        <x:v>34</x:v>
      </x:c>
      <x:c r="E3194" t="str">
        <x:v>TOP_08</x:v>
      </x:c>
      <x:c r="F3194" t="str">
        <x:v>GoblinMelee</x:v>
      </x:c>
      <x:c r="G3194" s="410" t="n">
        <x:v>52</x:v>
      </x:c>
    </x:row>
    <x:row r="3195">
      <x:c r="A3195" t="str">
        <x:v>Stage01</x:v>
      </x:c>
      <x:c r="B3195" t="str">
        <x:v>WAVE_60</x:v>
      </x:c>
      <x:c r="C3195" s="409" t="n">
        <x:v>593.38</x:v>
      </x:c>
      <x:c r="D3195" s="410" t="n">
        <x:v>35</x:v>
      </x:c>
      <x:c r="E3195" t="str">
        <x:v>RIGHT_01</x:v>
      </x:c>
      <x:c r="F3195" t="str">
        <x:v>GoblinRanged</x:v>
      </x:c>
      <x:c r="G3195" s="410" t="n">
        <x:v>52</x:v>
      </x:c>
    </x:row>
    <x:row r="3196">
      <x:c r="A3196" t="str">
        <x:v>Stage01</x:v>
      </x:c>
      <x:c r="B3196" t="str">
        <x:v>WAVE_60</x:v>
      </x:c>
      <x:c r="C3196" s="409" t="n">
        <x:v>593.45</x:v>
      </x:c>
      <x:c r="D3196" s="410" t="n">
        <x:v>36</x:v>
      </x:c>
      <x:c r="E3196" t="str">
        <x:v>BOTTOM_02</x:v>
      </x:c>
      <x:c r="F3196" t="str">
        <x:v>GoblinMelee</x:v>
      </x:c>
      <x:c r="G3196" s="410" t="n">
        <x:v>52</x:v>
      </x:c>
    </x:row>
    <x:row r="3197">
      <x:c r="A3197" t="str">
        <x:v>Stage01</x:v>
      </x:c>
      <x:c r="B3197" t="str">
        <x:v>WAVE_60</x:v>
      </x:c>
      <x:c r="C3197" s="409" t="n">
        <x:v>593.52</x:v>
      </x:c>
      <x:c r="D3197" s="410" t="n">
        <x:v>37</x:v>
      </x:c>
      <x:c r="E3197" t="str">
        <x:v>LEFT_03</x:v>
      </x:c>
      <x:c r="F3197" t="str">
        <x:v>ShieldSkeleton</x:v>
      </x:c>
      <x:c r="G3197" s="410" t="n">
        <x:v>52</x:v>
      </x:c>
    </x:row>
    <x:row r="3198">
      <x:c r="A3198" t="str">
        <x:v>Stage01</x:v>
      </x:c>
      <x:c r="B3198" t="str">
        <x:v>WAVE_60</x:v>
      </x:c>
      <x:c r="C3198" s="409" t="n">
        <x:v>593.59</x:v>
      </x:c>
      <x:c r="D3198" s="410" t="n">
        <x:v>38</x:v>
      </x:c>
      <x:c r="E3198" t="str">
        <x:v>TOP_05</x:v>
      </x:c>
      <x:c r="F3198" t="str">
        <x:v>GoblinMelee</x:v>
      </x:c>
      <x:c r="G3198" s="410" t="n">
        <x:v>52</x:v>
      </x:c>
    </x:row>
    <x:row r="3199">
      <x:c r="A3199" t="str">
        <x:v>Stage01</x:v>
      </x:c>
      <x:c r="B3199" t="str">
        <x:v>WAVE_60</x:v>
      </x:c>
      <x:c r="C3199" s="409" t="n">
        <x:v>593.66</x:v>
      </x:c>
      <x:c r="D3199" s="410" t="n">
        <x:v>39</x:v>
      </x:c>
      <x:c r="E3199" t="str">
        <x:v>RIGHT_06</x:v>
      </x:c>
      <x:c r="F3199" t="str">
        <x:v>GoblinRanged</x:v>
      </x:c>
      <x:c r="G3199" s="410" t="n">
        <x:v>52</x:v>
      </x:c>
    </x:row>
    <x:row r="3200">
      <x:c r="A3200" t="str">
        <x:v>Stage01</x:v>
      </x:c>
      <x:c r="B3200" t="str">
        <x:v>WAVE_60</x:v>
      </x:c>
      <x:c r="C3200" s="409" t="n">
        <x:v>593.73</x:v>
      </x:c>
      <x:c r="D3200" s="410" t="n">
        <x:v>40</x:v>
      </x:c>
      <x:c r="E3200" t="str">
        <x:v>BOTTOM_07</x:v>
      </x:c>
      <x:c r="F3200" t="str">
        <x:v>GoblinMelee</x:v>
      </x:c>
      <x:c r="G3200" s="410" t="n">
        <x:v>52</x:v>
      </x:c>
    </x:row>
    <x:row r="3201">
      <x:c r="A3201" t="str">
        <x:v>Stage01</x:v>
      </x:c>
      <x:c r="B3201" t="str">
        <x:v>WAVE_60</x:v>
      </x:c>
      <x:c r="C3201" s="409" t="n">
        <x:v>593.8</x:v>
      </x:c>
      <x:c r="D3201" s="410" t="n">
        <x:v>41</x:v>
      </x:c>
      <x:c r="E3201" t="str">
        <x:v>LEFT_08</x:v>
      </x:c>
      <x:c r="F3201" t="str">
        <x:v>GoblinMelee</x:v>
      </x:c>
      <x:c r="G3201" s="410" t="n">
        <x:v>52</x:v>
      </x:c>
    </x:row>
    <x:row r="3202">
      <x:c r="A3202" t="str">
        <x:v>Stage01</x:v>
      </x:c>
      <x:c r="B3202" t="str">
        <x:v>WAVE_60</x:v>
      </x:c>
      <x:c r="C3202" s="409" t="n">
        <x:v>593.87</x:v>
      </x:c>
      <x:c r="D3202" s="410" t="n">
        <x:v>42</x:v>
      </x:c>
      <x:c r="E3202" t="str">
        <x:v>TOP_02</x:v>
      </x:c>
      <x:c r="F3202" t="str">
        <x:v>GoblinRanged</x:v>
      </x:c>
      <x:c r="G3202" s="410" t="n">
        <x:v>52</x:v>
      </x:c>
    </x:row>
    <x:row r="3203">
      <x:c r="A3203" t="str">
        <x:v>Stage01</x:v>
      </x:c>
      <x:c r="B3203" t="str">
        <x:v>WAVE_60</x:v>
      </x:c>
      <x:c r="C3203" s="409" t="n">
        <x:v>593.94</x:v>
      </x:c>
      <x:c r="D3203" s="410" t="n">
        <x:v>43</x:v>
      </x:c>
      <x:c r="E3203" t="str">
        <x:v>RIGHT_03</x:v>
      </x:c>
      <x:c r="F3203" t="str">
        <x:v>FlyingEye</x:v>
      </x:c>
      <x:c r="G3203" s="410" t="n">
        <x:v>52</x:v>
      </x:c>
    </x:row>
    <x:row r="3204">
      <x:c r="A3204" t="str">
        <x:v>Stage01</x:v>
      </x:c>
      <x:c r="B3204" t="str">
        <x:v>WAVE_60</x:v>
      </x:c>
      <x:c r="C3204" s="409" t="n">
        <x:v>594.01</x:v>
      </x:c>
      <x:c r="D3204" s="410" t="n">
        <x:v>44</x:v>
      </x:c>
      <x:c r="E3204" t="str">
        <x:v>BOTTOM_04</x:v>
      </x:c>
      <x:c r="F3204" t="str">
        <x:v>ShieldSkeleton</x:v>
      </x:c>
      <x:c r="G3204" s="410" t="n">
        <x:v>52</x:v>
      </x:c>
    </x:row>
    <x:row r="3205">
      <x:c r="A3205" t="str">
        <x:v>Stage01</x:v>
      </x:c>
      <x:c r="B3205" t="str">
        <x:v>WAVE_60</x:v>
      </x:c>
      <x:c r="C3205" s="409" t="n">
        <x:v>594.08</x:v>
      </x:c>
      <x:c r="D3205" s="410" t="n">
        <x:v>45</x:v>
      </x:c>
      <x:c r="E3205" t="str">
        <x:v>LEFT_05</x:v>
      </x:c>
      <x:c r="F3205" t="str">
        <x:v>GoblinMelee</x:v>
      </x:c>
      <x:c r="G3205" s="410" t="n">
        <x:v>52</x:v>
      </x:c>
    </x:row>
    <x:row r="3206">
      <x:c r="A3206" t="str">
        <x:v>Stage01</x:v>
      </x:c>
      <x:c r="B3206" t="str">
        <x:v>WAVE_60</x:v>
      </x:c>
      <x:c r="C3206" s="409" t="n">
        <x:v>594.15</x:v>
      </x:c>
      <x:c r="D3206" s="410" t="n">
        <x:v>46</x:v>
      </x:c>
      <x:c r="E3206" t="str">
        <x:v>TOP_07</x:v>
      </x:c>
      <x:c r="F3206" t="str">
        <x:v>GoblinRanged</x:v>
      </x:c>
      <x:c r="G3206" s="410" t="n">
        <x:v>52</x:v>
      </x:c>
    </x:row>
    <x:row r="3207">
      <x:c r="A3207" t="str">
        <x:v>Stage01</x:v>
      </x:c>
      <x:c r="B3207" t="str">
        <x:v>WAVE_60</x:v>
      </x:c>
      <x:c r="C3207" s="409" t="n">
        <x:v>594.22</x:v>
      </x:c>
      <x:c r="D3207" s="410" t="n">
        <x:v>47</x:v>
      </x:c>
      <x:c r="E3207" t="str">
        <x:v>RIGHT_08</x:v>
      </x:c>
      <x:c r="F3207" t="str">
        <x:v>GoblinMelee</x:v>
      </x:c>
      <x:c r="G3207" s="410" t="n">
        <x:v>52</x:v>
      </x:c>
    </x:row>
    <x:row r="3208">
      <x:c r="A3208" t="str">
        <x:v>Stage01</x:v>
      </x:c>
      <x:c r="B3208" t="str">
        <x:v>WAVE_60</x:v>
      </x:c>
      <x:c r="C3208" s="409" t="n">
        <x:v>594.29</x:v>
      </x:c>
      <x:c r="D3208" s="410" t="n">
        <x:v>48</x:v>
      </x:c>
      <x:c r="E3208" t="str">
        <x:v>BOTTOM_01</x:v>
      </x:c>
      <x:c r="F3208" t="str">
        <x:v>SkeletonBoss</x:v>
      </x:c>
      <x:c r="G3208" s="410" t="n">
        <x:v>52</x:v>
      </x:c>
    </x:row>
    <x:row r="3209">
      <x:c r="A3209" t="str">
        <x:v>Stage01</x:v>
      </x:c>
      <x:c r="B3209" t="str">
        <x:v>WAVE_60</x:v>
      </x:c>
      <x:c r="C3209" s="409" t="n">
        <x:v>594.36</x:v>
      </x:c>
      <x:c r="D3209" s="410" t="n">
        <x:v>49</x:v>
      </x:c>
      <x:c r="E3209" t="str">
        <x:v>LEFT_02</x:v>
      </x:c>
      <x:c r="F3209" t="str">
        <x:v>GoblinMelee</x:v>
      </x:c>
      <x:c r="G3209" s="410" t="n">
        <x:v>52</x:v>
      </x:c>
    </x:row>
    <x:row r="3210">
      <x:c r="A3210" t="str">
        <x:v>Stage01</x:v>
      </x:c>
      <x:c r="B3210" t="str">
        <x:v>WAVE_60</x:v>
      </x:c>
      <x:c r="C3210" s="409" t="n">
        <x:v>594.43</x:v>
      </x:c>
      <x:c r="D3210" s="410" t="n">
        <x:v>50</x:v>
      </x:c>
      <x:c r="E3210" t="str">
        <x:v>TOP_04</x:v>
      </x:c>
      <x:c r="F3210" t="str">
        <x:v>GoblinRanged</x:v>
      </x:c>
      <x:c r="G3210" s="410" t="n">
        <x:v>52</x:v>
      </x:c>
    </x:row>
    <x:row r="3211">
      <x:c r="A3211" t="str">
        <x:v>Stage01</x:v>
      </x:c>
      <x:c r="B3211" t="str">
        <x:v>WAVE_60</x:v>
      </x:c>
      <x:c r="C3211" s="409" t="n">
        <x:v>594.5</x:v>
      </x:c>
      <x:c r="D3211" s="410" t="n">
        <x:v>51</x:v>
      </x:c>
      <x:c r="E3211" t="str">
        <x:v>RIGHT_05</x:v>
      </x:c>
      <x:c r="F3211" t="str">
        <x:v>GoblinMelee</x:v>
      </x:c>
      <x:c r="G3211" s="410" t="n">
        <x:v>52</x:v>
      </x:c>
    </x:row>
    <x:row r="3212">
      <x:c r="A3212" t="str">
        <x:v>Stage01</x:v>
      </x:c>
      <x:c r="B3212" t="str">
        <x:v>WAVE_60</x:v>
      </x:c>
      <x:c r="C3212" s="409" t="n">
        <x:v>594.57</x:v>
      </x:c>
      <x:c r="D3212" s="410" t="n">
        <x:v>52</x:v>
      </x:c>
      <x:c r="E3212" t="str">
        <x:v>BOTTOM_06</x:v>
      </x:c>
      <x:c r="F3212" t="str">
        <x:v>ShieldSkeleton</x:v>
      </x:c>
      <x:c r="G3212" s="410" t="n">
        <x:v>52</x:v>
      </x:c>
    </x:row>
    <x:row r="3213">
      <x:c r="A3213" t="str">
        <x:v>Stage01</x:v>
      </x:c>
      <x:c r="B3213" t="str">
        <x:v>WAVE_60</x:v>
      </x:c>
      <x:c r="C3213" s="409" t="n">
        <x:v>594.64</x:v>
      </x:c>
      <x:c r="D3213" s="410" t="n">
        <x:v>53</x:v>
      </x:c>
      <x:c r="E3213" t="str">
        <x:v>LEFT_07</x:v>
      </x:c>
      <x:c r="F3213" t="str">
        <x:v>GoblinMelee</x:v>
      </x:c>
      <x:c r="G3213" s="410" t="n">
        <x:v>52</x:v>
      </x:c>
    </x:row>
    <x:row r="3214">
      <x:c r="A3214" t="str">
        <x:v>Stage01</x:v>
      </x:c>
      <x:c r="B3214" t="str">
        <x:v>WAVE_60</x:v>
      </x:c>
      <x:c r="C3214" s="409" t="n">
        <x:v>594.71</x:v>
      </x:c>
      <x:c r="D3214" s="410" t="n">
        <x:v>54</x:v>
      </x:c>
      <x:c r="E3214" t="str">
        <x:v>TOP_01</x:v>
      </x:c>
      <x:c r="F3214" t="str">
        <x:v>GoblinRanged</x:v>
      </x:c>
      <x:c r="G3214" s="410" t="n">
        <x:v>52</x:v>
      </x:c>
    </x:row>
    <x:row r="3215">
      <x:c r="A3215" t="str">
        <x:v>Stage01</x:v>
      </x:c>
      <x:c r="B3215" t="str">
        <x:v>WAVE_60</x:v>
      </x:c>
      <x:c r="C3215" s="409" t="n">
        <x:v>594.78</x:v>
      </x:c>
      <x:c r="D3215" s="410" t="n">
        <x:v>55</x:v>
      </x:c>
      <x:c r="E3215" t="str">
        <x:v>RIGHT_02</x:v>
      </x:c>
      <x:c r="F3215" t="str">
        <x:v>GoblinMelee</x:v>
      </x:c>
      <x:c r="G3215" s="410" t="n">
        <x:v>52</x:v>
      </x:c>
    </x:row>
    <x:row r="3216">
      <x:c r="A3216" t="str">
        <x:v>Stage01</x:v>
      </x:c>
      <x:c r="B3216" t="str">
        <x:v>WAVE_60</x:v>
      </x:c>
      <x:c r="C3216" s="409" t="n">
        <x:v>594.85</x:v>
      </x:c>
      <x:c r="D3216" s="410" t="n">
        <x:v>56</x:v>
      </x:c>
      <x:c r="E3216" t="str">
        <x:v>BOTTOM_03</x:v>
      </x:c>
      <x:c r="F3216" t="str">
        <x:v>GoblinMelee</x:v>
      </x:c>
      <x:c r="G3216" s="410" t="n">
        <x:v>52</x:v>
      </x:c>
    </x:row>
    <x:row r="3217">
      <x:c r="A3217" t="str">
        <x:v>Stage01</x:v>
      </x:c>
      <x:c r="B3217" t="str">
        <x:v>WAVE_60</x:v>
      </x:c>
      <x:c r="C3217" s="409" t="n">
        <x:v>594.92</x:v>
      </x:c>
      <x:c r="D3217" s="410" t="n">
        <x:v>57</x:v>
      </x:c>
      <x:c r="E3217" t="str">
        <x:v>LEFT_04</x:v>
      </x:c>
      <x:c r="F3217" t="str">
        <x:v>GoblinRanged</x:v>
      </x:c>
      <x:c r="G3217" s="410" t="n">
        <x:v>52</x:v>
      </x:c>
    </x:row>
    <x:row r="3218">
      <x:c r="A3218" t="str">
        <x:v>Stage01</x:v>
      </x:c>
      <x:c r="B3218" t="str">
        <x:v>WAVE_60</x:v>
      </x:c>
      <x:c r="C3218" s="409" t="n">
        <x:v>594.99</x:v>
      </x:c>
      <x:c r="D3218" s="410" t="n">
        <x:v>58</x:v>
      </x:c>
      <x:c r="E3218" t="str">
        <x:v>TOP_06</x:v>
      </x:c>
      <x:c r="F3218" t="str">
        <x:v>FlyingEye</x:v>
      </x:c>
      <x:c r="G3218" s="410" t="n">
        <x:v>52</x:v>
      </x:c>
    </x:row>
    <x:row r="3219">
      <x:c r="A3219" t="str">
        <x:v>Stage01</x:v>
      </x:c>
      <x:c r="B3219" t="str">
        <x:v>WAVE_60</x:v>
      </x:c>
      <x:c r="C3219" s="409" t="n">
        <x:v>595.06</x:v>
      </x:c>
      <x:c r="D3219" s="410" t="n">
        <x:v>59</x:v>
      </x:c>
      <x:c r="E3219" t="str">
        <x:v>RIGHT_07</x:v>
      </x:c>
      <x:c r="F3219" t="str">
        <x:v>GoblinRanged</x:v>
      </x:c>
      <x:c r="G3219" s="410" t="n">
        <x:v>52</x:v>
      </x:c>
    </x:row>
    <x:row r="3220">
      <x:c r="A3220" t="str">
        <x:v>Stage01</x:v>
      </x:c>
      <x:c r="B3220" t="str">
        <x:v>WAVE_60</x:v>
      </x:c>
      <x:c r="C3220" s="409" t="n">
        <x:v>595.13</x:v>
      </x:c>
      <x:c r="D3220" s="410" t="n">
        <x:v>60</x:v>
      </x:c>
      <x:c r="E3220" t="str">
        <x:v>BOTTOM_08</x:v>
      </x:c>
      <x:c r="F3220" t="str">
        <x:v>GoblinMelee</x:v>
      </x:c>
      <x:c r="G3220" s="410" t="n">
        <x:v>52</x:v>
      </x:c>
    </x:row>
    <x:row r="3221">
      <x:c r="A3221" t="str">
        <x:v>Stage01</x:v>
      </x:c>
      <x:c r="B3221" t="str">
        <x:v>WAVE_60</x:v>
      </x:c>
      <x:c r="C3221" s="409" t="n">
        <x:v>595.2</x:v>
      </x:c>
      <x:c r="D3221" s="410" t="n">
        <x:v>61</x:v>
      </x:c>
      <x:c r="E3221" t="str">
        <x:v>LEFT_01</x:v>
      </x:c>
      <x:c r="F3221" t="str">
        <x:v>ShieldSkeleton</x:v>
      </x:c>
      <x:c r="G3221" s="410" t="n">
        <x:v>52</x:v>
      </x:c>
    </x:row>
    <x:row r="3222">
      <x:c r="A3222" t="str">
        <x:v>Stage01</x:v>
      </x:c>
      <x:c r="B3222" t="str">
        <x:v>WAVE_60</x:v>
      </x:c>
      <x:c r="C3222" s="409" t="n">
        <x:v>595.27</x:v>
      </x:c>
      <x:c r="D3222" s="410" t="n">
        <x:v>62</x:v>
      </x:c>
      <x:c r="E3222" t="str">
        <x:v>TOP_03</x:v>
      </x:c>
      <x:c r="F3222" t="str">
        <x:v>GoblinMelee</x:v>
      </x:c>
      <x:c r="G3222" s="410" t="n">
        <x:v>52</x:v>
      </x:c>
    </x:row>
    <x:row r="3223">
      <x:c r="A3223" t="str">
        <x:v>Stage01</x:v>
      </x:c>
      <x:c r="B3223" t="str">
        <x:v>WAVE_60</x:v>
      </x:c>
      <x:c r="C3223" s="409" t="n">
        <x:v>595.33</x:v>
      </x:c>
      <x:c r="D3223" s="410" t="n">
        <x:v>63</x:v>
      </x:c>
      <x:c r="E3223" t="str">
        <x:v>RIGHT_04</x:v>
      </x:c>
      <x:c r="F3223" t="str">
        <x:v>GoblinRanged</x:v>
      </x:c>
      <x:c r="G3223" s="410" t="n">
        <x:v>52</x:v>
      </x:c>
    </x:row>
    <x:row r="3224">
      <x:c r="A3224" t="str">
        <x:v>Stage01</x:v>
      </x:c>
      <x:c r="B3224" t="str">
        <x:v>WAVE_60</x:v>
      </x:c>
      <x:c r="C3224" s="409" t="n">
        <x:v>595.4</x:v>
      </x:c>
      <x:c r="D3224" s="410" t="n">
        <x:v>64</x:v>
      </x:c>
      <x:c r="E3224" t="str">
        <x:v>BOTTOM_05</x:v>
      </x:c>
      <x:c r="F3224" t="str">
        <x:v>GoblinMelee</x:v>
      </x:c>
      <x:c r="G3224" s="410" t="n">
        <x:v>52</x:v>
      </x:c>
    </x:row>
    <x:row r="3225">
      <x:c r="A3225" t="str">
        <x:v>Stage01</x:v>
      </x:c>
      <x:c r="B3225" t="str">
        <x:v>WAVE_60</x:v>
      </x:c>
      <x:c r="C3225" s="409" t="n">
        <x:v>595.47</x:v>
      </x:c>
      <x:c r="D3225" s="410" t="n">
        <x:v>65</x:v>
      </x:c>
      <x:c r="E3225" t="str">
        <x:v>LEFT_06</x:v>
      </x:c>
      <x:c r="F3225" t="str">
        <x:v>GoblinMelee</x:v>
      </x:c>
      <x:c r="G3225" s="410" t="n">
        <x:v>52</x:v>
      </x:c>
    </x:row>
    <x:row r="3226">
      <x:c r="A3226" t="str">
        <x:v>Stage01</x:v>
      </x:c>
      <x:c r="B3226" t="str">
        <x:v>WAVE_60</x:v>
      </x:c>
      <x:c r="C3226" s="409" t="n">
        <x:v>595.54</x:v>
      </x:c>
      <x:c r="D3226" s="410" t="n">
        <x:v>66</x:v>
      </x:c>
      <x:c r="E3226" t="str">
        <x:v>TOP_08</x:v>
      </x:c>
      <x:c r="F3226" t="str">
        <x:v>GoblinRanged</x:v>
      </x:c>
      <x:c r="G3226" s="410" t="n">
        <x:v>52</x:v>
      </x:c>
    </x:row>
    <x:row r="3227">
      <x:c r="A3227" t="str">
        <x:v>Stage01</x:v>
      </x:c>
      <x:c r="B3227" t="str">
        <x:v>WAVE_60</x:v>
      </x:c>
      <x:c r="C3227" s="409" t="n">
        <x:v>595.61</x:v>
      </x:c>
      <x:c r="D3227" s="410" t="n">
        <x:v>67</x:v>
      </x:c>
      <x:c r="E3227" t="str">
        <x:v>RIGHT_01</x:v>
      </x:c>
      <x:c r="F3227" t="str">
        <x:v>GoblinMelee</x:v>
      </x:c>
      <x:c r="G3227" s="410" t="n">
        <x:v>52</x:v>
      </x:c>
    </x:row>
    <x:row r="3228">
      <x:c r="A3228" t="str">
        <x:v>Stage01</x:v>
      </x:c>
      <x:c r="B3228" t="str">
        <x:v>WAVE_60</x:v>
      </x:c>
      <x:c r="C3228" s="409" t="n">
        <x:v>595.68</x:v>
      </x:c>
      <x:c r="D3228" s="410" t="n">
        <x:v>68</x:v>
      </x:c>
      <x:c r="E3228" t="str">
        <x:v>BOTTOM_02</x:v>
      </x:c>
      <x:c r="F3228" t="str">
        <x:v>ShieldSkeleton</x:v>
      </x:c>
      <x:c r="G3228" s="410" t="n">
        <x:v>52</x:v>
      </x:c>
    </x:row>
    <x:row r="3229">
      <x:c r="A3229" t="str">
        <x:v>Stage01</x:v>
      </x:c>
      <x:c r="B3229" t="str">
        <x:v>WAVE_60</x:v>
      </x:c>
      <x:c r="C3229" s="409" t="n">
        <x:v>595.75</x:v>
      </x:c>
      <x:c r="D3229" s="410" t="n">
        <x:v>69</x:v>
      </x:c>
      <x:c r="E3229" t="str">
        <x:v>LEFT_03</x:v>
      </x:c>
      <x:c r="F3229" t="str">
        <x:v>GoblinMelee</x:v>
      </x:c>
      <x:c r="G3229" s="410" t="n">
        <x:v>52</x:v>
      </x:c>
    </x:row>
    <x:row r="3230">
      <x:c r="A3230" t="str">
        <x:v>Stage01</x:v>
      </x:c>
      <x:c r="B3230" t="str">
        <x:v>WAVE_60</x:v>
      </x:c>
      <x:c r="C3230" s="409" t="n">
        <x:v>595.82</x:v>
      </x:c>
      <x:c r="D3230" s="410" t="n">
        <x:v>70</x:v>
      </x:c>
      <x:c r="E3230" t="str">
        <x:v>TOP_05</x:v>
      </x:c>
      <x:c r="F3230" t="str">
        <x:v>GoblinRanged</x:v>
      </x:c>
      <x:c r="G3230" s="410" t="n">
        <x:v>52</x:v>
      </x:c>
    </x:row>
    <x:row r="3231">
      <x:c r="A3231" t="str">
        <x:v>Stage01</x:v>
      </x:c>
      <x:c r="B3231" t="str">
        <x:v>WAVE_60</x:v>
      </x:c>
      <x:c r="C3231" s="409" t="n">
        <x:v>595.89</x:v>
      </x:c>
      <x:c r="D3231" s="410" t="n">
        <x:v>71</x:v>
      </x:c>
      <x:c r="E3231" t="str">
        <x:v>RIGHT_06</x:v>
      </x:c>
      <x:c r="F3231" t="str">
        <x:v>GoblinMelee</x:v>
      </x:c>
      <x:c r="G3231" s="410" t="n">
        <x:v>52</x:v>
      </x:c>
    </x:row>
    <x:row r="3232">
      <x:c r="A3232" t="str">
        <x:v>Stage01</x:v>
      </x:c>
      <x:c r="B3232" t="str">
        <x:v>WAVE_60</x:v>
      </x:c>
      <x:c r="C3232" s="409" t="n">
        <x:v>595.96</x:v>
      </x:c>
      <x:c r="D3232" s="410" t="n">
        <x:v>72</x:v>
      </x:c>
      <x:c r="E3232" t="str">
        <x:v>BOTTOM_07</x:v>
      </x:c>
      <x:c r="F3232" t="str">
        <x:v>FlyingEye</x:v>
      </x:c>
      <x:c r="G3232" s="410" t="n">
        <x:v>52</x:v>
      </x:c>
    </x:row>
    <x:row r="3233">
      <x:c r="A3233" t="str">
        <x:v>Stage01</x:v>
      </x:c>
      <x:c r="B3233" t="str">
        <x:v>WAVE_60</x:v>
      </x:c>
      <x:c r="C3233" s="409" t="n">
        <x:v>596.03</x:v>
      </x:c>
      <x:c r="D3233" s="410" t="n">
        <x:v>73</x:v>
      </x:c>
      <x:c r="E3233" t="str">
        <x:v>LEFT_08</x:v>
      </x:c>
      <x:c r="F3233" t="str">
        <x:v>GoblinRanged</x:v>
      </x:c>
      <x:c r="G3233" s="410" t="n">
        <x:v>52</x:v>
      </x:c>
    </x:row>
    <x:row r="3234">
      <x:c r="A3234" t="str">
        <x:v>Stage01</x:v>
      </x:c>
      <x:c r="B3234" t="str">
        <x:v>WAVE_60</x:v>
      </x:c>
      <x:c r="C3234" s="409" t="n">
        <x:v>596.1</x:v>
      </x:c>
      <x:c r="D3234" s="410" t="n">
        <x:v>74</x:v>
      </x:c>
      <x:c r="E3234" t="str">
        <x:v>TOP_02</x:v>
      </x:c>
      <x:c r="F3234" t="str">
        <x:v>ShieldSkeleton</x:v>
      </x:c>
      <x:c r="G3234" s="410" t="n">
        <x:v>52</x:v>
      </x:c>
    </x:row>
    <x:row r="3235">
      <x:c r="A3235" t="str">
        <x:v>Stage01</x:v>
      </x:c>
      <x:c r="B3235" t="str">
        <x:v>WAVE_60</x:v>
      </x:c>
      <x:c r="C3235" s="409" t="n">
        <x:v>596.17</x:v>
      </x:c>
      <x:c r="D3235" s="410" t="n">
        <x:v>75</x:v>
      </x:c>
      <x:c r="E3235" t="str">
        <x:v>RIGHT_03</x:v>
      </x:c>
      <x:c r="F3235" t="str">
        <x:v>GoblinMelee</x:v>
      </x:c>
      <x:c r="G3235" s="410" t="n">
        <x:v>52</x:v>
      </x:c>
    </x:row>
    <x:row r="3236">
      <x:c r="A3236" t="str">
        <x:v>Stage01</x:v>
      </x:c>
      <x:c r="B3236" t="str">
        <x:v>WAVE_60</x:v>
      </x:c>
      <x:c r="C3236" s="409" t="n">
        <x:v>596.24</x:v>
      </x:c>
      <x:c r="D3236" s="410" t="n">
        <x:v>76</x:v>
      </x:c>
      <x:c r="E3236" t="str">
        <x:v>BOTTOM_04</x:v>
      </x:c>
      <x:c r="F3236" t="str">
        <x:v>GoblinMelee</x:v>
      </x:c>
      <x:c r="G3236" s="410" t="n">
        <x:v>52</x:v>
      </x:c>
    </x:row>
    <x:row r="3237">
      <x:c r="A3237" t="str">
        <x:v>Stage01</x:v>
      </x:c>
      <x:c r="B3237" t="str">
        <x:v>WAVE_60</x:v>
      </x:c>
      <x:c r="C3237" s="409" t="n">
        <x:v>596.31</x:v>
      </x:c>
      <x:c r="D3237" s="410" t="n">
        <x:v>77</x:v>
      </x:c>
      <x:c r="E3237" t="str">
        <x:v>LEFT_05</x:v>
      </x:c>
      <x:c r="F3237" t="str">
        <x:v>GoblinRanged</x:v>
      </x:c>
      <x:c r="G3237" s="410" t="n">
        <x:v>52</x:v>
      </x:c>
    </x:row>
    <x:row r="3238">
      <x:c r="A3238" t="str">
        <x:v>Stage01</x:v>
      </x:c>
      <x:c r="B3238" t="str">
        <x:v>WAVE_60</x:v>
      </x:c>
      <x:c r="C3238" s="409" t="n">
        <x:v>596.38</x:v>
      </x:c>
      <x:c r="D3238" s="410" t="n">
        <x:v>78</x:v>
      </x:c>
      <x:c r="E3238" t="str">
        <x:v>TOP_07</x:v>
      </x:c>
      <x:c r="F3238" t="str">
        <x:v>GoblinMelee</x:v>
      </x:c>
      <x:c r="G3238" s="410" t="n">
        <x:v>52</x:v>
      </x:c>
    </x:row>
    <x:row r="3239">
      <x:c r="A3239" t="str">
        <x:v>Stage01</x:v>
      </x:c>
      <x:c r="B3239" t="str">
        <x:v>WAVE_60</x:v>
      </x:c>
      <x:c r="C3239" s="409" t="n">
        <x:v>596.45</x:v>
      </x:c>
      <x:c r="D3239" s="410" t="n">
        <x:v>79</x:v>
      </x:c>
      <x:c r="E3239" t="str">
        <x:v>RIGHT_08</x:v>
      </x:c>
      <x:c r="F3239" t="str">
        <x:v>GoblinRanged</x:v>
      </x:c>
      <x:c r="G3239" s="410" t="n">
        <x:v>52</x:v>
      </x:c>
    </x:row>
    <x:row r="3240">
      <x:c r="A3240" t="str">
        <x:v>Stage01</x:v>
      </x:c>
      <x:c r="B3240" t="str">
        <x:v>WAVE_60</x:v>
      </x:c>
      <x:c r="C3240" s="409" t="n">
        <x:v>596.52</x:v>
      </x:c>
      <x:c r="D3240" s="410" t="n">
        <x:v>80</x:v>
      </x:c>
      <x:c r="E3240" t="str">
        <x:v>BOTTOM_01</x:v>
      </x:c>
      <x:c r="F3240" t="str">
        <x:v>GoblinMelee</x:v>
      </x:c>
      <x:c r="G3240" s="410" t="n">
        <x:v>52</x:v>
      </x:c>
    </x:row>
    <x:row r="3241">
      <x:c r="A3241" t="str">
        <x:v>Stage01</x:v>
      </x:c>
      <x:c r="B3241" t="str">
        <x:v>WAVE_60</x:v>
      </x:c>
      <x:c r="C3241" s="409" t="n">
        <x:v>596.59</x:v>
      </x:c>
      <x:c r="D3241" s="410" t="n">
        <x:v>81</x:v>
      </x:c>
      <x:c r="E3241" t="str">
        <x:v>LEFT_02</x:v>
      </x:c>
      <x:c r="F3241" t="str">
        <x:v>ShieldSkeleton</x:v>
      </x:c>
      <x:c r="G3241" s="410" t="n">
        <x:v>52</x:v>
      </x:c>
    </x:row>
    <x:row r="3242">
      <x:c r="A3242" t="str">
        <x:v>Stage01</x:v>
      </x:c>
      <x:c r="B3242" t="str">
        <x:v>WAVE_60</x:v>
      </x:c>
      <x:c r="C3242" s="409" t="n">
        <x:v>596.66</x:v>
      </x:c>
      <x:c r="D3242" s="410" t="n">
        <x:v>82</x:v>
      </x:c>
      <x:c r="E3242" t="str">
        <x:v>TOP_04</x:v>
      </x:c>
      <x:c r="F3242" t="str">
        <x:v>GoblinMelee</x:v>
      </x:c>
      <x:c r="G3242" s="410" t="n">
        <x:v>52</x:v>
      </x:c>
    </x:row>
    <x:row r="3243">
      <x:c r="A3243" t="str">
        <x:v>Stage01</x:v>
      </x:c>
      <x:c r="B3243" t="str">
        <x:v>WAVE_60</x:v>
      </x:c>
      <x:c r="C3243" s="409" t="n">
        <x:v>596.73</x:v>
      </x:c>
      <x:c r="D3243" s="410" t="n">
        <x:v>83</x:v>
      </x:c>
      <x:c r="E3243" t="str">
        <x:v>RIGHT_05</x:v>
      </x:c>
      <x:c r="F3243" t="str">
        <x:v>GoblinRanged</x:v>
      </x:c>
      <x:c r="G3243" s="410" t="n">
        <x:v>52</x:v>
      </x:c>
    </x:row>
    <x:row r="3244">
      <x:c r="A3244" t="str">
        <x:v>Stage01</x:v>
      </x:c>
      <x:c r="B3244" t="str">
        <x:v>WAVE_60</x:v>
      </x:c>
      <x:c r="C3244" s="409" t="n">
        <x:v>596.8</x:v>
      </x:c>
      <x:c r="D3244" s="410" t="n">
        <x:v>84</x:v>
      </x:c>
      <x:c r="E3244" t="str">
        <x:v>BOTTOM_06</x:v>
      </x:c>
      <x:c r="F3244" t="str">
        <x:v>GoblinMelee</x:v>
      </x:c>
      <x:c r="G3244" s="410" t="n">
        <x:v>52</x:v>
      </x:c>
    </x:row>
    <x:row r="3245">
      <x:c r="A3245" t="str">
        <x:v>Stage01</x:v>
      </x:c>
      <x:c r="B3245" t="str">
        <x:v>WAVE_60</x:v>
      </x:c>
      <x:c r="C3245" s="409" t="n">
        <x:v>596.87</x:v>
      </x:c>
      <x:c r="D3245" s="410" t="n">
        <x:v>85</x:v>
      </x:c>
      <x:c r="E3245" t="str">
        <x:v>LEFT_07</x:v>
      </x:c>
      <x:c r="F3245" t="str">
        <x:v>GoblinMelee</x:v>
      </x:c>
      <x:c r="G3245" s="410" t="n">
        <x:v>52</x:v>
      </x:c>
    </x:row>
    <x:row r="3246">
      <x:c r="A3246" t="str">
        <x:v>Stage01</x:v>
      </x:c>
      <x:c r="B3246" t="str">
        <x:v>WAVE_60</x:v>
      </x:c>
      <x:c r="C3246" s="409" t="n">
        <x:v>596.94</x:v>
      </x:c>
      <x:c r="D3246" s="410" t="n">
        <x:v>86</x:v>
      </x:c>
      <x:c r="E3246" t="str">
        <x:v>TOP_01</x:v>
      </x:c>
      <x:c r="F3246" t="str">
        <x:v>GoblinRanged</x:v>
      </x:c>
      <x:c r="G3246" s="410" t="n">
        <x:v>52</x:v>
      </x:c>
    </x:row>
    <x:row r="3247">
      <x:c r="A3247" t="str">
        <x:v>Stage01</x:v>
      </x:c>
      <x:c r="B3247" t="str">
        <x:v>WAVE_60</x:v>
      </x:c>
      <x:c r="C3247" s="409" t="n">
        <x:v>597.01</x:v>
      </x:c>
      <x:c r="D3247" s="410" t="n">
        <x:v>87</x:v>
      </x:c>
      <x:c r="E3247" t="str">
        <x:v>RIGHT_02</x:v>
      </x:c>
      <x:c r="F3247" t="str">
        <x:v>FlyingEye</x:v>
      </x:c>
      <x:c r="G3247" s="410" t="n">
        <x:v>52</x:v>
      </x:c>
    </x:row>
    <x:row r="3248">
      <x:c r="A3248" t="str">
        <x:v>Stage01</x:v>
      </x:c>
      <x:c r="B3248" t="str">
        <x:v>WAVE_60</x:v>
      </x:c>
      <x:c r="C3248" s="409" t="n">
        <x:v>597.08</x:v>
      </x:c>
      <x:c r="D3248" s="410" t="n">
        <x:v>88</x:v>
      </x:c>
      <x:c r="E3248" t="str">
        <x:v>BOTTOM_03</x:v>
      </x:c>
      <x:c r="F3248" t="str">
        <x:v>ShieldSkeleton</x:v>
      </x:c>
      <x:c r="G3248" s="410" t="n">
        <x:v>52</x:v>
      </x:c>
    </x:row>
    <x:row r="3249">
      <x:c r="A3249" t="str">
        <x:v>Stage01</x:v>
      </x:c>
      <x:c r="B3249" t="str">
        <x:v>WAVE_60</x:v>
      </x:c>
      <x:c r="C3249" s="409" t="n">
        <x:v>597.15</x:v>
      </x:c>
      <x:c r="D3249" s="410" t="n">
        <x:v>89</x:v>
      </x:c>
      <x:c r="E3249" t="str">
        <x:v>LEFT_04</x:v>
      </x:c>
      <x:c r="F3249" t="str">
        <x:v>GoblinMelee</x:v>
      </x:c>
      <x:c r="G3249" s="410" t="n">
        <x:v>52</x:v>
      </x:c>
    </x:row>
    <x:row r="3250">
      <x:c r="A3250" t="str">
        <x:v>Stage01</x:v>
      </x:c>
      <x:c r="B3250" t="str">
        <x:v>WAVE_60</x:v>
      </x:c>
      <x:c r="C3250" s="409" t="n">
        <x:v>597.22</x:v>
      </x:c>
      <x:c r="D3250" s="410" t="n">
        <x:v>90</x:v>
      </x:c>
      <x:c r="E3250" t="str">
        <x:v>TOP_06</x:v>
      </x:c>
      <x:c r="F3250" t="str">
        <x:v>GoblinRanged</x:v>
      </x:c>
      <x:c r="G3250" s="410" t="n">
        <x:v>52</x:v>
      </x:c>
    </x:row>
    <x:row r="3251">
      <x:c r="A3251" t="str">
        <x:v>Stage01</x:v>
      </x:c>
      <x:c r="B3251" t="str">
        <x:v>WAVE_60</x:v>
      </x:c>
      <x:c r="C3251" s="409" t="n">
        <x:v>597.29</x:v>
      </x:c>
      <x:c r="D3251" s="410" t="n">
        <x:v>91</x:v>
      </x:c>
      <x:c r="E3251" t="str">
        <x:v>RIGHT_07</x:v>
      </x:c>
      <x:c r="F3251" t="str">
        <x:v>GoblinMelee</x:v>
      </x:c>
      <x:c r="G3251" s="410" t="n">
        <x:v>52</x:v>
      </x:c>
    </x:row>
    <x:row r="3252">
      <x:c r="A3252" t="str">
        <x:v>Stage01</x:v>
      </x:c>
      <x:c r="B3252" t="str">
        <x:v>WAVE_60</x:v>
      </x:c>
      <x:c r="C3252" s="409" t="n">
        <x:v>597.36</x:v>
      </x:c>
      <x:c r="D3252" s="410" t="n">
        <x:v>92</x:v>
      </x:c>
      <x:c r="E3252" t="str">
        <x:v>BOTTOM_08</x:v>
      </x:c>
      <x:c r="F3252" t="str">
        <x:v>GoblinMelee</x:v>
      </x:c>
      <x:c r="G3252" s="410" t="n">
        <x:v>52</x:v>
      </x:c>
    </x:row>
    <x:row r="3253">
      <x:c r="A3253" t="str">
        <x:v>Stage01</x:v>
      </x:c>
      <x:c r="B3253" t="str">
        <x:v>WAVE_60</x:v>
      </x:c>
      <x:c r="C3253" s="409" t="n">
        <x:v>597.43</x:v>
      </x:c>
      <x:c r="D3253" s="410" t="n">
        <x:v>93</x:v>
      </x:c>
      <x:c r="E3253" t="str">
        <x:v>LEFT_01</x:v>
      </x:c>
      <x:c r="F3253" t="str">
        <x:v>GoblinRanged</x:v>
      </x:c>
      <x:c r="G3253" s="410" t="n">
        <x:v>52</x:v>
      </x:c>
    </x:row>
    <x:row r="3254">
      <x:c r="A3254" t="str">
        <x:v>Stage01</x:v>
      </x:c>
      <x:c r="B3254" t="str">
        <x:v>WAVE_60</x:v>
      </x:c>
      <x:c r="C3254" s="409" t="n">
        <x:v>597.5</x:v>
      </x:c>
      <x:c r="D3254" s="410" t="n">
        <x:v>94</x:v>
      </x:c>
      <x:c r="E3254" t="str">
        <x:v>TOP_03</x:v>
      </x:c>
      <x:c r="F3254" t="str">
        <x:v>ShieldSkeleton</x:v>
      </x:c>
      <x:c r="G3254" s="410" t="n">
        <x:v>52</x:v>
      </x:c>
    </x:row>
    <x:row r="3255">
      <x:c r="A3255" t="str">
        <x:v>Stage01</x:v>
      </x:c>
      <x:c r="B3255" t="str">
        <x:v>WAVE_60</x:v>
      </x:c>
      <x:c r="C3255" s="409" t="n">
        <x:v>597.57</x:v>
      </x:c>
      <x:c r="D3255" s="410" t="n">
        <x:v>95</x:v>
      </x:c>
      <x:c r="E3255" t="str">
        <x:v>RIGHT_04</x:v>
      </x:c>
      <x:c r="F3255" t="str">
        <x:v>GoblinMelee</x:v>
      </x:c>
      <x:c r="G3255" s="410" t="n">
        <x:v>52</x:v>
      </x:c>
    </x:row>
    <x:row r="3256">
      <x:c r="A3256" t="str">
        <x:v>Stage01</x:v>
      </x:c>
      <x:c r="B3256" t="str">
        <x:v>WAVE_60</x:v>
      </x:c>
      <x:c r="C3256" s="409" t="n">
        <x:v>597.64</x:v>
      </x:c>
      <x:c r="D3256" s="410" t="n">
        <x:v>96</x:v>
      </x:c>
      <x:c r="E3256" t="str">
        <x:v>BOTTOM_05</x:v>
      </x:c>
      <x:c r="F3256" t="str">
        <x:v>GoblinMelee</x:v>
      </x:c>
      <x:c r="G3256" s="410" t="n">
        <x:v>52</x:v>
      </x:c>
    </x:row>
    <x:row r="3257">
      <x:c r="A3257" t="str">
        <x:v>Stage01</x:v>
      </x:c>
      <x:c r="B3257" t="str">
        <x:v>WAVE_60</x:v>
      </x:c>
      <x:c r="C3257" s="409" t="n">
        <x:v>597.71</x:v>
      </x:c>
      <x:c r="D3257" s="410" t="n">
        <x:v>97</x:v>
      </x:c>
      <x:c r="E3257" t="str">
        <x:v>LEFT_06</x:v>
      </x:c>
      <x:c r="F3257" t="str">
        <x:v>GoblinRanged</x:v>
      </x:c>
      <x:c r="G3257" s="410" t="n">
        <x:v>52</x:v>
      </x:c>
    </x:row>
    <x:row r="3258">
      <x:c r="A3258" t="str">
        <x:v>Stage01</x:v>
      </x:c>
      <x:c r="B3258" t="str">
        <x:v>WAVE_60</x:v>
      </x:c>
      <x:c r="C3258" s="409" t="n">
        <x:v>597.78</x:v>
      </x:c>
      <x:c r="D3258" s="410" t="n">
        <x:v>98</x:v>
      </x:c>
      <x:c r="E3258" t="str">
        <x:v>TOP_08</x:v>
      </x:c>
      <x:c r="F3258" t="str">
        <x:v>GoblinMelee</x:v>
      </x:c>
      <x:c r="G3258" s="410" t="n">
        <x:v>52</x:v>
      </x:c>
    </x:row>
    <x:row r="3259">
      <x:c r="A3259" t="str">
        <x:v>Stage01</x:v>
      </x:c>
      <x:c r="B3259" t="str">
        <x:v>WAVE_60</x:v>
      </x:c>
      <x:c r="C3259" s="409" t="n">
        <x:v>597.85</x:v>
      </x:c>
      <x:c r="D3259" s="410" t="n">
        <x:v>99</x:v>
      </x:c>
      <x:c r="E3259" t="str">
        <x:v>RIGHT_01</x:v>
      </x:c>
      <x:c r="F3259" t="str">
        <x:v>GoblinRanged</x:v>
      </x:c>
      <x:c r="G3259" s="410" t="n">
        <x:v>52</x:v>
      </x:c>
    </x:row>
    <x:row r="3260">
      <x:c r="A3260" t="str">
        <x:v>Stage01</x:v>
      </x:c>
      <x:c r="B3260" t="str">
        <x:v>WAVE_60</x:v>
      </x:c>
      <x:c r="C3260" s="409" t="n">
        <x:v>597.92</x:v>
      </x:c>
      <x:c r="D3260" s="410" t="n">
        <x:v>100</x:v>
      </x:c>
      <x:c r="E3260" t="str">
        <x:v>BOTTOM_02</x:v>
      </x:c>
      <x:c r="F3260" t="str">
        <x:v>GoblinMelee</x:v>
      </x:c>
      <x:c r="G3260" s="410" t="n">
        <x:v>52</x:v>
      </x:c>
    </x:row>
    <x:row r="3261">
      <x:c r="A3261" t="str">
        <x:v>Stage01</x:v>
      </x:c>
      <x:c r="B3261" t="str">
        <x:v>WAVE_60</x:v>
      </x:c>
      <x:c r="C3261" s="409" t="n">
        <x:v>597.99</x:v>
      </x:c>
      <x:c r="D3261" s="410" t="n">
        <x:v>101</x:v>
      </x:c>
      <x:c r="E3261" t="str">
        <x:v>LEFT_03</x:v>
      </x:c>
      <x:c r="F3261" t="str">
        <x:v>ShieldSkeleton</x:v>
      </x:c>
      <x:c r="G3261" s="410" t="n">
        <x:v>52</x:v>
      </x:c>
    </x:row>
    <x:row r="3262">
      <x:c r="A3262" t="str">
        <x:v>Stage01</x:v>
      </x:c>
      <x:c r="B3262" t="str">
        <x:v>WAVE_60</x:v>
      </x:c>
      <x:c r="C3262" s="409" t="n">
        <x:v>598.06</x:v>
      </x:c>
      <x:c r="D3262" s="410" t="n">
        <x:v>102</x:v>
      </x:c>
      <x:c r="E3262" t="str">
        <x:v>TOP_05</x:v>
      </x:c>
      <x:c r="F3262" t="str">
        <x:v>FlyingEye</x:v>
      </x:c>
      <x:c r="G3262" s="410" t="n">
        <x:v>52</x:v>
      </x:c>
    </x:row>
    <x:row r="3263">
      <x:c r="A3263" t="str">
        <x:v>Stage01</x:v>
      </x:c>
      <x:c r="B3263" t="str">
        <x:v>WAVE_60</x:v>
      </x:c>
      <x:c r="C3263" s="409" t="n">
        <x:v>598.13</x:v>
      </x:c>
      <x:c r="D3263" s="410" t="n">
        <x:v>103</x:v>
      </x:c>
      <x:c r="E3263" t="str">
        <x:v>RIGHT_06</x:v>
      </x:c>
      <x:c r="F3263" t="str">
        <x:v>GoblinRanged</x:v>
      </x:c>
      <x:c r="G3263" s="410" t="n">
        <x:v>52</x:v>
      </x:c>
    </x:row>
    <x:row r="3264">
      <x:c r="A3264" t="str">
        <x:v>Stage01</x:v>
      </x:c>
      <x:c r="B3264" t="str">
        <x:v>WAVE_60</x:v>
      </x:c>
      <x:c r="C3264" s="409" t="n">
        <x:v>598.2</x:v>
      </x:c>
      <x:c r="D3264" s="410" t="n">
        <x:v>104</x:v>
      </x:c>
      <x:c r="E3264" t="str">
        <x:v>BOTTOM_07</x:v>
      </x:c>
      <x:c r="F3264" t="str">
        <x:v>GoblinMelee</x:v>
      </x:c>
      <x:c r="G3264" s="410" t="n">
        <x:v>52</x:v>
      </x:c>
    </x:row>
    <x:row r="3265">
      <x:c r="A3265" t="str">
        <x:v>Stage01</x:v>
      </x:c>
      <x:c r="B3265" t="str">
        <x:v>WAVE_60</x:v>
      </x:c>
      <x:c r="C3265" s="409" t="n">
        <x:v>598.27</x:v>
      </x:c>
      <x:c r="D3265" s="410" t="n">
        <x:v>105</x:v>
      </x:c>
      <x:c r="E3265" t="str">
        <x:v>LEFT_08</x:v>
      </x:c>
      <x:c r="F3265" t="str">
        <x:v>GoblinMelee</x:v>
      </x:c>
      <x:c r="G3265" s="410" t="n">
        <x:v>52</x:v>
      </x:c>
    </x:row>
    <x:row r="3266">
      <x:c r="A3266" t="str">
        <x:v>Stage01</x:v>
      </x:c>
      <x:c r="B3266" t="str">
        <x:v>WAVE_60</x:v>
      </x:c>
      <x:c r="C3266" s="409" t="n">
        <x:v>598.34</x:v>
      </x:c>
      <x:c r="D3266" s="410" t="n">
        <x:v>106</x:v>
      </x:c>
      <x:c r="E3266" t="str">
        <x:v>TOP_02</x:v>
      </x:c>
      <x:c r="F3266" t="str">
        <x:v>GoblinRanged</x:v>
      </x:c>
      <x:c r="G3266" s="410" t="n">
        <x:v>52</x:v>
      </x:c>
    </x:row>
    <x:row r="3267">
      <x:c r="A3267" t="str">
        <x:v>Stage01</x:v>
      </x:c>
      <x:c r="B3267" t="str">
        <x:v>WAVE_60</x:v>
      </x:c>
      <x:c r="C3267" s="409" t="n">
        <x:v>598.41</x:v>
      </x:c>
      <x:c r="D3267" s="410" t="n">
        <x:v>107</x:v>
      </x:c>
      <x:c r="E3267" t="str">
        <x:v>RIGHT_03</x:v>
      </x:c>
      <x:c r="F3267" t="str">
        <x:v>GoblinMelee</x:v>
      </x:c>
      <x:c r="G3267" s="410" t="n">
        <x:v>52</x:v>
      </x:c>
    </x:row>
    <x:row r="3268">
      <x:c r="A3268" t="str">
        <x:v>Stage01</x:v>
      </x:c>
      <x:c r="B3268" t="str">
        <x:v>WAVE_60</x:v>
      </x:c>
      <x:c r="C3268" s="409" t="n">
        <x:v>598.48</x:v>
      </x:c>
      <x:c r="D3268" s="410" t="n">
        <x:v>108</x:v>
      </x:c>
      <x:c r="E3268" t="str">
        <x:v>BOTTOM_04</x:v>
      </x:c>
      <x:c r="F3268" t="str">
        <x:v>ShieldSkeleton</x:v>
      </x:c>
      <x:c r="G3268" s="410" t="n">
        <x:v>52</x:v>
      </x:c>
    </x:row>
    <x:row r="3269">
      <x:c r="A3269" t="str">
        <x:v>Stage01</x:v>
      </x:c>
      <x:c r="B3269" t="str">
        <x:v>WAVE_60</x:v>
      </x:c>
      <x:c r="C3269" s="409" t="n">
        <x:v>598.55</x:v>
      </x:c>
      <x:c r="D3269" s="410" t="n">
        <x:v>109</x:v>
      </x:c>
      <x:c r="E3269" t="str">
        <x:v>LEFT_05</x:v>
      </x:c>
      <x:c r="F3269" t="str">
        <x:v>GoblinMelee</x:v>
      </x:c>
      <x:c r="G3269" s="410" t="n">
        <x:v>52</x:v>
      </x:c>
    </x:row>
    <x:row r="3270">
      <x:c r="A3270" t="str">
        <x:v>Stage01</x:v>
      </x:c>
      <x:c r="B3270" t="str">
        <x:v>WAVE_60</x:v>
      </x:c>
      <x:c r="C3270" s="409" t="n">
        <x:v>598.62</x:v>
      </x:c>
      <x:c r="D3270" s="410" t="n">
        <x:v>110</x:v>
      </x:c>
      <x:c r="E3270" t="str">
        <x:v>TOP_07</x:v>
      </x:c>
      <x:c r="F3270" t="str">
        <x:v>GoblinRanged</x:v>
      </x:c>
      <x:c r="G3270" s="410" t="n">
        <x:v>52</x:v>
      </x:c>
    </x:row>
    <x:row r="3271">
      <x:c r="A3271" t="str">
        <x:v>Stage01</x:v>
      </x:c>
      <x:c r="B3271" t="str">
        <x:v>WAVE_60</x:v>
      </x:c>
      <x:c r="C3271" s="409" t="n">
        <x:v>598.69</x:v>
      </x:c>
      <x:c r="D3271" s="410" t="n">
        <x:v>111</x:v>
      </x:c>
      <x:c r="E3271" t="str">
        <x:v>RIGHT_08</x:v>
      </x:c>
      <x:c r="F3271" t="str">
        <x:v>GoblinMelee</x:v>
      </x:c>
      <x:c r="G3271" s="410" t="n">
        <x:v>52</x:v>
      </x:c>
    </x:row>
    <x:row r="3272">
      <x:c r="A3272" t="str">
        <x:v>Stage01</x:v>
      </x:c>
      <x:c r="B3272" t="str">
        <x:v>WAVE_60</x:v>
      </x:c>
      <x:c r="C3272" s="409" t="n">
        <x:v>598.76</x:v>
      </x:c>
      <x:c r="D3272" s="410" t="n">
        <x:v>112</x:v>
      </x:c>
      <x:c r="E3272" t="str">
        <x:v>BOTTOM_01</x:v>
      </x:c>
      <x:c r="F3272" t="str">
        <x:v>GoblinMelee</x:v>
      </x:c>
      <x:c r="G3272" s="410" t="n">
        <x:v>52</x:v>
      </x:c>
    </x:row>
    <x:row r="3273">
      <x:c r="A3273" t="str">
        <x:v>Stage01</x:v>
      </x:c>
      <x:c r="B3273" t="str">
        <x:v>WAVE_60</x:v>
      </x:c>
      <x:c r="C3273" s="409" t="n">
        <x:v>598.83</x:v>
      </x:c>
      <x:c r="D3273" s="410" t="n">
        <x:v>113</x:v>
      </x:c>
      <x:c r="E3273" t="str">
        <x:v>LEFT_02</x:v>
      </x:c>
      <x:c r="F3273" t="str">
        <x:v>GoblinRanged</x:v>
      </x:c>
      <x:c r="G3273" s="410" t="n">
        <x:v>52</x:v>
      </x:c>
    </x:row>
    <x:row r="3274">
      <x:c r="A3274" t="str">
        <x:v>Stage01</x:v>
      </x:c>
      <x:c r="B3274" t="str">
        <x:v>WAVE_60</x:v>
      </x:c>
      <x:c r="C3274" s="409" t="n">
        <x:v>598.9</x:v>
      </x:c>
      <x:c r="D3274" s="410" t="n">
        <x:v>114</x:v>
      </x:c>
      <x:c r="E3274" t="str">
        <x:v>TOP_04</x:v>
      </x:c>
      <x:c r="F3274" t="str">
        <x:v>ShieldSkeleton</x:v>
      </x:c>
      <x:c r="G3274" s="410" t="n">
        <x:v>52</x:v>
      </x:c>
    </x:row>
    <x:row r="3275">
      <x:c r="A3275" t="str">
        <x:v>Stage01</x:v>
      </x:c>
      <x:c r="B3275" t="str">
        <x:v>WAVE_60</x:v>
      </x:c>
      <x:c r="C3275" s="409" t="n">
        <x:v>598.97</x:v>
      </x:c>
      <x:c r="D3275" s="410" t="n">
        <x:v>115</x:v>
      </x:c>
      <x:c r="E3275" t="str">
        <x:v>RIGHT_05</x:v>
      </x:c>
      <x:c r="F3275" t="str">
        <x:v>GoblinMelee</x:v>
      </x:c>
      <x:c r="G3275" s="410" t="n">
        <x:v>52</x:v>
      </x:c>
    </x:row>
    <x:row r="3276">
      <x:c r="A3276" t="str">
        <x:v>Stage01</x:v>
      </x:c>
      <x:c r="B3276" t="str">
        <x:v>WAVE_60</x:v>
      </x:c>
      <x:c r="C3276" s="409" t="n">
        <x:v>599.04</x:v>
      </x:c>
      <x:c r="D3276" s="410" t="n">
        <x:v>116</x:v>
      </x:c>
      <x:c r="E3276" t="str">
        <x:v>BOTTOM_06</x:v>
      </x:c>
      <x:c r="F3276" t="str">
        <x:v>FlyingEye</x:v>
      </x:c>
      <x:c r="G3276" s="410" t="n">
        <x:v>52</x:v>
      </x:c>
    </x:row>
    <x:row r="3277">
      <x:c r="A3277" t="str">
        <x:v>Stage01</x:v>
      </x:c>
      <x:c r="B3277" t="str">
        <x:v>WAVE_60</x:v>
      </x:c>
      <x:c r="C3277" s="409" t="n">
        <x:v>599.11</x:v>
      </x:c>
      <x:c r="D3277" s="410" t="n">
        <x:v>117</x:v>
      </x:c>
      <x:c r="E3277" t="str">
        <x:v>LEFT_07</x:v>
      </x:c>
      <x:c r="F3277" t="str">
        <x:v>GoblinRanged</x:v>
      </x:c>
      <x:c r="G3277" s="410" t="n">
        <x:v>52</x:v>
      </x:c>
    </x:row>
    <x:row r="3278">
      <x:c r="A3278" t="str">
        <x:v>Stage01</x:v>
      </x:c>
      <x:c r="B3278" t="str">
        <x:v>WAVE_60</x:v>
      </x:c>
      <x:c r="C3278" s="409" t="n">
        <x:v>599.18</x:v>
      </x:c>
      <x:c r="D3278" s="410" t="n">
        <x:v>118</x:v>
      </x:c>
      <x:c r="E3278" t="str">
        <x:v>TOP_01</x:v>
      </x:c>
      <x:c r="F3278" t="str">
        <x:v>GoblinMelee</x:v>
      </x:c>
      <x:c r="G3278" s="410" t="n">
        <x:v>52</x:v>
      </x:c>
    </x:row>
    <x:row r="3279">
      <x:c r="A3279" t="str">
        <x:v>Stage01</x:v>
      </x:c>
      <x:c r="B3279" t="str">
        <x:v>WAVE_60</x:v>
      </x:c>
      <x:c r="C3279" s="409" t="n">
        <x:v>599.25</x:v>
      </x:c>
      <x:c r="D3279" s="410" t="n">
        <x:v>119</x:v>
      </x:c>
      <x:c r="E3279" t="str">
        <x:v>RIGHT_02</x:v>
      </x:c>
      <x:c r="F3279" t="str">
        <x:v>GoblinRanged</x:v>
      </x:c>
      <x:c r="G3279" s="410" t="n">
        <x:v>52</x:v>
      </x:c>
    </x:row>
    <x:row r="3280">
      <x:c r="A3280" t="str">
        <x:v>Stage01</x:v>
      </x:c>
      <x:c r="B3280" t="str">
        <x:v>WAVE_60</x:v>
      </x:c>
      <x:c r="C3280" s="409" t="n">
        <x:v>599.32</x:v>
      </x:c>
      <x:c r="D3280" s="410" t="n">
        <x:v>120</x:v>
      </x:c>
      <x:c r="E3280" t="str">
        <x:v>BOTTOM_03</x:v>
      </x:c>
      <x:c r="F3280" t="str">
        <x:v>GoblinMelee</x:v>
      </x:c>
      <x:c r="G3280" s="410" t="n">
        <x:v>52</x:v>
      </x:c>
    </x:row>
    <x:row r="3281">
      <x:c r="A3281" t="str">
        <x:v>Stage01</x:v>
      </x:c>
      <x:c r="B3281" t="str">
        <x:v>WAVE_60</x:v>
      </x:c>
      <x:c r="C3281" s="409" t="n">
        <x:v>599.39</x:v>
      </x:c>
      <x:c r="D3281" s="410" t="n">
        <x:v>121</x:v>
      </x:c>
      <x:c r="E3281" t="str">
        <x:v>LEFT_04</x:v>
      </x:c>
      <x:c r="F3281" t="str">
        <x:v>ShieldSkeleton</x:v>
      </x:c>
      <x:c r="G3281" s="410" t="n">
        <x:v>52</x:v>
      </x:c>
    </x:row>
    <x:row r="3282">
      <x:c r="A3282" t="str">
        <x:v>Stage01</x:v>
      </x:c>
      <x:c r="B3282" t="str">
        <x:v>WAVE_60</x:v>
      </x:c>
      <x:c r="C3282" s="409" t="n">
        <x:v>599.46</x:v>
      </x:c>
      <x:c r="D3282" s="410" t="n">
        <x:v>122</x:v>
      </x:c>
      <x:c r="E3282" t="str">
        <x:v>TOP_06</x:v>
      </x:c>
      <x:c r="F3282" t="str">
        <x:v>GoblinMelee</x:v>
      </x:c>
      <x:c r="G3282" s="410" t="n">
        <x:v>52</x:v>
      </x:c>
    </x:row>
    <x:row r="3283">
      <x:c r="A3283" t="str">
        <x:v>Stage01</x:v>
      </x:c>
      <x:c r="B3283" t="str">
        <x:v>WAVE_60</x:v>
      </x:c>
      <x:c r="C3283" s="409" t="n">
        <x:v>599.53</x:v>
      </x:c>
      <x:c r="D3283" s="410" t="n">
        <x:v>123</x:v>
      </x:c>
      <x:c r="E3283" t="str">
        <x:v>RIGHT_07</x:v>
      </x:c>
      <x:c r="F3283" t="str">
        <x:v>GoblinRanged</x:v>
      </x:c>
      <x:c r="G3283" s="410" t="n">
        <x:v>52</x:v>
      </x:c>
    </x:row>
    <x:row r="3284">
      <x:c r="A3284" t="str">
        <x:v>Stage01</x:v>
      </x:c>
      <x:c r="B3284" t="str">
        <x:v>WAVE_60</x:v>
      </x:c>
      <x:c r="C3284" s="409" t="n">
        <x:v>599.6</x:v>
      </x:c>
      <x:c r="D3284" s="410" t="n">
        <x:v>124</x:v>
      </x:c>
      <x:c r="E3284" t="str">
        <x:v>BOTTOM_08</x:v>
      </x:c>
      <x:c r="F3284" t="str">
        <x:v>GoblinMelee</x:v>
      </x:c>
      <x:c r="G3284" s="410" t="n">
        <x:v>52</x:v>
      </x:c>
    </x:row>
  </x:sheetData>
  <x:conditionalFormatting sqref="A2:G79">
    <x:cfRule type="expression" dxfId="0" priority="1">
      <x:formula>MOD(ROW(),2)=0</x:formula>
    </x:cfRule>
  </x:conditionalFormatting>
  <x:conditionalFormatting sqref="A2:G251">
    <x:cfRule type="expression" dxfId="1" priority="2">
      <x:formula>MOD(ROW(),2)=0</x:formula>
    </x:cfRule>
    <x:cfRule type="expression" dxfId="2" priority="3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2e397c7e3747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6" width="23" customWidth="1"/>
    <x:col min="7" max="7" width="16" hidden="0" customWidth="1"/>
    <x:col min="8" max="8" width="31" hidden="0" customWidth="1"/>
    <x:col min="9" max="9" width="31" hidden="0" customWidth="1"/>
    <x:col min="10" max="10" width="22" hidden="0" customWidth="1"/>
    <x:col min="11" max="11" width="14" hidden="0" customWidth="1"/>
    <x:col min="12" max="12" width="20" hidden="0" customWidth="1"/>
    <x:col min="13" max="13" width="11" hidden="0" customWidth="1"/>
    <x:col min="14" max="14" width="1" customWidth="1"/>
    <x:col min="5" max="5" width="20" hidden="0" customWidth="1"/>
    <x:col min="6" max="6" width="19" hidden="0" customWidth="1"/>
  </x:cols>
  <x:sheetData>
    <x:row r="1" ht="30" customHeight="1">
      <x:c r="A1" s="286" t="str">
        <x:v>PlayerId</x:v>
      </x:c>
      <x:c r="B1" s="286" t="str">
        <x:v>StartLevel</x:v>
      </x:c>
      <x:c r="C1" s="286" t="str">
        <x:v>BaseMaxHp</x:v>
      </x:c>
      <x:c r="D1" s="286" t="str">
        <x:v>BaseAttackPower</x:v>
      </x:c>
      <x:c r="E1" s="286" t="str">
        <x:v>AttackGrowthRate</x:v>
      </x:c>
      <x:c r="F1" s="286" t="str">
        <x:v>RearAttackMultiplier</x:v>
      </x:c>
      <x:c r="G1" s="286" t="str">
        <x:v>BaseMoveSpeed</x:v>
      </x:c>
      <x:c r="H1" s="286" t="str">
        <x:v>PathEnemyApproachSpeedMultiplier</x:v>
      </x:c>
      <x:c r="I1" s="286" t="str">
        <x:v>PostKillEscapeSpeedMultiplier</x:v>
      </x:c>
      <x:c r="J1" s="286" t="str">
        <x:v>MoveArrivalTolerance</x:v>
      </x:c>
      <x:c r="K1" s="286" t="str">
        <x:v>AttackRange</x:v>
      </x:c>
      <x:c r="L1" s="286" t="str">
        <x:v>BaseCriticalChance</x:v>
      </x:c>
      <x:c r="M1" s="286" t="str">
        <x:v>Enabled</x:v>
      </x:c>
      <x:c r="N1"/>
    </x:row>
    <x:row r="2" ht="22" customHeight="1">
      <x:c r="A2" s="45" t="str">
        <x:v>LightBandit</x:v>
      </x:c>
      <x:c r="B2" s="45" t="n">
        <x:v>1</x:v>
      </x:c>
      <x:c r="C2" s="45" t="n">
        <x:v>10</x:v>
      </x:c>
      <x:c r="D2" s="52" t="n">
        <x:v>1</x:v>
      </x:c>
      <x:c r="E2" s="51" t="n">
        <x:v>0.65</x:v>
      </x:c>
      <x:c r="F2" s="52" t="n">
        <x:v>3</x:v>
      </x:c>
      <x:c r="G2" s="51" t="n">
        <x:v>10</x:v>
      </x:c>
      <x:c r="H2" s="51" t="n">
        <x:v>1.1</x:v>
      </x:c>
      <x:c r="I2" s="51" t="n">
        <x:v>1.2</x:v>
      </x:c>
      <x:c r="J2" s="51" t="n">
        <x:v>0.08</x:v>
      </x:c>
      <x:c r="K2" s="51" t="n">
        <x:v>1.2</x:v>
      </x:c>
      <x:c r="L2" s="55" t="n">
        <x:v>0</x:v>
      </x:c>
      <x:c r="M2" s="46" t="b">
        <x:v>1</x:v>
      </x:c>
      <x:c r="N2"/>
    </x:row>
  </x:sheetData>
  <x:pageMargins left="0.7" right="0.7" top="0.75" bottom="0.75" header="0.3" footer="0.3"/>
  <x:tableParts count="1">
    <x:tablePart xmlns:r="http://schemas.openxmlformats.org/officeDocument/2006/relationships" r:id="Rd3350819d8e14e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  <x:col min="3" max="3" width="23" hidden="0" customWidth="1"/>
  </x:cols>
  <x:sheetData>
    <x:row r="1" ht="30" customHeight="1">
      <x:c r="A1" s="286" t="str">
        <x:v>Level</x:v>
      </x:c>
      <x:c r="B1" s="286" t="str">
        <x:v>RequiredExp</x:v>
      </x:c>
      <x:c r="C1" s="286" t="str">
        <x:v>CumulativeExpToNext</x:v>
      </x:c>
    </x:row>
    <x:row r="2" ht="20" customHeight="1">
      <x:c r="A2" s="54" t="n">
        <x:v>1</x:v>
      </x:c>
      <x:c r="B2" s="54" t="n">
        <x:v>8</x:v>
      </x:c>
      <x:c r="C2" s="56" t="n">
        <x:v>8</x:v>
      </x:c>
    </x:row>
    <x:row r="3" ht="20" customHeight="1">
      <x:c r="A3" s="54" t="n">
        <x:v>2</x:v>
      </x:c>
      <x:c r="B3" s="54" t="n">
        <x:v>10</x:v>
      </x:c>
      <x:c r="C3" s="56" t="n">
        <x:v>18</x:v>
      </x:c>
    </x:row>
    <x:row r="4" ht="20" customHeight="1">
      <x:c r="A4" s="54" t="n">
        <x:v>3</x:v>
      </x:c>
      <x:c r="B4" s="54" t="n">
        <x:v>12</x:v>
      </x:c>
      <x:c r="C4" s="56" t="n">
        <x:v>30</x:v>
      </x:c>
    </x:row>
    <x:row r="5" ht="20" customHeight="1">
      <x:c r="A5" s="54" t="n">
        <x:v>4</x:v>
      </x:c>
      <x:c r="B5" s="54" t="n">
        <x:v>14</x:v>
      </x:c>
      <x:c r="C5" s="56" t="n">
        <x:v>44</x:v>
      </x:c>
    </x:row>
    <x:row r="6" ht="20" customHeight="1">
      <x:c r="A6" s="54" t="n">
        <x:v>5</x:v>
      </x:c>
      <x:c r="B6" s="54" t="n">
        <x:v>16</x:v>
      </x:c>
      <x:c r="C6" s="56" t="n">
        <x:v>60</x:v>
      </x:c>
    </x:row>
    <x:row r="7" ht="20" customHeight="1">
      <x:c r="A7" s="54" t="n">
        <x:v>6</x:v>
      </x:c>
      <x:c r="B7" s="54" t="n">
        <x:v>18</x:v>
      </x:c>
      <x:c r="C7" s="56" t="n">
        <x:v>78</x:v>
      </x:c>
    </x:row>
    <x:row r="8" ht="20" customHeight="1">
      <x:c r="A8" s="54" t="n">
        <x:v>7</x:v>
      </x:c>
      <x:c r="B8" s="54" t="n">
        <x:v>20</x:v>
      </x:c>
      <x:c r="C8" s="56" t="n">
        <x:v>98</x:v>
      </x:c>
    </x:row>
    <x:row r="9" ht="20" customHeight="1">
      <x:c r="A9" s="54" t="n">
        <x:v>8</x:v>
      </x:c>
      <x:c r="B9" s="54" t="n">
        <x:v>23</x:v>
      </x:c>
      <x:c r="C9" s="56" t="n">
        <x:v>121</x:v>
      </x:c>
    </x:row>
    <x:row r="10" ht="20" customHeight="1">
      <x:c r="A10" s="54" t="n">
        <x:v>9</x:v>
      </x:c>
      <x:c r="B10" s="54" t="n">
        <x:v>25</x:v>
      </x:c>
      <x:c r="C10" s="56" t="n">
        <x:v>146</x:v>
      </x:c>
    </x:row>
    <x:row r="11" ht="20" customHeight="1">
      <x:c r="A11" s="54" t="n">
        <x:v>10</x:v>
      </x:c>
      <x:c r="B11" s="54" t="n">
        <x:v>28</x:v>
      </x:c>
      <x:c r="C11" s="56" t="n">
        <x:v>174</x:v>
      </x:c>
    </x:row>
    <x:row r="12" ht="20" customHeight="1">
      <x:c r="A12" s="54" t="n">
        <x:v>11</x:v>
      </x:c>
      <x:c r="B12" s="54" t="n">
        <x:v>30</x:v>
      </x:c>
      <x:c r="C12" s="56" t="n">
        <x:v>204</x:v>
      </x:c>
    </x:row>
    <x:row r="13" ht="20" customHeight="1">
      <x:c r="A13" s="54" t="n">
        <x:v>12</x:v>
      </x:c>
      <x:c r="B13" s="54" t="n">
        <x:v>33</x:v>
      </x:c>
      <x:c r="C13" s="56" t="n">
        <x:v>237</x:v>
      </x:c>
    </x:row>
    <x:row r="14" ht="20" customHeight="1">
      <x:c r="A14" s="54" t="n">
        <x:v>13</x:v>
      </x:c>
      <x:c r="B14" s="54" t="n">
        <x:v>35</x:v>
      </x:c>
      <x:c r="C14" s="56" t="n">
        <x:v>272</x:v>
      </x:c>
    </x:row>
    <x:row r="15" ht="20" customHeight="1">
      <x:c r="A15" s="54" t="n">
        <x:v>14</x:v>
      </x:c>
      <x:c r="B15" s="54" t="n">
        <x:v>38</x:v>
      </x:c>
      <x:c r="C15" s="56" t="n">
        <x:v>310</x:v>
      </x:c>
    </x:row>
    <x:row r="16" ht="20" customHeight="1">
      <x:c r="A16" s="54" t="n">
        <x:v>15</x:v>
      </x:c>
      <x:c r="B16" s="54" t="n">
        <x:v>40</x:v>
      </x:c>
      <x:c r="C16" s="56" t="n">
        <x:v>350</x:v>
      </x:c>
    </x:row>
    <x:row r="17" ht="20" customHeight="1">
      <x:c r="A17" s="54" t="n">
        <x:v>16</x:v>
      </x:c>
      <x:c r="B17" s="54" t="n">
        <x:v>43</x:v>
      </x:c>
      <x:c r="C17" s="56" t="n">
        <x:v>393</x:v>
      </x:c>
    </x:row>
    <x:row r="18" ht="20" customHeight="1">
      <x:c r="A18" s="54" t="n">
        <x:v>17</x:v>
      </x:c>
      <x:c r="B18" s="54" t="n">
        <x:v>46</x:v>
      </x:c>
      <x:c r="C18" s="56" t="n">
        <x:v>439</x:v>
      </x:c>
    </x:row>
    <x:row r="19" ht="20" customHeight="1">
      <x:c r="A19" s="54" t="n">
        <x:v>18</x:v>
      </x:c>
      <x:c r="B19" s="54" t="n">
        <x:v>49</x:v>
      </x:c>
      <x:c r="C19" s="56" t="n">
        <x:v>488</x:v>
      </x:c>
    </x:row>
    <x:row r="20" ht="20" customHeight="1">
      <x:c r="A20" s="54" t="n">
        <x:v>19</x:v>
      </x:c>
      <x:c r="B20" s="54" t="n">
        <x:v>52</x:v>
      </x:c>
      <x:c r="C20" s="56" t="n">
        <x:v>540</x:v>
      </x:c>
    </x:row>
    <x:row r="21" ht="20" customHeight="1">
      <x:c r="A21" s="54" t="n">
        <x:v>20</x:v>
      </x:c>
      <x:c r="B21" s="54" t="n">
        <x:v>55</x:v>
      </x:c>
      <x:c r="C21" s="56" t="n">
        <x:v>595</x:v>
      </x:c>
    </x:row>
    <x:row r="22">
      <x:c r="A22" t="n">
        <x:v>21</x:v>
      </x:c>
      <x:c r="B22" t="n">
        <x:v>58</x:v>
      </x:c>
      <x:c r="C22" t="n">
        <x:v>653</x:v>
      </x:c>
    </x:row>
    <x:row r="23">
      <x:c r="A23" t="n">
        <x:v>22</x:v>
      </x:c>
      <x:c r="B23" t="n">
        <x:v>61</x:v>
      </x:c>
      <x:c r="C23" t="n">
        <x:v>714</x:v>
      </x:c>
    </x:row>
    <x:row r="24">
      <x:c r="A24" t="n">
        <x:v>23</x:v>
      </x:c>
      <x:c r="B24" t="n">
        <x:v>64</x:v>
      </x:c>
      <x:c r="C24" t="n">
        <x:v>778</x:v>
      </x:c>
    </x:row>
    <x:row r="25">
      <x:c r="A25" t="n">
        <x:v>24</x:v>
      </x:c>
      <x:c r="B25" t="n">
        <x:v>67</x:v>
      </x:c>
      <x:c r="C25" t="n">
        <x:v>845</x:v>
      </x:c>
    </x:row>
    <x:row r="26">
      <x:c r="A26" t="n">
        <x:v>25</x:v>
      </x:c>
      <x:c r="B26" t="n">
        <x:v>70</x:v>
      </x:c>
      <x:c r="C26" t="n">
        <x:v>915</x:v>
      </x:c>
    </x:row>
    <x:row r="27">
      <x:c r="A27" t="n">
        <x:v>26</x:v>
      </x:c>
      <x:c r="B27" t="n">
        <x:v>73</x:v>
      </x:c>
      <x:c r="C27" t="n">
        <x:v>988</x:v>
      </x:c>
    </x:row>
    <x:row r="28">
      <x:c r="A28" t="n">
        <x:v>27</x:v>
      </x:c>
      <x:c r="B28" t="n">
        <x:v>76</x:v>
      </x:c>
      <x:c r="C28" t="n">
        <x:v>1064</x:v>
      </x:c>
    </x:row>
    <x:row r="29">
      <x:c r="A29" t="n">
        <x:v>28</x:v>
      </x:c>
      <x:c r="B29" t="n">
        <x:v>80</x:v>
      </x:c>
      <x:c r="C29" t="n">
        <x:v>1144</x:v>
      </x:c>
    </x:row>
    <x:row r="30">
      <x:c r="A30" t="n">
        <x:v>29</x:v>
      </x:c>
      <x:c r="B30" t="n">
        <x:v>83</x:v>
      </x:c>
      <x:c r="C30" t="n">
        <x:v>1227</x:v>
      </x:c>
    </x:row>
    <x:row r="31">
      <x:c r="A31" t="n">
        <x:v>30</x:v>
      </x:c>
      <x:c r="B31" t="n">
        <x:v>87</x:v>
      </x:c>
      <x:c r="C31" t="n">
        <x:v>1314</x:v>
      </x:c>
    </x:row>
    <x:row r="32">
      <x:c r="A32" t="n">
        <x:v>31</x:v>
      </x:c>
      <x:c r="B32" t="n">
        <x:v>90</x:v>
      </x:c>
      <x:c r="C32" t="n">
        <x:v>1404</x:v>
      </x:c>
    </x:row>
    <x:row r="33">
      <x:c r="A33" t="n">
        <x:v>32</x:v>
      </x:c>
      <x:c r="B33" t="n">
        <x:v>94</x:v>
      </x:c>
      <x:c r="C33" t="n">
        <x:v>1498</x:v>
      </x:c>
    </x:row>
    <x:row r="34">
      <x:c r="A34" t="n">
        <x:v>33</x:v>
      </x:c>
      <x:c r="B34" t="n">
        <x:v>97</x:v>
      </x:c>
      <x:c r="C34" t="n">
        <x:v>1595</x:v>
      </x:c>
    </x:row>
    <x:row r="35">
      <x:c r="A35" t="n">
        <x:v>34</x:v>
      </x:c>
      <x:c r="B35" t="n">
        <x:v>101</x:v>
      </x:c>
      <x:c r="C35" t="n">
        <x:v>1696</x:v>
      </x:c>
    </x:row>
    <x:row r="36">
      <x:c r="A36" t="n">
        <x:v>35</x:v>
      </x:c>
      <x:c r="B36" t="n">
        <x:v>104</x:v>
      </x:c>
      <x:c r="C36" t="n">
        <x:v>1800</x:v>
      </x:c>
    </x:row>
    <x:row r="37">
      <x:c r="A37" t="n">
        <x:v>36</x:v>
      </x:c>
      <x:c r="B37" t="n">
        <x:v>108</x:v>
      </x:c>
      <x:c r="C37" t="n">
        <x:v>1908</x:v>
      </x:c>
    </x:row>
    <x:row r="38">
      <x:c r="A38" t="n">
        <x:v>37</x:v>
      </x:c>
      <x:c r="B38" t="n">
        <x:v>112</x:v>
      </x:c>
      <x:c r="C38" t="n">
        <x:v>2020</x:v>
      </x:c>
    </x:row>
    <x:row r="39">
      <x:c r="A39" t="n">
        <x:v>38</x:v>
      </x:c>
      <x:c r="B39" t="n">
        <x:v>116</x:v>
      </x:c>
      <x:c r="C39" t="n">
        <x:v>2136</x:v>
      </x:c>
    </x:row>
    <x:row r="40">
      <x:c r="A40" t="n">
        <x:v>39</x:v>
      </x:c>
      <x:c r="B40" t="n">
        <x:v>120</x:v>
      </x:c>
      <x:c r="C40" t="n">
        <x:v>2256</x:v>
      </x:c>
    </x:row>
    <x:row r="41">
      <x:c r="A41" t="n">
        <x:v>40</x:v>
      </x:c>
      <x:c r="B41" t="n">
        <x:v>124</x:v>
      </x:c>
      <x:c r="C41" t="n">
        <x:v>2380</x:v>
      </x:c>
    </x:row>
    <x:row r="42">
      <x:c r="A42" t="n">
        <x:v>41</x:v>
      </x:c>
      <x:c r="B42" t="n">
        <x:v>128</x:v>
      </x:c>
      <x:c r="C42" t="n">
        <x:v>2508</x:v>
      </x:c>
    </x:row>
    <x:row r="43">
      <x:c r="A43" t="n">
        <x:v>42</x:v>
      </x:c>
      <x:c r="B43" t="n">
        <x:v>132</x:v>
      </x:c>
      <x:c r="C43" t="n">
        <x:v>2640</x:v>
      </x:c>
    </x:row>
    <x:row r="44">
      <x:c r="A44" t="n">
        <x:v>43</x:v>
      </x:c>
      <x:c r="B44" t="n">
        <x:v>136</x:v>
      </x:c>
      <x:c r="C44" t="n">
        <x:v>2776</x:v>
      </x:c>
    </x:row>
    <x:row r="45">
      <x:c r="A45" t="n">
        <x:v>44</x:v>
      </x:c>
      <x:c r="B45" t="n">
        <x:v>140</x:v>
      </x:c>
      <x:c r="C45" t="n">
        <x:v>2916</x:v>
      </x:c>
    </x:row>
    <x:row r="46">
      <x:c r="A46" t="n">
        <x:v>45</x:v>
      </x:c>
      <x:c r="B46" t="n">
        <x:v>144</x:v>
      </x:c>
      <x:c r="C46" t="n">
        <x:v>3060</x:v>
      </x:c>
    </x:row>
    <x:row r="47">
      <x:c r="A47" t="n">
        <x:v>46</x:v>
      </x:c>
      <x:c r="B47" t="n">
        <x:v>148</x:v>
      </x:c>
      <x:c r="C47" t="n">
        <x:v>3208</x:v>
      </x:c>
    </x:row>
    <x:row r="48">
      <x:c r="A48" t="n">
        <x:v>47</x:v>
      </x:c>
      <x:c r="B48" t="n">
        <x:v>152</x:v>
      </x:c>
      <x:c r="C48" t="n">
        <x:v>3360</x:v>
      </x:c>
    </x:row>
    <x:row r="49">
      <x:c r="A49" t="n">
        <x:v>48</x:v>
      </x:c>
      <x:c r="B49" t="n">
        <x:v>157</x:v>
      </x:c>
      <x:c r="C49" t="n">
        <x:v>3517</x:v>
      </x:c>
    </x:row>
    <x:row r="50">
      <x:c r="A50" t="n">
        <x:v>49</x:v>
      </x:c>
      <x:c r="B50" t="n">
        <x:v>161</x:v>
      </x:c>
      <x:c r="C50" t="n">
        <x:v>3678</x:v>
      </x:c>
    </x:row>
    <x:row r="51">
      <x:c r="A51" t="n">
        <x:v>50</x:v>
      </x:c>
      <x:c r="B51" t="n">
        <x:v>0</x:v>
      </x:c>
      <x:c r="C51" t="n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922ddcd3ae4f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</x:cols>
  <x:sheetData>
    <x:row r="1" ht="30" customHeight="1">
      <x:c r="A1" s="286" t="str">
        <x:v>Level</x:v>
      </x:c>
      <x:c r="B1" s="286" t="str">
        <x:v>RequiredExp</x:v>
      </x:c>
    </x:row>
    <x:row r="2" ht="20" customHeight="1">
      <x:c r="A2" s="54" t="n">
        <x:v>1</x:v>
      </x:c>
      <x:c r="B2" s="54" t="n">
        <x:v>40</x:v>
      </x:c>
    </x:row>
    <x:row r="3" ht="20" customHeight="1">
      <x:c r="A3" s="54" t="n">
        <x:v>2</x:v>
      </x:c>
      <x:c r="B3" s="54" t="n">
        <x:v>150</x:v>
      </x:c>
    </x:row>
    <x:row r="4" ht="20" customHeight="1">
      <x:c r="A4" s="54" t="n">
        <x:v>3</x:v>
      </x:c>
      <x:c r="B4" s="54" t="n">
        <x:v>300</x:v>
      </x:c>
    </x:row>
    <x:row r="5" ht="20" customHeight="1">
      <x:c r="A5" s="54" t="n">
        <x:v>4</x:v>
      </x:c>
      <x:c r="B5" s="54" t="n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649dc3fcdd42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4" width="28" customWidth="1"/>
    <x:col min="1" max="1" width="23" hidden="0" customWidth="1"/>
    <x:col min="2" max="2" width="21" hidden="0" customWidth="1"/>
    <x:col min="3" max="3" width="24" hidden="0" customWidth="1"/>
    <x:col min="4" max="4" width="26" hidden="0" customWidth="1"/>
  </x:cols>
  <x:sheetData>
    <x:row r="1" ht="30" customHeight="1">
      <x:c r="A1" s="286" t="str">
        <x:v>AccountExpScoreUnit</x:v>
      </x:c>
      <x:c r="B1" s="286" t="str">
        <x:v>AccountExpPerUnit</x:v>
      </x:c>
      <x:c r="C1" s="286" t="str">
        <x:v>CriticalChancePerCard</x:v>
      </x:c>
      <x:c r="D1" s="286" t="str">
        <x:v>MaximumCriticalChance</x:v>
      </x:c>
    </x:row>
    <x:row r="2" ht="20" customHeight="1">
      <x:c r="A2" s="54" t="n">
        <x:v>5</x:v>
      </x:c>
      <x:c r="B2" s="54" t="n">
        <x:v>1</x:v>
      </x:c>
      <x:c r="C2" s="55" t="n">
        <x:v>0.05</x:v>
      </x:c>
      <x:c r="D2" s="55" t="n">
        <x:v>0.5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79dadf657d742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2" customWidth="1"/>
    <x:col min="3" max="7" width="18" customWidth="1"/>
    <x:col min="8" max="9" width="16" customWidth="1"/>
    <x:col min="10" max="12" width="18" customWidth="1"/>
    <x:col min="1" max="1" width="22" hidden="0" customWidth="1"/>
    <x:col min="2" max="2" width="31" hidden="0" customWidth="1"/>
    <x:col min="3" max="3" width="18" hidden="0" customWidth="1"/>
    <x:col min="4" max="4" width="58" hidden="0" customWidth="1"/>
    <x:col min="5" max="5" width="12" hidden="0" customWidth="1"/>
    <x:col min="6" max="6" width="21" hidden="0" customWidth="1"/>
    <x:col min="7" max="7" width="11" hidden="0" customWidth="1"/>
    <x:col min="8" max="8" width="17" hidden="0" customWidth="1"/>
    <x:col min="9" max="9" width="17" hidden="0" customWidth="1"/>
    <x:col min="10" max="10" width="20" hidden="0" customWidth="1"/>
    <x:col min="11" max="11" width="12" hidden="0" customWidth="1"/>
    <x:col min="12" max="12" width="22" hidden="0" customWidth="1"/>
    <x:col min="13" max="13" width="11" hidden="0" customWidth="1"/>
    <x:col min="14" max="14" width="26" hidden="0" customWidth="1"/>
  </x:cols>
  <x:sheetData>
    <x:row r="1" ht="30" customHeight="1">
      <x:c r="A1" s="286" t="str">
        <x:v>CardId</x:v>
      </x:c>
      <x:c r="B1" s="286" t="str">
        <x:v>NameKey</x:v>
      </x:c>
      <x:c r="C1" s="286" t="str">
        <x:v>DisplayName</x:v>
      </x:c>
      <x:c r="D1" s="286" t="str">
        <x:v>Description</x:v>
      </x:c>
      <x:c r="E1" s="286" t="str">
        <x:v>EffectType</x:v>
      </x:c>
      <x:c r="F1" s="286" t="str">
        <x:v>TargetStat</x:v>
      </x:c>
      <x:c r="G1" s="286" t="str">
        <x:v>Operation</x:v>
      </x:c>
      <x:c r="H1" s="286" t="str">
        <x:v>Value</x:v>
      </x:c>
      <x:c r="I1" s="286" t="str">
        <x:v>MaxStack</x:v>
      </x:c>
      <x:c r="J1" s="286" t="str">
        <x:v>SelectionWeight</x:v>
      </x:c>
      <x:c r="K1" s="286" t="str">
        <x:v>MinPlayerLevel</x:v>
      </x:c>
      <x:c r="L1" s="286" t="str">
        <x:v>RequiredCardId</x:v>
      </x:c>
      <x:c r="M1" s="286" t="str">
        <x:v>Rarity</x:v>
      </x:c>
      <x:c r="N1" t="str">
        <x:v>IconId</x:v>
      </x:c>
      <x:c r="O1" t="str">
        <x:v>Enabled</x:v>
      </x:c>
    </x:row>
    <x:row r="2" ht="44" customHeight="1">
      <x:c r="A2" s="45" t="str">
        <x:v>CRIT_CHANCE_UP</x:v>
      </x:c>
      <x:c r="B2" s="45" t="str">
        <x:v>CARD_CRIT_NAME</x:v>
      </x:c>
      <x:c r="C2" s="45" t="str">
        <x:v>치명타 강화</x:v>
      </x:c>
      <x:c r="D2" s="80" t="str">
        <x:v>치명타 확률이 5% 증가합니다. 최대 50%까지 적용됩니다.</x:v>
      </x:c>
      <x:c r="E2" s="45" t="str">
        <x:v>StatModifier</x:v>
      </x:c>
      <x:c r="F2" s="51" t="str">
        <x:v>CriticalChance</x:v>
      </x:c>
      <x:c r="G2" s="54" t="str">
        <x:v>Add</x:v>
      </x:c>
      <x:c r="H2" s="51" t="n">
        <x:v>0.05</x:v>
      </x:c>
      <x:c r="I2" s="54" t="n">
        <x:v>5</x:v>
      </x:c>
      <x:c r="J2" s="57" t="n">
        <x:v>100</x:v>
      </x:c>
      <x:c r="K2" s="45" t="n">
        <x:v>1</x:v>
      </x:c>
      <x:c r="L2" s="45"/>
      <x:c r="M2" s="45" t="str">
        <x:v>일반</x:v>
      </x:c>
      <x:c r="N2" t="str">
        <x:v>ICON_CRIT</x:v>
      </x:c>
      <x:c r="O2" s="42" t="b">
        <x:v>1</x:v>
      </x:c>
    </x:row>
    <x:row r="3" ht="44" customHeight="1">
      <x:c r="A3" s="45" t="str">
        <x:v>MAX_HP_UP</x:v>
      </x:c>
      <x:c r="B3" s="45" t="str">
        <x:v>CARD_HP_NAME</x:v>
      </x:c>
      <x:c r="C3" s="45" t="str">
        <x:v>체력 강화</x:v>
      </x:c>
      <x:c r="D3" s="80" t="str">
        <x:v>최대 체력과 현재 체력이 5 증가합니다.</x:v>
      </x:c>
      <x:c r="E3" s="45" t="str">
        <x:v>StatModifier</x:v>
      </x:c>
      <x:c r="F3" s="51" t="str">
        <x:v>MaxHp</x:v>
      </x:c>
      <x:c r="G3" s="54" t="str">
        <x:v>Add</x:v>
      </x:c>
      <x:c r="H3" s="51" t="n">
        <x:v>5</x:v>
      </x:c>
      <x:c r="I3" s="54" t="n">
        <x:v>5</x:v>
      </x:c>
      <x:c r="J3" s="57" t="n">
        <x:v>100</x:v>
      </x:c>
      <x:c r="K3" s="45" t="n">
        <x:v>1</x:v>
      </x:c>
      <x:c r="L3" s="45"/>
      <x:c r="M3" s="45" t="str">
        <x:v>일반</x:v>
      </x:c>
      <x:c r="N3" t="str">
        <x:v>ICON_HP</x:v>
      </x:c>
      <x:c r="O3" s="42" t="b">
        <x:v>1</x:v>
      </x:c>
    </x:row>
    <x:row r="4" ht="44" customHeight="1">
      <x:c r="A4" s="45" t="str">
        <x:v>MOVE_SPEED_UP</x:v>
      </x:c>
      <x:c r="B4" s="45" t="str">
        <x:v>CARD_SPEED_NAME</x:v>
      </x:c>
      <x:c r="C4" s="45" t="str">
        <x:v>이동 속도 강화</x:v>
      </x:c>
      <x:c r="D4" s="80" t="str">
        <x:v>이동 속도가 1 증가합니다. 최대 레벨에서는 목적지까지 약 0.15초에 이동합니다.</x:v>
      </x:c>
      <x:c r="E4" s="45" t="str">
        <x:v>StatModifier</x:v>
      </x:c>
      <x:c r="F4" s="51" t="str">
        <x:v>MoveSpeed</x:v>
      </x:c>
      <x:c r="G4" s="54" t="str">
        <x:v>Add</x:v>
      </x:c>
      <x:c r="H4" s="51" t="n">
        <x:v>1</x:v>
      </x:c>
      <x:c r="I4" s="54" t="n">
        <x:v>5</x:v>
      </x:c>
      <x:c r="J4" s="57" t="n">
        <x:v>80</x:v>
      </x:c>
      <x:c r="K4" s="45" t="n">
        <x:v>2</x:v>
      </x:c>
      <x:c r="L4" s="45"/>
      <x:c r="M4" s="45" t="str">
        <x:v>희귀</x:v>
      </x:c>
      <x:c r="N4" t="str">
        <x:v>ICON_SPEED</x:v>
      </x:c>
      <x:c r="O4" s="42" t="b">
        <x:v>1</x:v>
      </x:c>
    </x:row>
    <x:row r="5" ht="44" customHeight="1">
      <x:c r="A5" s="45" t="str">
        <x:v>ATTACK_RANGE_UP</x:v>
      </x:c>
      <x:c r="B5" s="45" t="str">
        <x:v>CARD_RANGE_NAME</x:v>
      </x:c>
      <x:c r="C5" s="45" t="str">
        <x:v>공격 범위 강화</x:v>
      </x:c>
      <x:c r="D5" s="80" t="str">
        <x:v>기본 공격 사거리가 0.15 증가합니다.</x:v>
      </x:c>
      <x:c r="E5" s="45" t="str">
        <x:v>StatModifier</x:v>
      </x:c>
      <x:c r="F5" s="51" t="str">
        <x:v>AttackRange</x:v>
      </x:c>
      <x:c r="G5" s="54" t="str">
        <x:v>Add</x:v>
      </x:c>
      <x:c r="H5" s="51" t="n">
        <x:v>0.15</x:v>
      </x:c>
      <x:c r="I5" s="54" t="n">
        <x:v>3</x:v>
      </x:c>
      <x:c r="J5" s="57" t="n">
        <x:v>70</x:v>
      </x:c>
      <x:c r="K5" s="45" t="n">
        <x:v>3</x:v>
      </x:c>
      <x:c r="L5" s="45"/>
      <x:c r="M5" s="45" t="str">
        <x:v>희귀</x:v>
      </x:c>
      <x:c r="N5" t="str">
        <x:v>ICON_RANGE</x:v>
      </x:c>
      <x:c r="O5" s="42" t="b">
        <x:v>1</x:v>
      </x:c>
    </x:row>
    <x:row r="6" ht="44" customHeight="1">
      <x:c r="A6" s="45" t="str">
        <x:v>PIERCING_UP</x:v>
      </x:c>
      <x:c r="B6" s="45" t="str">
        <x:v>CARD_PIERCING_NAME</x:v>
      </x:c>
      <x:c r="C6" s="45" t="str">
        <x:v>관통</x:v>
      </x:c>
      <x:c r="D6" s="80" t="str">
        <x:v>0.4초 판정창 동안 적 1명을 추가로 관통합니다. 반복 공격해도 판정창이 끝날 때까지 카드 레벨만큼만 추가 관통하며, 최대 5명입니다.</x:v>
      </x:c>
      <x:c r="E6" s="45" t="str">
        <x:v>UpgradeRank</x:v>
      </x:c>
      <x:c r="F6" s="51" t="str">
        <x:v>Piercing</x:v>
      </x:c>
      <x:c r="G6" s="54" t="str">
        <x:v>Add</x:v>
      </x:c>
      <x:c r="H6" s="51" t="n">
        <x:v>1</x:v>
      </x:c>
      <x:c r="I6" s="54" t="n">
        <x:v>5</x:v>
      </x:c>
      <x:c r="J6" s="57" t="n">
        <x:v>90</x:v>
      </x:c>
      <x:c r="K6" s="45" t="n">
        <x:v>2</x:v>
      </x:c>
      <x:c r="L6" s="45"/>
      <x:c r="M6" s="45" t="str">
        <x:v>일반</x:v>
      </x:c>
      <x:c r="N6" t="str">
        <x:v>ICON_PIERCING</x:v>
      </x:c>
      <x:c r="O6" s="42" t="b">
        <x:v>1</x:v>
      </x:c>
    </x:row>
    <x:row r="7" ht="44" customHeight="1">
      <x:c r="A7" s="45" t="str">
        <x:v>SEVER_TRAIL</x:v>
      </x:c>
      <x:c r="B7" s="45" t="str">
        <x:v>CARD_SEVER_NAME</x:v>
      </x:c>
      <x:c r="C7" s="45" t="str">
        <x:v>절단</x:v>
      </x:c>
      <x:c r="D7" s="80" t="str">
        <x:v>실제 관통 0.3초 뒤 관통 시작 위치부터 현재 위치까지 검은 절단선을 만듭니다. 선은 0.1초 동안 사라지며 재사용 대기시간은 0.1초, 피해는 공격력의 2배입니다.</x:v>
      </x:c>
      <x:c r="E7" s="45" t="str">
        <x:v>UpgradeRank</x:v>
      </x:c>
      <x:c r="F7" s="51" t="str">
        <x:v>Sever</x:v>
      </x:c>
      <x:c r="G7" s="54" t="str">
        <x:v>Add</x:v>
      </x:c>
      <x:c r="H7" s="51" t="n">
        <x:v>2</x:v>
      </x:c>
      <x:c r="I7" s="54" t="n">
        <x:v>1</x:v>
      </x:c>
      <x:c r="J7" s="57" t="n">
        <x:v>45</x:v>
      </x:c>
      <x:c r="K7" s="45" t="n">
        <x:v>3</x:v>
      </x:c>
      <x:c r="L7" s="45" t="str">
        <x:v>PIERCING_UP</x:v>
      </x:c>
      <x:c r="M7" s="45" t="str">
        <x:v>영웅</x:v>
      </x:c>
      <x:c r="N7" t="str">
        <x:v>ICON_SEVER</x:v>
      </x:c>
      <x:c r="O7" s="42" t="b">
        <x:v>1</x:v>
      </x:c>
    </x:row>
    <x:row r="8" ht="44" customHeight="1">
      <x:c r="A8" s="45" t="str">
        <x:v>HIT_HEAL</x:v>
      </x:c>
      <x:c r="B8" s="45" t="str">
        <x:v>CARD_HIT_HEAL_NAME</x:v>
      </x:c>
      <x:c r="C8" s="45" t="str">
        <x:v>흡혈</x:v>
      </x:c>
      <x:c r="D8" s="80" t="str">
        <x:v>적을 처치할 때마다 5% 확률로 체력을 카드 레벨당 2 회복합니다. 1/2/3레벨 회복량은 2/4/6입니다.</x:v>
      </x:c>
      <x:c r="E8" s="45" t="str">
        <x:v>UpgradeRank</x:v>
      </x:c>
      <x:c r="F8" s="51" t="str">
        <x:v>HitHeal</x:v>
      </x:c>
      <x:c r="G8" s="54" t="str">
        <x:v>Add</x:v>
      </x:c>
      <x:c r="H8" s="51" t="n">
        <x:v>2</x:v>
      </x:c>
      <x:c r="I8" s="54" t="n">
        <x:v>3</x:v>
      </x:c>
      <x:c r="J8" s="57" t="n">
        <x:v>55</x:v>
      </x:c>
      <x:c r="K8" s="45" t="n">
        <x:v>4</x:v>
      </x:c>
      <x:c r="L8" s="45"/>
      <x:c r="M8" s="45" t="str">
        <x:v>희귀</x:v>
      </x:c>
      <x:c r="N8" t="str">
        <x:v>ICON_HIT_HEAL</x:v>
      </x:c>
      <x:c r="O8" s="42" t="b">
        <x:v>1</x:v>
      </x:c>
    </x:row>
    <x:row r="9" ht="44" customHeight="1">
      <x:c r="A9" s="45" t="str">
        <x:v>STATIC_CHARGE</x:v>
      </x:c>
      <x:c r="B9" s="45" t="str">
        <x:v>CARD_STATIC_NAME</x:v>
      </x:c>
      <x:c r="C9" s="45" t="str">
        <x:v>정전기</x:v>
      </x:c>
      <x:c r="D9" s="80" t="str">
        <x:v>공격 대상과 주변 적에게 공격력의 0.75배 피해를 줍니다. 레벨마다 주변 대상이 2명 증가합니다.</x:v>
      </x:c>
      <x:c r="E9" s="45" t="str">
        <x:v>UpgradeRank</x:v>
      </x:c>
      <x:c r="F9" s="51" t="str">
        <x:v>StaticCharge</x:v>
      </x:c>
      <x:c r="G9" s="54" t="str">
        <x:v>Add</x:v>
      </x:c>
      <x:c r="H9" s="51" t="n">
        <x:v>0.75</x:v>
      </x:c>
      <x:c r="I9" s="54" t="n">
        <x:v>5</x:v>
      </x:c>
      <x:c r="J9" s="57" t="n">
        <x:v>60</x:v>
      </x:c>
      <x:c r="K9" s="45" t="n">
        <x:v>4</x:v>
      </x:c>
      <x:c r="L9" s="45"/>
      <x:c r="M9" s="45" t="str">
        <x:v>희귀</x:v>
      </x:c>
      <x:c r="N9" t="str">
        <x:v>ICON_STATIC</x:v>
      </x:c>
      <x:c r="O9" s="42" t="b">
        <x:v>1</x:v>
      </x:c>
    </x:row>
    <x:row r="10" ht="44" customHeight="1">
      <x:c r="A10" s="45" t="str">
        <x:v>MOVING_SLASH</x:v>
      </x:c>
      <x:c r="B10" s="45" t="str">
        <x:v>CARD_MOVING_SLASH_NAME</x:v>
      </x:c>
      <x:c r="C10" s="45" t="str">
        <x:v>참격</x:v>
      </x:c>
      <x:c r="D10" s="80" t="str">
        <x:v>이동 시 초승달 검기를 생성합니다. 레벨마다 피해·크기·사거리·최대 타격 수가 증가합니다. 1~5레벨: 피해 1.8/2.15/2.5/2.85/3.2배, 크기 100/115/130/145/160%, 사거리 6/7.5/9/10.5/12, 최대 타격 2/3/4/5/6.</x:v>
      </x:c>
      <x:c r="E10" s="45" t="str">
        <x:v>UpgradeRank</x:v>
      </x:c>
      <x:c r="F10" s="51" t="str">
        <x:v>MovingSlash</x:v>
      </x:c>
      <x:c r="G10" s="54" t="str">
        <x:v>Add</x:v>
      </x:c>
      <x:c r="H10" s="51" t="n">
        <x:v>1.8</x:v>
      </x:c>
      <x:c r="I10" s="54" t="n">
        <x:v>5</x:v>
      </x:c>
      <x:c r="J10" s="57" t="n">
        <x:v>65</x:v>
      </x:c>
      <x:c r="K10" s="45" t="n">
        <x:v>3</x:v>
      </x:c>
      <x:c r="L10" s="45"/>
      <x:c r="M10" s="45" t="str">
        <x:v>희귀</x:v>
      </x:c>
      <x:c r="N10" t="str">
        <x:v>ICON_MOVING_SLASH</x:v>
      </x:c>
      <x:c r="O10" s="42" t="b">
        <x:v>1</x:v>
      </x:c>
    </x:row>
    <x:row r="11" ht="44" customHeight="1">
      <x:c r="A11" t="str">
        <x:v>SHIELD_BYPASS</x:v>
      </x:c>
      <x:c r="B11" t="str">
        <x:v>CARD_SHIELD_BYPASS_NAME</x:v>
      </x:c>
      <x:c r="C11" t="str">
        <x:v>방패 우회</x:v>
      </x:c>
      <x:c r="D11" s="411" t="str">
        <x:v>방패병 정면 공격 시 반동과 0.5초 조작 불가를 무시할 확률이 레벨마다 10% 증가합니다.</x:v>
      </x:c>
      <x:c r="E11" t="str">
        <x:v>UpgradeRank</x:v>
      </x:c>
      <x:c r="F11" t="str">
        <x:v>ShieldBypass</x:v>
      </x:c>
      <x:c r="G11" t="str">
        <x:v>Add</x:v>
      </x:c>
      <x:c r="H11" s="409" t="n">
        <x:v>0.1</x:v>
      </x:c>
      <x:c r="I11" t="n">
        <x:v>3</x:v>
      </x:c>
      <x:c r="J11" t="n">
        <x:v>55</x:v>
      </x:c>
      <x:c r="K11" t="n">
        <x:v>3</x:v>
      </x:c>
      <x:c r="L11"/>
      <x:c r="M11" t="str">
        <x:v>희귀</x:v>
      </x:c>
      <x:c r="N11" t="str">
        <x:v>ICON_SHIELD_BYPASS</x:v>
      </x:c>
      <x:c r="O11" s="42" t="b">
        <x:v>1</x:v>
      </x:c>
    </x:row>
    <x:row r="12" ht="52" customHeight="1">
      <x:c r="A12" s="411" t="str">
        <x:v>FLYING_SWORD_COUNT</x:v>
      </x:c>
      <x:c r="B12" s="411" t="str">
        <x:v>CARD_FLYING_SWORD_COUNT_NAME</x:v>
      </x:c>
      <x:c r="C12" s="411" t="str">
        <x:v>이기어검 수 증가</x:v>
      </x:c>
      <x:c r="D12" s="411" t="str">
        <x:v>플레이어가 적에게 피해를 주면 준비된 이기어검 1개가 무작위 적 Spawn 위치에서 날아갑니다. 레벨마다 검 1개가 활성화되며 검마다 0.3초 후 재충전됩니다.</x:v>
      </x:c>
      <x:c r="E12" s="411" t="str">
        <x:v>UpgradeRank</x:v>
      </x:c>
      <x:c r="F12" s="411" t="str">
        <x:v>FlyingSwordCount</x:v>
      </x:c>
      <x:c r="G12" s="411" t="str">
        <x:v>Add</x:v>
      </x:c>
      <x:c r="H12" s="411" t="n">
        <x:v>1</x:v>
      </x:c>
      <x:c r="I12" s="411" t="n">
        <x:v>3</x:v>
      </x:c>
      <x:c r="J12" s="411" t="n">
        <x:v>60</x:v>
      </x:c>
      <x:c r="K12" s="411" t="n">
        <x:v>3</x:v>
      </x:c>
      <x:c r="L12" s="411"/>
      <x:c r="M12" s="411" t="str">
        <x:v>희귀</x:v>
      </x:c>
      <x:c r="N12" s="411" t="str">
        <x:v>ICON_FLYING_SWORD_COUNT</x:v>
      </x:c>
      <x:c r="O12" s="524" t="b">
        <x:v>1</x:v>
      </x:c>
    </x:row>
    <x:row r="13" ht="52" customHeight="1">
      <x:c r="A13" s="411" t="str">
        <x:v>FLYING_SWORD_HITS</x:v>
      </x:c>
      <x:c r="B13" s="411" t="str">
        <x:v>CARD_FLYING_SWORD_HITS_NAME</x:v>
      </x:c>
      <x:c r="C13" s="411" t="str">
        <x:v>이기어검 타격 수 증가</x:v>
      </x:c>
      <x:c r="D13" s="411" t="str">
        <x:v>이기어검 한 자루가 타격할 수 있는 적이 1명 증가합니다. 기본 2명이며 최대 5명입니다.</x:v>
      </x:c>
      <x:c r="E13" s="411" t="str">
        <x:v>UpgradeRank</x:v>
      </x:c>
      <x:c r="F13" s="411" t="str">
        <x:v>FlyingSwordHitCount</x:v>
      </x:c>
      <x:c r="G13" s="411" t="str">
        <x:v>Add</x:v>
      </x:c>
      <x:c r="H13" s="411" t="n">
        <x:v>1</x:v>
      </x:c>
      <x:c r="I13" s="411" t="n">
        <x:v>3</x:v>
      </x:c>
      <x:c r="J13" s="411" t="n">
        <x:v>50</x:v>
      </x:c>
      <x:c r="K13" s="411" t="n">
        <x:v>4</x:v>
      </x:c>
      <x:c r="L13" s="411" t="str">
        <x:v>FLYING_SWORD_COUNT</x:v>
      </x:c>
      <x:c r="M13" s="411" t="str">
        <x:v>희귀</x:v>
      </x:c>
      <x:c r="N13" s="411" t="str">
        <x:v>ICON_FLYING_SWORD_HITS</x:v>
      </x:c>
      <x:c r="O13" s="524" t="b">
        <x:v>1</x:v>
      </x:c>
    </x:row>
    <x:row r="14">
      <x:c r="A14" t="str">
        <x:v>FILTH_THROW</x:v>
      </x:c>
      <x:c r="B14" t="str">
        <x:v>CARD_FILTH_THROW_NAME</x:v>
      </x:c>
      <x:c r="C14" t="str">
        <x:v>오물 투척</x:v>
      </x:c>
      <x:c r="D14" s="411" t="str">
        <x:v>화면 안 무작위 위치로 오물 구체를 던집니다. 착탄 지점은 3초 동안 0.5초마다 피해를 주며, 레벨마다 틱 피해·범위가 증가하고 재사용 대기시간이 감소합니다. 1~5레벨: 피해 0.35/0.45/0.55/0.65/0.75배, 반경 1.2/1.35/1.5/1.65/1.8, 재사용 6/5.5/5/4.5/4초.</x:v>
      </x:c>
      <x:c r="E14" t="str">
        <x:v>UpgradeRank</x:v>
      </x:c>
      <x:c r="F14" t="str">
        <x:v>FilthThrow</x:v>
      </x:c>
      <x:c r="G14" t="str">
        <x:v>Add</x:v>
      </x:c>
      <x:c r="H14" t="n">
        <x:v>0.35</x:v>
      </x:c>
      <x:c r="I14" t="n">
        <x:v>5</x:v>
      </x:c>
      <x:c r="J14" t="n">
        <x:v>60</x:v>
      </x:c>
      <x:c r="K14" t="n">
        <x:v>3</x:v>
      </x:c>
      <x:c r="L14"/>
      <x:c r="M14" t="str">
        <x:v>희귀</x:v>
      </x:c>
      <x:c r="N14" t="str">
        <x:v>ICON_FILTH_THROW</x:v>
      </x:c>
      <x:c r="O14" s="4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06a2b396baa42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16" hidden="0" customWidth="1"/>
    <x:col min="10" max="10" width="23" hidden="0" customWidth="1"/>
    <x:col min="11" max="11" width="13" hidden="0" customWidth="1"/>
    <x:col min="12" max="12" width="13" hidden="0" customWidth="1"/>
    <x:col min="13" max="13" width="14" hidden="0" customWidth="1"/>
    <x:col min="14" max="14" width="16" hidden="0" customWidth="1"/>
    <x:col min="15" max="15" width="18" hidden="0" customWidth="1"/>
    <x:col min="16" max="16" width="20" hidden="0" customWidth="1"/>
    <x:col min="17" max="17" width="20" hidden="0" customWidth="1"/>
    <x:col min="18" max="18" width="20" hidden="0" customWidth="1"/>
    <x:col min="19" max="19" width="25" hidden="0" customWidth="1"/>
  </x:cols>
  <x:sheetData>
    <x:row r="1" ht="34" customHeight="1">
      <x:c r="A1" s="290" t="str">
        <x:v>60웨이브 / 10분 몬스터 밀도·체력 관문 계획</x:v>
      </x:c>
      <x:c r="B1" s="290"/>
      <x:c r="C1" s="290"/>
      <x:c r="D1" s="290"/>
      <x:c r="E1" s="290"/>
      <x:c r="F1" s="290"/>
      <x:c r="G1" s="290"/>
      <x:c r="H1" s="290"/>
      <x:c r="I1" s="290"/>
      <x:c r="J1" s="290"/>
      <x:c r="K1" s="290"/>
      <x:c r="L1" s="290"/>
      <x:c r="M1" s="290"/>
      <x:c r="N1" s="290"/>
      <x:c r="O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>
      <x:c r="A3" s="339" t="str">
        <x:v>초반에는 스킬이 적으므로 5·8웨이브 관문을 약하게 시작하고, 카드가 누적되는 후반으로 갈수록 관문 증가폭을 크게 확대합니다. 관문 사이에서는 적 레벨 곡선만 적용되어 체력이 완만하게 증가합니다.</x:v>
      </x:c>
      <x:c r="B3" s="339"/>
      <x:c r="C3" s="339"/>
      <x:c r="D3" s="339"/>
      <x:c r="E3" s="339"/>
      <x:c r="F3" s="339"/>
      <x:c r="G3" s="339"/>
      <x:c r="H3" s="339"/>
      <x:c r="I3" s="339"/>
      <x:c r="J3" s="339"/>
      <x:c r="K3" s="339"/>
      <x:c r="L3" s="339"/>
      <x:c r="M3" s="339"/>
      <x:c r="N3" s="339"/>
      <x:c r="O3" s="339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>
      <x:c r="A5" s="326" t="str">
        <x:v>웨이브</x:v>
      </x:c>
      <x:c r="B5" s="327" t="str">
        <x:v>시작 초</x:v>
      </x:c>
      <x:c r="C5" s="327" t="str">
        <x:v>적 수</x:v>
      </x:c>
      <x:c r="D5" s="327" t="str">
        <x:v>근접·비행</x:v>
      </x:c>
      <x:c r="E5" s="327" t="str">
        <x:v>원거리</x:v>
      </x:c>
      <x:c r="F5" s="327" t="str">
        <x:v>방패</x:v>
      </x:c>
      <x:c r="G5" s="327" t="str">
        <x:v>보스</x:v>
      </x:c>
      <x:c r="H5" s="327" t="str">
        <x:v>웨이브 경험치</x:v>
      </x:c>
      <x:c r="I5" s="327" t="str">
        <x:v>누적 경험치</x:v>
      </x:c>
      <x:c r="J5" s="327" t="str">
        <x:v>예상 플레이어 레벨</x:v>
      </x:c>
      <x:c r="K5" s="327" t="str">
        <x:v>최소 적 레벨</x:v>
      </x:c>
      <x:c r="L5" s="327" t="str">
        <x:v>최대 적 레벨</x:v>
      </x:c>
      <x:c r="M5" s="327" t="str">
        <x:v>평균 적 레벨</x:v>
      </x:c>
      <x:c r="N5" s="327" t="str">
        <x:v>평균 레벨 차이</x:v>
      </x:c>
      <x:c r="O5" s="474" t="str">
        <x:v>체력 관문 배율</x:v>
      </x:c>
      <x:c r="P5" s="475" t="str">
        <x:v>일반 적 기준 체력</x:v>
      </x:c>
      <x:c r="Q5" s="475" t="str">
        <x:v>보스 기준 체력</x:v>
      </x:c>
      <x:c r="R5" s="475" t="str">
        <x:v>후면 평타 필요 타수</x:v>
      </x:c>
      <x:c r="S5" s="476" t="str">
        <x:v>후면 스킬 콤보 필요 횟수</x:v>
      </x:c>
    </x:row>
    <x:row r="6" ht="25" customHeight="1">
      <x:c r="A6" s="45" t="str">
        <x:v>WAVE_01</x:v>
      </x:c>
      <x:c r="B6" s="51" t="n">
        <x:v>1</x:v>
      </x:c>
      <x:c r="C6" s="54" t="n">
        <x:f>COUNTIF('StageSpawn'!$B$2:$B$3284,A6)</x:f>
        <x:v>4</x:v>
      </x:c>
      <x:c r="D6" s="54" t="n">
        <x:f>COUNTIFS('StageSpawn'!$B$2:$B$3284,A6,'StageSpawn'!$F$2:$F$3284,"GoblinMelee")+COUNTIFS('StageSpawn'!$B$2:$B$3284,A6,'StageSpawn'!$F$2:$F$3284,"FlyingEye")</x:f>
        <x:v>4</x:v>
      </x:c>
      <x:c r="E6" s="54" t="n">
        <x:f>COUNTIFS('StageSpawn'!$B$2:$B$3284,A6,'StageSpawn'!$F$2:$F$3284,"GoblinRanged")</x:f>
        <x:v>0</x:v>
      </x:c>
      <x:c r="F6" s="54" t="n">
        <x:f>COUNTIFS('StageSpawn'!$B$2:$B$3284,A6,'StageSpawn'!$F$2:$F$3284,"ShieldSkeleton")</x:f>
        <x:v>0</x:v>
      </x:c>
      <x:c r="G6" s="54" t="n">
        <x:f>COUNTIFS('StageSpawn'!$B$2:$B$3284,A6,'StageSpawn'!$F$2:$F$3284,"GoblinBoss")+COUNTIFS('StageSpawn'!$B$2:$B$3284,A6,'StageSpawn'!$F$2:$F$3284,"MushroomBoss")+COUNTIFS('StageSpawn'!$B$2:$B$3284,A6,'StageSpawn'!$F$2:$F$3284,"FlyingEyeBoss")+COUNTIFS('StageSpawn'!$B$2:$B$3284,A6,'StageSpawn'!$F$2:$F$3284,"SkeletonBoss")</x:f>
        <x:v>0</x:v>
      </x:c>
      <x:c r="H6" s="54" t="n">
        <x:f>COUNTIFS('StageSpawn'!$B$2:$B$3284,A6,'StageSpawn'!$F$2:$F$3284,"GoblinMelee")*'EnemyBalance'!$M$2+COUNTIFS('StageSpawn'!$B$2:$B$3284,A6,'StageSpawn'!$F$2:$F$3284,"GoblinRanged")*'EnemyBalance'!$M$3+COUNTIFS('StageSpawn'!$B$2:$B$3284,A6,'StageSpawn'!$F$2:$F$3284,"ShieldSkeleton")*'EnemyBalance'!$M$4+COUNTIFS('StageSpawn'!$B$2:$B$3284,A6,'StageSpawn'!$F$2:$F$3284,"GoblinBoss")*'EnemyBalance'!$M$5+COUNTIFS('StageSpawn'!$B$2:$B$3284,A6,'StageSpawn'!$F$2:$F$3284,"MushroomBoss")*'EnemyBalance'!$M$6+COUNTIFS('StageSpawn'!$B$2:$B$3284,A6,'StageSpawn'!$F$2:$F$3284,"FlyingEye")*'EnemyBalance'!$M$7+COUNTIFS('StageSpawn'!$B$2:$B$3284,A6,'StageSpawn'!$F$2:$F$3284,"FlyingEyeBoss")*'EnemyBalance'!$M$8+COUNTIFS('StageSpawn'!$B$2:$B$3284,A6,'StageSpawn'!$F$2:$F$3284,"SkeletonBoss")*'EnemyBalance'!$M$9</x:f>
        <x:v>4</x:v>
      </x:c>
      <x:c r="I6" s="54" t="n">
        <x:f>SUM($H$6:H6)</x:f>
        <x:v>4</x:v>
      </x:c>
      <x:c r="J6" s="54" t="n">
        <x:v>1</x:v>
      </x:c>
      <x:c r="K6" s="54" t="n">
        <x:v>1</x:v>
      </x:c>
      <x:c r="L6" s="54" t="n">
        <x:v>1</x:v>
      </x:c>
      <x:c r="M6" s="53" t="n">
        <x:v>1</x:v>
      </x:c>
      <x:c r="N6" s="53" t="n">
        <x:v>0</x:v>
      </x:c>
      <x:c r="O6" s="485" t="n">
        <x:v>1</x:v>
      </x:c>
      <x:c r="P6" s="490" t="n">
        <x:v>3</x:v>
      </x:c>
      <x:c r="Q6" s="490" t="n">
        <x:v>15</x:v>
      </x:c>
      <x:c r="R6" s="493" t="n">
        <x:v>1</x:v>
      </x:c>
      <x:c r="S6" s="494" t="n">
        <x:v>1</x:v>
      </x:c>
    </x:row>
    <x:row r="7" ht="25" customHeight="1">
      <x:c r="A7" s="45" t="str">
        <x:v>WAVE_02</x:v>
      </x:c>
      <x:c r="B7" s="51" t="n">
        <x:v>11</x:v>
      </x:c>
      <x:c r="C7" s="54" t="n">
        <x:f>COUNTIF('StageSpawn'!$B$2:$B$3284,A7)</x:f>
        <x:v>5</x:v>
      </x:c>
      <x:c r="D7" s="54" t="n">
        <x:f>COUNTIFS('StageSpawn'!$B$2:$B$3284,A7,'StageSpawn'!$F$2:$F$3284,"GoblinMelee")+COUNTIFS('StageSpawn'!$B$2:$B$3284,A7,'StageSpawn'!$F$2:$F$3284,"FlyingEye")</x:f>
        <x:v>5</x:v>
      </x:c>
      <x:c r="E7" s="54" t="n">
        <x:f>COUNTIFS('StageSpawn'!$B$2:$B$3284,A7,'StageSpawn'!$F$2:$F$3284,"GoblinRanged")</x:f>
        <x:v>0</x:v>
      </x:c>
      <x:c r="F7" s="54" t="n">
        <x:f>COUNTIFS('StageSpawn'!$B$2:$B$3284,A7,'StageSpawn'!$F$2:$F$3284,"ShieldSkeleton")</x:f>
        <x:v>0</x:v>
      </x:c>
      <x:c r="G7" s="54" t="n">
        <x:f>COUNTIFS('StageSpawn'!$B$2:$B$3284,A7,'StageSpawn'!$F$2:$F$3284,"GoblinBoss")+COUNTIFS('StageSpawn'!$B$2:$B$3284,A7,'StageSpawn'!$F$2:$F$3284,"MushroomBoss")+COUNTIFS('StageSpawn'!$B$2:$B$3284,A7,'StageSpawn'!$F$2:$F$3284,"FlyingEyeBoss")+COUNTIFS('StageSpawn'!$B$2:$B$3284,A7,'StageSpawn'!$F$2:$F$3284,"SkeletonBoss")</x:f>
        <x:v>0</x:v>
      </x:c>
      <x:c r="H7" s="54" t="n">
        <x:f>COUNTIFS('StageSpawn'!$B$2:$B$3284,A7,'StageSpawn'!$F$2:$F$3284,"GoblinMelee")*'EnemyBalance'!$M$2+COUNTIFS('StageSpawn'!$B$2:$B$3284,A7,'StageSpawn'!$F$2:$F$3284,"GoblinRanged")*'EnemyBalance'!$M$3+COUNTIFS('StageSpawn'!$B$2:$B$3284,A7,'StageSpawn'!$F$2:$F$3284,"ShieldSkeleton")*'EnemyBalance'!$M$4+COUNTIFS('StageSpawn'!$B$2:$B$3284,A7,'StageSpawn'!$F$2:$F$3284,"GoblinBoss")*'EnemyBalance'!$M$5+COUNTIFS('StageSpawn'!$B$2:$B$3284,A7,'StageSpawn'!$F$2:$F$3284,"MushroomBoss")*'EnemyBalance'!$M$6+COUNTIFS('StageSpawn'!$B$2:$B$3284,A7,'StageSpawn'!$F$2:$F$3284,"FlyingEye")*'EnemyBalance'!$M$7+COUNTIFS('StageSpawn'!$B$2:$B$3284,A7,'StageSpawn'!$F$2:$F$3284,"FlyingEyeBoss")*'EnemyBalance'!$M$8+COUNTIFS('StageSpawn'!$B$2:$B$3284,A7,'StageSpawn'!$F$2:$F$3284,"SkeletonBoss")*'EnemyBalance'!$M$9</x:f>
        <x:v>5</x:v>
      </x:c>
      <x:c r="I7" s="54" t="n">
        <x:f>SUM($H$6:H7)</x:f>
        <x:v>9</x:v>
      </x:c>
      <x:c r="J7" s="54" t="n">
        <x:v>2</x:v>
      </x:c>
      <x:c r="K7" s="54" t="n">
        <x:v>2</x:v>
      </x:c>
      <x:c r="L7" s="54" t="n">
        <x:v>2</x:v>
      </x:c>
      <x:c r="M7" s="53" t="n">
        <x:v>2</x:v>
      </x:c>
      <x:c r="N7" s="53" t="n">
        <x:v>0</x:v>
      </x:c>
      <x:c r="O7" s="486" t="n">
        <x:v>1</x:v>
      </x:c>
      <x:c r="P7" s="491" t="n">
        <x:v>4.003</x:v>
      </x:c>
      <x:c r="Q7" s="491" t="n">
        <x:v>19.012</x:v>
      </x:c>
      <x:c r="R7" s="495" t="n">
        <x:v>1</x:v>
      </x:c>
      <x:c r="S7" s="496" t="n">
        <x:v>1</x:v>
      </x:c>
    </x:row>
    <x:row r="8" ht="25" customHeight="1">
      <x:c r="A8" s="45" t="str">
        <x:v>WAVE_03</x:v>
      </x:c>
      <x:c r="B8" s="51" t="n">
        <x:v>21</x:v>
      </x:c>
      <x:c r="C8" s="54" t="n">
        <x:f>COUNTIF('StageSpawn'!$B$2:$B$3284,A8)</x:f>
        <x:v>6</x:v>
      </x:c>
      <x:c r="D8" s="54" t="n">
        <x:f>COUNTIFS('StageSpawn'!$B$2:$B$3284,A8,'StageSpawn'!$F$2:$F$3284,"GoblinMelee")+COUNTIFS('StageSpawn'!$B$2:$B$3284,A8,'StageSpawn'!$F$2:$F$3284,"FlyingEye")</x:f>
        <x:v>5</x:v>
      </x:c>
      <x:c r="E8" s="54" t="n">
        <x:f>COUNTIFS('StageSpawn'!$B$2:$B$3284,A8,'StageSpawn'!$F$2:$F$3284,"GoblinRanged")</x:f>
        <x:v>1</x:v>
      </x:c>
      <x:c r="F8" s="54" t="n">
        <x:f>COUNTIFS('StageSpawn'!$B$2:$B$3284,A8,'StageSpawn'!$F$2:$F$3284,"ShieldSkeleton")</x:f>
        <x:v>0</x:v>
      </x:c>
      <x:c r="G8" s="54" t="n">
        <x:f>COUNTIFS('StageSpawn'!$B$2:$B$3284,A8,'StageSpawn'!$F$2:$F$3284,"GoblinBoss")+COUNTIFS('StageSpawn'!$B$2:$B$3284,A8,'StageSpawn'!$F$2:$F$3284,"MushroomBoss")+COUNTIFS('StageSpawn'!$B$2:$B$3284,A8,'StageSpawn'!$F$2:$F$3284,"FlyingEyeBoss")+COUNTIFS('StageSpawn'!$B$2:$B$3284,A8,'StageSpawn'!$F$2:$F$3284,"SkeletonBoss")</x:f>
        <x:v>0</x:v>
      </x:c>
      <x:c r="H8" s="54" t="n">
        <x:f>COUNTIFS('StageSpawn'!$B$2:$B$3284,A8,'StageSpawn'!$F$2:$F$3284,"GoblinMelee")*'EnemyBalance'!$M$2+COUNTIFS('StageSpawn'!$B$2:$B$3284,A8,'StageSpawn'!$F$2:$F$3284,"GoblinRanged")*'EnemyBalance'!$M$3+COUNTIFS('StageSpawn'!$B$2:$B$3284,A8,'StageSpawn'!$F$2:$F$3284,"ShieldSkeleton")*'EnemyBalance'!$M$4+COUNTIFS('StageSpawn'!$B$2:$B$3284,A8,'StageSpawn'!$F$2:$F$3284,"GoblinBoss")*'EnemyBalance'!$M$5+COUNTIFS('StageSpawn'!$B$2:$B$3284,A8,'StageSpawn'!$F$2:$F$3284,"MushroomBoss")*'EnemyBalance'!$M$6+COUNTIFS('StageSpawn'!$B$2:$B$3284,A8,'StageSpawn'!$F$2:$F$3284,"FlyingEye")*'EnemyBalance'!$M$7+COUNTIFS('StageSpawn'!$B$2:$B$3284,A8,'StageSpawn'!$F$2:$F$3284,"FlyingEyeBoss")*'EnemyBalance'!$M$8+COUNTIFS('StageSpawn'!$B$2:$B$3284,A8,'StageSpawn'!$F$2:$F$3284,"SkeletonBoss")*'EnemyBalance'!$M$9</x:f>
        <x:v>6</x:v>
      </x:c>
      <x:c r="I8" s="54" t="n">
        <x:f>SUM($H$6:H8)</x:f>
        <x:v>15</x:v>
      </x:c>
      <x:c r="J8" s="54" t="n">
        <x:v>2</x:v>
      </x:c>
      <x:c r="K8" s="54" t="n">
        <x:v>2</x:v>
      </x:c>
      <x:c r="L8" s="54" t="n">
        <x:v>2</x:v>
      </x:c>
      <x:c r="M8" s="53" t="n">
        <x:v>2</x:v>
      </x:c>
      <x:c r="N8" s="53" t="n">
        <x:v>0</x:v>
      </x:c>
      <x:c r="O8" s="485" t="n">
        <x:v>1</x:v>
      </x:c>
      <x:c r="P8" s="490" t="n">
        <x:v>4.003</x:v>
      </x:c>
      <x:c r="Q8" s="490" t="n">
        <x:v>19.012</x:v>
      </x:c>
      <x:c r="R8" s="493" t="n">
        <x:v>1</x:v>
      </x:c>
      <x:c r="S8" s="494" t="n">
        <x:v>1</x:v>
      </x:c>
    </x:row>
    <x:row r="9" ht="25" customHeight="1">
      <x:c r="A9" s="45" t="str">
        <x:v>WAVE_04</x:v>
      </x:c>
      <x:c r="B9" s="51" t="n">
        <x:v>31</x:v>
      </x:c>
      <x:c r="C9" s="54" t="n">
        <x:f>COUNTIF('StageSpawn'!$B$2:$B$3284,A9)</x:f>
        <x:v>7</x:v>
      </x:c>
      <x:c r="D9" s="54" t="n">
        <x:f>COUNTIFS('StageSpawn'!$B$2:$B$3284,A9,'StageSpawn'!$F$2:$F$3284,"GoblinMelee")+COUNTIFS('StageSpawn'!$B$2:$B$3284,A9,'StageSpawn'!$F$2:$F$3284,"FlyingEye")</x:f>
        <x:v>6</x:v>
      </x:c>
      <x:c r="E9" s="54" t="n">
        <x:f>COUNTIFS('StageSpawn'!$B$2:$B$3284,A9,'StageSpawn'!$F$2:$F$3284,"GoblinRanged")</x:f>
        <x:v>1</x:v>
      </x:c>
      <x:c r="F9" s="54" t="n">
        <x:f>COUNTIFS('StageSpawn'!$B$2:$B$3284,A9,'StageSpawn'!$F$2:$F$3284,"ShieldSkeleton")</x:f>
        <x:v>0</x:v>
      </x:c>
      <x:c r="G9" s="54" t="n">
        <x:f>COUNTIFS('StageSpawn'!$B$2:$B$3284,A9,'StageSpawn'!$F$2:$F$3284,"GoblinBoss")+COUNTIFS('StageSpawn'!$B$2:$B$3284,A9,'StageSpawn'!$F$2:$F$3284,"MushroomBoss")+COUNTIFS('StageSpawn'!$B$2:$B$3284,A9,'StageSpawn'!$F$2:$F$3284,"FlyingEyeBoss")+COUNTIFS('StageSpawn'!$B$2:$B$3284,A9,'StageSpawn'!$F$2:$F$3284,"SkeletonBoss")</x:f>
        <x:v>0</x:v>
      </x:c>
      <x:c r="H9" s="54" t="n">
        <x:f>COUNTIFS('StageSpawn'!$B$2:$B$3284,A9,'StageSpawn'!$F$2:$F$3284,"GoblinMelee")*'EnemyBalance'!$M$2+COUNTIFS('StageSpawn'!$B$2:$B$3284,A9,'StageSpawn'!$F$2:$F$3284,"GoblinRanged")*'EnemyBalance'!$M$3+COUNTIFS('StageSpawn'!$B$2:$B$3284,A9,'StageSpawn'!$F$2:$F$3284,"ShieldSkeleton")*'EnemyBalance'!$M$4+COUNTIFS('StageSpawn'!$B$2:$B$3284,A9,'StageSpawn'!$F$2:$F$3284,"GoblinBoss")*'EnemyBalance'!$M$5+COUNTIFS('StageSpawn'!$B$2:$B$3284,A9,'StageSpawn'!$F$2:$F$3284,"MushroomBoss")*'EnemyBalance'!$M$6+COUNTIFS('StageSpawn'!$B$2:$B$3284,A9,'StageSpawn'!$F$2:$F$3284,"FlyingEye")*'EnemyBalance'!$M$7+COUNTIFS('StageSpawn'!$B$2:$B$3284,A9,'StageSpawn'!$F$2:$F$3284,"FlyingEyeBoss")*'EnemyBalance'!$M$8+COUNTIFS('StageSpawn'!$B$2:$B$3284,A9,'StageSpawn'!$F$2:$F$3284,"SkeletonBoss")*'EnemyBalance'!$M$9</x:f>
        <x:v>7</x:v>
      </x:c>
      <x:c r="I9" s="54" t="n">
        <x:f>SUM($H$6:H9)</x:f>
        <x:v>22</x:v>
      </x:c>
      <x:c r="J9" s="54" t="n">
        <x:v>3</x:v>
      </x:c>
      <x:c r="K9" s="54" t="n">
        <x:v>3</x:v>
      </x:c>
      <x:c r="L9" s="54" t="n">
        <x:v>4</x:v>
      </x:c>
      <x:c r="M9" s="53" t="n">
        <x:v>3.1</x:v>
      </x:c>
      <x:c r="N9" s="53" t="n">
        <x:v>0.1</x:v>
      </x:c>
      <x:c r="O9" s="486" t="n">
        <x:v>1</x:v>
      </x:c>
      <x:c r="P9" s="491" t="n">
        <x:v>4.553067023426102</x:v>
      </x:c>
      <x:c r="Q9" s="491" t="n">
        <x:v>21.21226809370441</x:v>
      </x:c>
      <x:c r="R9" s="495" t="n">
        <x:v>1</x:v>
      </x:c>
      <x:c r="S9" s="496" t="n">
        <x:v>1</x:v>
      </x:c>
    </x:row>
    <x:row r="10" ht="25" customHeight="1">
      <x:c r="A10" s="45" t="str">
        <x:v>WAVE_05</x:v>
      </x:c>
      <x:c r="B10" s="51" t="n">
        <x:v>41</x:v>
      </x:c>
      <x:c r="C10" s="54" t="n">
        <x:f>COUNTIF('StageSpawn'!$B$2:$B$3284,A10)</x:f>
        <x:v>10</x:v>
      </x:c>
      <x:c r="D10" s="54" t="n">
        <x:f>COUNTIFS('StageSpawn'!$B$2:$B$3284,A10,'StageSpawn'!$F$2:$F$3284,"GoblinMelee")+COUNTIFS('StageSpawn'!$B$2:$B$3284,A10,'StageSpawn'!$F$2:$F$3284,"FlyingEye")</x:f>
        <x:v>7</x:v>
      </x:c>
      <x:c r="E10" s="54" t="n">
        <x:f>COUNTIFS('StageSpawn'!$B$2:$B$3284,A10,'StageSpawn'!$F$2:$F$3284,"GoblinRanged")</x:f>
        <x:v>2</x:v>
      </x:c>
      <x:c r="F10" s="54" t="n">
        <x:f>COUNTIFS('StageSpawn'!$B$2:$B$3284,A10,'StageSpawn'!$F$2:$F$3284,"ShieldSkeleton")</x:f>
        <x:v>1</x:v>
      </x:c>
      <x:c r="G10" s="54" t="n">
        <x:f>COUNTIFS('StageSpawn'!$B$2:$B$3284,A10,'StageSpawn'!$F$2:$F$3284,"GoblinBoss")+COUNTIFS('StageSpawn'!$B$2:$B$3284,A10,'StageSpawn'!$F$2:$F$3284,"MushroomBoss")+COUNTIFS('StageSpawn'!$B$2:$B$3284,A10,'StageSpawn'!$F$2:$F$3284,"FlyingEyeBoss")+COUNTIFS('StageSpawn'!$B$2:$B$3284,A10,'StageSpawn'!$F$2:$F$3284,"SkeletonBoss")</x:f>
        <x:v>0</x:v>
      </x:c>
      <x:c r="H10" s="54" t="n">
        <x:f>COUNTIFS('StageSpawn'!$B$2:$B$3284,A10,'StageSpawn'!$F$2:$F$3284,"GoblinMelee")*'EnemyBalance'!$M$2+COUNTIFS('StageSpawn'!$B$2:$B$3284,A10,'StageSpawn'!$F$2:$F$3284,"GoblinRanged")*'EnemyBalance'!$M$3+COUNTIFS('StageSpawn'!$B$2:$B$3284,A10,'StageSpawn'!$F$2:$F$3284,"ShieldSkeleton")*'EnemyBalance'!$M$4+COUNTIFS('StageSpawn'!$B$2:$B$3284,A10,'StageSpawn'!$F$2:$F$3284,"GoblinBoss")*'EnemyBalance'!$M$5+COUNTIFS('StageSpawn'!$B$2:$B$3284,A10,'StageSpawn'!$F$2:$F$3284,"MushroomBoss")*'EnemyBalance'!$M$6+COUNTIFS('StageSpawn'!$B$2:$B$3284,A10,'StageSpawn'!$F$2:$F$3284,"FlyingEye")*'EnemyBalance'!$M$7+COUNTIFS('StageSpawn'!$B$2:$B$3284,A10,'StageSpawn'!$F$2:$F$3284,"FlyingEyeBoss")*'EnemyBalance'!$M$8+COUNTIFS('StageSpawn'!$B$2:$B$3284,A10,'StageSpawn'!$F$2:$F$3284,"SkeletonBoss")*'EnemyBalance'!$M$9</x:f>
        <x:v>11</x:v>
      </x:c>
      <x:c r="I10" s="54" t="n">
        <x:f>SUM($H$6:H10)</x:f>
        <x:v>33</x:v>
      </x:c>
      <x:c r="J10" s="54" t="n">
        <x:v>4</x:v>
      </x:c>
      <x:c r="K10" s="54" t="n">
        <x:v>4</x:v>
      </x:c>
      <x:c r="L10" s="54" t="n">
        <x:v>5</x:v>
      </x:c>
      <x:c r="M10" s="53" t="n">
        <x:v>4.1</x:v>
      </x:c>
      <x:c r="N10" s="53" t="n">
        <x:v>0.1</x:v>
      </x:c>
      <x:c r="O10" s="485" t="n">
        <x:v>1.2</x:v>
      </x:c>
      <x:c r="P10" s="490" t="n">
        <x:v>5.965055319889219</x:v>
      </x:c>
      <x:c r="Q10" s="490" t="n">
        <x:v>27.460221279556873</x:v>
      </x:c>
      <x:c r="R10" s="493" t="n">
        <x:v>1</x:v>
      </x:c>
      <x:c r="S10" s="494" t="n">
        <x:v>1</x:v>
      </x:c>
    </x:row>
    <x:row r="11" ht="25" customHeight="1">
      <x:c r="A11" s="45" t="str">
        <x:v>WAVE_06</x:v>
      </x:c>
      <x:c r="B11" s="51" t="n">
        <x:v>51</x:v>
      </x:c>
      <x:c r="C11" s="54" t="n">
        <x:f>COUNTIF('StageSpawn'!$B$2:$B$3284,A11)</x:f>
        <x:v>11</x:v>
      </x:c>
      <x:c r="D11" s="54" t="n">
        <x:f>COUNTIFS('StageSpawn'!$B$2:$B$3284,A11,'StageSpawn'!$F$2:$F$3284,"GoblinMelee")+COUNTIFS('StageSpawn'!$B$2:$B$3284,A11,'StageSpawn'!$F$2:$F$3284,"FlyingEye")</x:f>
        <x:v>8</x:v>
      </x:c>
      <x:c r="E11" s="54" t="n">
        <x:f>COUNTIFS('StageSpawn'!$B$2:$B$3284,A11,'StageSpawn'!$F$2:$F$3284,"GoblinRanged")</x:f>
        <x:v>2</x:v>
      </x:c>
      <x:c r="F11" s="54" t="n">
        <x:f>COUNTIFS('StageSpawn'!$B$2:$B$3284,A11,'StageSpawn'!$F$2:$F$3284,"ShieldSkeleton")</x:f>
        <x:v>1</x:v>
      </x:c>
      <x:c r="G11" s="54" t="n">
        <x:f>COUNTIFS('StageSpawn'!$B$2:$B$3284,A11,'StageSpawn'!$F$2:$F$3284,"GoblinBoss")+COUNTIFS('StageSpawn'!$B$2:$B$3284,A11,'StageSpawn'!$F$2:$F$3284,"MushroomBoss")+COUNTIFS('StageSpawn'!$B$2:$B$3284,A11,'StageSpawn'!$F$2:$F$3284,"FlyingEyeBoss")+COUNTIFS('StageSpawn'!$B$2:$B$3284,A11,'StageSpawn'!$F$2:$F$3284,"SkeletonBoss")</x:f>
        <x:v>0</x:v>
      </x:c>
      <x:c r="H11" s="54" t="n">
        <x:f>COUNTIFS('StageSpawn'!$B$2:$B$3284,A11,'StageSpawn'!$F$2:$F$3284,"GoblinMelee")*'EnemyBalance'!$M$2+COUNTIFS('StageSpawn'!$B$2:$B$3284,A11,'StageSpawn'!$F$2:$F$3284,"GoblinRanged")*'EnemyBalance'!$M$3+COUNTIFS('StageSpawn'!$B$2:$B$3284,A11,'StageSpawn'!$F$2:$F$3284,"ShieldSkeleton")*'EnemyBalance'!$M$4+COUNTIFS('StageSpawn'!$B$2:$B$3284,A11,'StageSpawn'!$F$2:$F$3284,"GoblinBoss")*'EnemyBalance'!$M$5+COUNTIFS('StageSpawn'!$B$2:$B$3284,A11,'StageSpawn'!$F$2:$F$3284,"MushroomBoss")*'EnemyBalance'!$M$6+COUNTIFS('StageSpawn'!$B$2:$B$3284,A11,'StageSpawn'!$F$2:$F$3284,"FlyingEye")*'EnemyBalance'!$M$7+COUNTIFS('StageSpawn'!$B$2:$B$3284,A11,'StageSpawn'!$F$2:$F$3284,"FlyingEyeBoss")*'EnemyBalance'!$M$8+COUNTIFS('StageSpawn'!$B$2:$B$3284,A11,'StageSpawn'!$F$2:$F$3284,"SkeletonBoss")*'EnemyBalance'!$M$9</x:f>
        <x:v>12</x:v>
      </x:c>
      <x:c r="I11" s="54" t="n">
        <x:f>SUM($H$6:H11)</x:f>
        <x:v>45</x:v>
      </x:c>
      <x:c r="J11" s="54" t="n">
        <x:v>5</x:v>
      </x:c>
      <x:c r="K11" s="54" t="n">
        <x:v>5</x:v>
      </x:c>
      <x:c r="L11" s="54" t="n">
        <x:v>6</x:v>
      </x:c>
      <x:c r="M11" s="53" t="n">
        <x:v>5.2</x:v>
      </x:c>
      <x:c r="N11" s="53" t="n">
        <x:v>0.2</x:v>
      </x:c>
      <x:c r="O11" s="486" t="n">
        <x:v>1.2</x:v>
      </x:c>
      <x:c r="P11" s="491" t="n">
        <x:v>6.461497956255759</x:v>
      </x:c>
      <x:c r="Q11" s="491" t="n">
        <x:v>29.445991825023032</x:v>
      </x:c>
      <x:c r="R11" s="495" t="n">
        <x:v>1</x:v>
      </x:c>
      <x:c r="S11" s="496" t="n">
        <x:v>1</x:v>
      </x:c>
    </x:row>
    <x:row r="12" ht="25" customHeight="1">
      <x:c r="A12" s="45" t="str">
        <x:v>WAVE_07</x:v>
      </x:c>
      <x:c r="B12" s="51" t="n">
        <x:v>61</x:v>
      </x:c>
      <x:c r="C12" s="54" t="n">
        <x:f>COUNTIF('StageSpawn'!$B$2:$B$3284,A12)</x:f>
        <x:v>12</x:v>
      </x:c>
      <x:c r="D12" s="54" t="n">
        <x:f>COUNTIFS('StageSpawn'!$B$2:$B$3284,A12,'StageSpawn'!$F$2:$F$3284,"GoblinMelee")+COUNTIFS('StageSpawn'!$B$2:$B$3284,A12,'StageSpawn'!$F$2:$F$3284,"FlyingEye")</x:f>
        <x:v>9</x:v>
      </x:c>
      <x:c r="E12" s="54" t="n">
        <x:f>COUNTIFS('StageSpawn'!$B$2:$B$3284,A12,'StageSpawn'!$F$2:$F$3284,"GoblinRanged")</x:f>
        <x:v>2</x:v>
      </x:c>
      <x:c r="F12" s="54" t="n">
        <x:f>COUNTIFS('StageSpawn'!$B$2:$B$3284,A12,'StageSpawn'!$F$2:$F$3284,"ShieldSkeleton")</x:f>
        <x:v>1</x:v>
      </x:c>
      <x:c r="G12" s="54" t="n">
        <x:f>COUNTIFS('StageSpawn'!$B$2:$B$3284,A12,'StageSpawn'!$F$2:$F$3284,"GoblinBoss")+COUNTIFS('StageSpawn'!$B$2:$B$3284,A12,'StageSpawn'!$F$2:$F$3284,"MushroomBoss")+COUNTIFS('StageSpawn'!$B$2:$B$3284,A12,'StageSpawn'!$F$2:$F$3284,"FlyingEyeBoss")+COUNTIFS('StageSpawn'!$B$2:$B$3284,A12,'StageSpawn'!$F$2:$F$3284,"SkeletonBoss")</x:f>
        <x:v>0</x:v>
      </x:c>
      <x:c r="H12" s="54" t="n">
        <x:f>COUNTIFS('StageSpawn'!$B$2:$B$3284,A12,'StageSpawn'!$F$2:$F$3284,"GoblinMelee")*'EnemyBalance'!$M$2+COUNTIFS('StageSpawn'!$B$2:$B$3284,A12,'StageSpawn'!$F$2:$F$3284,"GoblinRanged")*'EnemyBalance'!$M$3+COUNTIFS('StageSpawn'!$B$2:$B$3284,A12,'StageSpawn'!$F$2:$F$3284,"ShieldSkeleton")*'EnemyBalance'!$M$4+COUNTIFS('StageSpawn'!$B$2:$B$3284,A12,'StageSpawn'!$F$2:$F$3284,"GoblinBoss")*'EnemyBalance'!$M$5+COUNTIFS('StageSpawn'!$B$2:$B$3284,A12,'StageSpawn'!$F$2:$F$3284,"MushroomBoss")*'EnemyBalance'!$M$6+COUNTIFS('StageSpawn'!$B$2:$B$3284,A12,'StageSpawn'!$F$2:$F$3284,"FlyingEye")*'EnemyBalance'!$M$7+COUNTIFS('StageSpawn'!$B$2:$B$3284,A12,'StageSpawn'!$F$2:$F$3284,"FlyingEyeBoss")*'EnemyBalance'!$M$8+COUNTIFS('StageSpawn'!$B$2:$B$3284,A12,'StageSpawn'!$F$2:$F$3284,"SkeletonBoss")*'EnemyBalance'!$M$9</x:f>
        <x:v>13</x:v>
      </x:c>
      <x:c r="I12" s="54" t="n">
        <x:f>SUM($H$6:H12)</x:f>
        <x:v>58</x:v>
      </x:c>
      <x:c r="J12" s="54" t="n">
        <x:v>5</x:v>
      </x:c>
      <x:c r="K12" s="54" t="n">
        <x:v>5</x:v>
      </x:c>
      <x:c r="L12" s="54" t="n">
        <x:v>6</x:v>
      </x:c>
      <x:c r="M12" s="53" t="n">
        <x:v>5.2</x:v>
      </x:c>
      <x:c r="N12" s="53" t="n">
        <x:v>0.2</x:v>
      </x:c>
      <x:c r="O12" s="485" t="n">
        <x:v>1.2</x:v>
      </x:c>
      <x:c r="P12" s="490" t="n">
        <x:v>6.461497956255759</x:v>
      </x:c>
      <x:c r="Q12" s="490" t="n">
        <x:v>29.445991825023032</x:v>
      </x:c>
      <x:c r="R12" s="493" t="n">
        <x:v>1</x:v>
      </x:c>
      <x:c r="S12" s="494" t="n">
        <x:v>1</x:v>
      </x:c>
    </x:row>
    <x:row r="13" ht="25" customHeight="1">
      <x:c r="A13" s="45" t="str">
        <x:v>WAVE_08</x:v>
      </x:c>
      <x:c r="B13" s="51" t="n">
        <x:v>71</x:v>
      </x:c>
      <x:c r="C13" s="54" t="n">
        <x:f>COUNTIF('StageSpawn'!$B$2:$B$3284,A13)</x:f>
        <x:v>13</x:v>
      </x:c>
      <x:c r="D13" s="54" t="n">
        <x:f>COUNTIFS('StageSpawn'!$B$2:$B$3284,A13,'StageSpawn'!$F$2:$F$3284,"GoblinMelee")+COUNTIFS('StageSpawn'!$B$2:$B$3284,A13,'StageSpawn'!$F$2:$F$3284,"FlyingEye")</x:f>
        <x:v>9</x:v>
      </x:c>
      <x:c r="E13" s="54" t="n">
        <x:f>COUNTIFS('StageSpawn'!$B$2:$B$3284,A13,'StageSpawn'!$F$2:$F$3284,"GoblinRanged")</x:f>
        <x:v>3</x:v>
      </x:c>
      <x:c r="F13" s="54" t="n">
        <x:f>COUNTIFS('StageSpawn'!$B$2:$B$3284,A13,'StageSpawn'!$F$2:$F$3284,"ShieldSkeleton")</x:f>
        <x:v>1</x:v>
      </x:c>
      <x:c r="G13" s="54" t="n">
        <x:f>COUNTIFS('StageSpawn'!$B$2:$B$3284,A13,'StageSpawn'!$F$2:$F$3284,"GoblinBoss")+COUNTIFS('StageSpawn'!$B$2:$B$3284,A13,'StageSpawn'!$F$2:$F$3284,"MushroomBoss")+COUNTIFS('StageSpawn'!$B$2:$B$3284,A13,'StageSpawn'!$F$2:$F$3284,"FlyingEyeBoss")+COUNTIFS('StageSpawn'!$B$2:$B$3284,A13,'StageSpawn'!$F$2:$F$3284,"SkeletonBoss")</x:f>
        <x:v>0</x:v>
      </x:c>
      <x:c r="H13" s="54" t="n">
        <x:f>COUNTIFS('StageSpawn'!$B$2:$B$3284,A13,'StageSpawn'!$F$2:$F$3284,"GoblinMelee")*'EnemyBalance'!$M$2+COUNTIFS('StageSpawn'!$B$2:$B$3284,A13,'StageSpawn'!$F$2:$F$3284,"GoblinRanged")*'EnemyBalance'!$M$3+COUNTIFS('StageSpawn'!$B$2:$B$3284,A13,'StageSpawn'!$F$2:$F$3284,"ShieldSkeleton")*'EnemyBalance'!$M$4+COUNTIFS('StageSpawn'!$B$2:$B$3284,A13,'StageSpawn'!$F$2:$F$3284,"GoblinBoss")*'EnemyBalance'!$M$5+COUNTIFS('StageSpawn'!$B$2:$B$3284,A13,'StageSpawn'!$F$2:$F$3284,"MushroomBoss")*'EnemyBalance'!$M$6+COUNTIFS('StageSpawn'!$B$2:$B$3284,A13,'StageSpawn'!$F$2:$F$3284,"FlyingEye")*'EnemyBalance'!$M$7+COUNTIFS('StageSpawn'!$B$2:$B$3284,A13,'StageSpawn'!$F$2:$F$3284,"FlyingEyeBoss")*'EnemyBalance'!$M$8+COUNTIFS('StageSpawn'!$B$2:$B$3284,A13,'StageSpawn'!$F$2:$F$3284,"SkeletonBoss")*'EnemyBalance'!$M$9</x:f>
        <x:v>14</x:v>
      </x:c>
      <x:c r="I13" s="54" t="n">
        <x:f>SUM($H$6:H13)</x:f>
        <x:v>72</x:v>
      </x:c>
      <x:c r="J13" s="54" t="n">
        <x:v>6</x:v>
      </x:c>
      <x:c r="K13" s="54" t="n">
        <x:v>6</x:v>
      </x:c>
      <x:c r="L13" s="54" t="n">
        <x:v>7</x:v>
      </x:c>
      <x:c r="M13" s="53" t="n">
        <x:v>6.2</x:v>
      </x:c>
      <x:c r="N13" s="53" t="n">
        <x:v>0.2</x:v>
      </x:c>
      <x:c r="O13" s="486" t="n">
        <x:v>1.5</x:v>
      </x:c>
      <x:c r="P13" s="491" t="n">
        <x:v>8.6008473340028</x:v>
      </x:c>
      <x:c r="Q13" s="491" t="n">
        <x:v>38.9033893360112</x:v>
      </x:c>
      <x:c r="R13" s="495" t="n">
        <x:v>1</x:v>
      </x:c>
      <x:c r="S13" s="496" t="n">
        <x:v>1</x:v>
      </x:c>
    </x:row>
    <x:row r="14" ht="25" customHeight="1">
      <x:c r="A14" s="45" t="str">
        <x:v>WAVE_09</x:v>
      </x:c>
      <x:c r="B14" s="51" t="n">
        <x:v>81</x:v>
      </x:c>
      <x:c r="C14" s="54" t="n">
        <x:f>COUNTIF('StageSpawn'!$B$2:$B$3284,A14)</x:f>
        <x:v>15</x:v>
      </x:c>
      <x:c r="D14" s="54" t="n">
        <x:f>COUNTIFS('StageSpawn'!$B$2:$B$3284,A14,'StageSpawn'!$F$2:$F$3284,"GoblinMelee")+COUNTIFS('StageSpawn'!$B$2:$B$3284,A14,'StageSpawn'!$F$2:$F$3284,"FlyingEye")</x:f>
        <x:v>11</x:v>
      </x:c>
      <x:c r="E14" s="54" t="n">
        <x:f>COUNTIFS('StageSpawn'!$B$2:$B$3284,A14,'StageSpawn'!$F$2:$F$3284,"GoblinRanged")</x:f>
        <x:v>3</x:v>
      </x:c>
      <x:c r="F14" s="54" t="n">
        <x:f>COUNTIFS('StageSpawn'!$B$2:$B$3284,A14,'StageSpawn'!$F$2:$F$3284,"ShieldSkeleton")</x:f>
        <x:v>1</x:v>
      </x:c>
      <x:c r="G14" s="54" t="n">
        <x:f>COUNTIFS('StageSpawn'!$B$2:$B$3284,A14,'StageSpawn'!$F$2:$F$3284,"GoblinBoss")+COUNTIFS('StageSpawn'!$B$2:$B$3284,A14,'StageSpawn'!$F$2:$F$3284,"MushroomBoss")+COUNTIFS('StageSpawn'!$B$2:$B$3284,A14,'StageSpawn'!$F$2:$F$3284,"FlyingEyeBoss")+COUNTIFS('StageSpawn'!$B$2:$B$3284,A14,'StageSpawn'!$F$2:$F$3284,"SkeletonBoss")</x:f>
        <x:v>0</x:v>
      </x:c>
      <x:c r="H14" s="54" t="n">
        <x:f>COUNTIFS('StageSpawn'!$B$2:$B$3284,A14,'StageSpawn'!$F$2:$F$3284,"GoblinMelee")*'EnemyBalance'!$M$2+COUNTIFS('StageSpawn'!$B$2:$B$3284,A14,'StageSpawn'!$F$2:$F$3284,"GoblinRanged")*'EnemyBalance'!$M$3+COUNTIFS('StageSpawn'!$B$2:$B$3284,A14,'StageSpawn'!$F$2:$F$3284,"ShieldSkeleton")*'EnemyBalance'!$M$4+COUNTIFS('StageSpawn'!$B$2:$B$3284,A14,'StageSpawn'!$F$2:$F$3284,"GoblinBoss")*'EnemyBalance'!$M$5+COUNTIFS('StageSpawn'!$B$2:$B$3284,A14,'StageSpawn'!$F$2:$F$3284,"MushroomBoss")*'EnemyBalance'!$M$6+COUNTIFS('StageSpawn'!$B$2:$B$3284,A14,'StageSpawn'!$F$2:$F$3284,"FlyingEye")*'EnemyBalance'!$M$7+COUNTIFS('StageSpawn'!$B$2:$B$3284,A14,'StageSpawn'!$F$2:$F$3284,"FlyingEyeBoss")*'EnemyBalance'!$M$8+COUNTIFS('StageSpawn'!$B$2:$B$3284,A14,'StageSpawn'!$F$2:$F$3284,"SkeletonBoss")*'EnemyBalance'!$M$9</x:f>
        <x:v>16</x:v>
      </x:c>
      <x:c r="I14" s="54" t="n">
        <x:f>SUM($H$6:H14)</x:f>
        <x:v>88</x:v>
      </x:c>
      <x:c r="J14" s="54" t="n">
        <x:v>7</x:v>
      </x:c>
      <x:c r="K14" s="54" t="n">
        <x:v>7</x:v>
      </x:c>
      <x:c r="L14" s="54" t="n">
        <x:v>8</x:v>
      </x:c>
      <x:c r="M14" s="53" t="n">
        <x:v>7.3</x:v>
      </x:c>
      <x:c r="N14" s="53" t="n">
        <x:v>0.3</x:v>
      </x:c>
      <x:c r="O14" s="485" t="n">
        <x:v>1.5</x:v>
      </x:c>
      <x:c r="P14" s="490" t="n">
        <x:v>9.146074601492838</x:v>
      </x:c>
      <x:c r="Q14" s="490" t="n">
        <x:v>41.08429840597135</x:v>
      </x:c>
      <x:c r="R14" s="493" t="n">
        <x:v>1</x:v>
      </x:c>
      <x:c r="S14" s="494" t="n">
        <x:v>1</x:v>
      </x:c>
    </x:row>
    <x:row r="15" ht="25" customHeight="1">
      <x:c r="A15" s="45" t="str">
        <x:v>WAVE_10</x:v>
      </x:c>
      <x:c r="B15" s="51" t="n">
        <x:v>91</x:v>
      </x:c>
      <x:c r="C15" s="54" t="n">
        <x:f>COUNTIF('StageSpawn'!$B$2:$B$3284,A15)</x:f>
        <x:v>16</x:v>
      </x:c>
      <x:c r="D15" s="54" t="n">
        <x:f>COUNTIFS('StageSpawn'!$B$2:$B$3284,A15,'StageSpawn'!$F$2:$F$3284,"GoblinMelee")+COUNTIFS('StageSpawn'!$B$2:$B$3284,A15,'StageSpawn'!$F$2:$F$3284,"FlyingEye")</x:f>
        <x:v>12</x:v>
      </x:c>
      <x:c r="E15" s="54" t="n">
        <x:f>COUNTIFS('StageSpawn'!$B$2:$B$3284,A15,'StageSpawn'!$F$2:$F$3284,"GoblinRanged")</x:f>
        <x:v>3</x:v>
      </x:c>
      <x:c r="F15" s="54" t="n">
        <x:f>COUNTIFS('StageSpawn'!$B$2:$B$3284,A15,'StageSpawn'!$F$2:$F$3284,"ShieldSkeleton")</x:f>
        <x:v>1</x:v>
      </x:c>
      <x:c r="G15" s="54" t="n">
        <x:f>COUNTIFS('StageSpawn'!$B$2:$B$3284,A15,'StageSpawn'!$F$2:$F$3284,"GoblinBoss")+COUNTIFS('StageSpawn'!$B$2:$B$3284,A15,'StageSpawn'!$F$2:$F$3284,"MushroomBoss")+COUNTIFS('StageSpawn'!$B$2:$B$3284,A15,'StageSpawn'!$F$2:$F$3284,"FlyingEyeBoss")+COUNTIFS('StageSpawn'!$B$2:$B$3284,A15,'StageSpawn'!$F$2:$F$3284,"SkeletonBoss")</x:f>
        <x:v>0</x:v>
      </x:c>
      <x:c r="H15" s="54" t="n">
        <x:f>COUNTIFS('StageSpawn'!$B$2:$B$3284,A15,'StageSpawn'!$F$2:$F$3284,"GoblinMelee")*'EnemyBalance'!$M$2+COUNTIFS('StageSpawn'!$B$2:$B$3284,A15,'StageSpawn'!$F$2:$F$3284,"GoblinRanged")*'EnemyBalance'!$M$3+COUNTIFS('StageSpawn'!$B$2:$B$3284,A15,'StageSpawn'!$F$2:$F$3284,"ShieldSkeleton")*'EnemyBalance'!$M$4+COUNTIFS('StageSpawn'!$B$2:$B$3284,A15,'StageSpawn'!$F$2:$F$3284,"GoblinBoss")*'EnemyBalance'!$M$5+COUNTIFS('StageSpawn'!$B$2:$B$3284,A15,'StageSpawn'!$F$2:$F$3284,"MushroomBoss")*'EnemyBalance'!$M$6+COUNTIFS('StageSpawn'!$B$2:$B$3284,A15,'StageSpawn'!$F$2:$F$3284,"FlyingEye")*'EnemyBalance'!$M$7+COUNTIFS('StageSpawn'!$B$2:$B$3284,A15,'StageSpawn'!$F$2:$F$3284,"FlyingEyeBoss")*'EnemyBalance'!$M$8+COUNTIFS('StageSpawn'!$B$2:$B$3284,A15,'StageSpawn'!$F$2:$F$3284,"SkeletonBoss")*'EnemyBalance'!$M$9</x:f>
        <x:v>17</x:v>
      </x:c>
      <x:c r="I15" s="54" t="n">
        <x:f>SUM($H$6:H15)</x:f>
        <x:v>105</x:v>
      </x:c>
      <x:c r="J15" s="54" t="n">
        <x:v>8</x:v>
      </x:c>
      <x:c r="K15" s="54" t="n">
        <x:v>8</x:v>
      </x:c>
      <x:c r="L15" s="54" t="n">
        <x:v>9</x:v>
      </x:c>
      <x:c r="M15" s="53" t="n">
        <x:v>8.3</x:v>
      </x:c>
      <x:c r="N15" s="53" t="n">
        <x:v>0.3</x:v>
      </x:c>
      <x:c r="O15" s="486" t="n">
        <x:v>1.5</x:v>
      </x:c>
      <x:c r="P15" s="491" t="n">
        <x:v>9.620210301957105</x:v>
      </x:c>
      <x:c r="Q15" s="491" t="n">
        <x:v>42.98084120782842</x:v>
      </x:c>
      <x:c r="R15" s="495" t="n">
        <x:v>1</x:v>
      </x:c>
      <x:c r="S15" s="496" t="n">
        <x:v>1</x:v>
      </x:c>
    </x:row>
    <x:row r="16" ht="25" customHeight="1">
      <x:c r="A16" s="45" t="str">
        <x:v>WAVE_11</x:v>
      </x:c>
      <x:c r="B16" s="51" t="n">
        <x:v>101</x:v>
      </x:c>
      <x:c r="C16" s="54" t="n">
        <x:f>COUNTIF('StageSpawn'!$B$2:$B$3284,A16)</x:f>
        <x:v>17</x:v>
      </x:c>
      <x:c r="D16" s="54" t="n">
        <x:f>COUNTIFS('StageSpawn'!$B$2:$B$3284,A16,'StageSpawn'!$F$2:$F$3284,"GoblinMelee")+COUNTIFS('StageSpawn'!$B$2:$B$3284,A16,'StageSpawn'!$F$2:$F$3284,"FlyingEye")</x:f>
        <x:v>13</x:v>
      </x:c>
      <x:c r="E16" s="54" t="n">
        <x:f>COUNTIFS('StageSpawn'!$B$2:$B$3284,A16,'StageSpawn'!$F$2:$F$3284,"GoblinRanged")</x:f>
        <x:v>3</x:v>
      </x:c>
      <x:c r="F16" s="54" t="n">
        <x:f>COUNTIFS('StageSpawn'!$B$2:$B$3284,A16,'StageSpawn'!$F$2:$F$3284,"ShieldSkeleton")</x:f>
        <x:v>1</x:v>
      </x:c>
      <x:c r="G16" s="54" t="n">
        <x:f>COUNTIFS('StageSpawn'!$B$2:$B$3284,A16,'StageSpawn'!$F$2:$F$3284,"GoblinBoss")+COUNTIFS('StageSpawn'!$B$2:$B$3284,A16,'StageSpawn'!$F$2:$F$3284,"MushroomBoss")+COUNTIFS('StageSpawn'!$B$2:$B$3284,A16,'StageSpawn'!$F$2:$F$3284,"FlyingEyeBoss")+COUNTIFS('StageSpawn'!$B$2:$B$3284,A16,'StageSpawn'!$F$2:$F$3284,"SkeletonBoss")</x:f>
        <x:v>0</x:v>
      </x:c>
      <x:c r="H16" s="54" t="n">
        <x:f>COUNTIFS('StageSpawn'!$B$2:$B$3284,A16,'StageSpawn'!$F$2:$F$3284,"GoblinMelee")*'EnemyBalance'!$M$2+COUNTIFS('StageSpawn'!$B$2:$B$3284,A16,'StageSpawn'!$F$2:$F$3284,"GoblinRanged")*'EnemyBalance'!$M$3+COUNTIFS('StageSpawn'!$B$2:$B$3284,A16,'StageSpawn'!$F$2:$F$3284,"ShieldSkeleton")*'EnemyBalance'!$M$4+COUNTIFS('StageSpawn'!$B$2:$B$3284,A16,'StageSpawn'!$F$2:$F$3284,"GoblinBoss")*'EnemyBalance'!$M$5+COUNTIFS('StageSpawn'!$B$2:$B$3284,A16,'StageSpawn'!$F$2:$F$3284,"MushroomBoss")*'EnemyBalance'!$M$6+COUNTIFS('StageSpawn'!$B$2:$B$3284,A16,'StageSpawn'!$F$2:$F$3284,"FlyingEye")*'EnemyBalance'!$M$7+COUNTIFS('StageSpawn'!$B$2:$B$3284,A16,'StageSpawn'!$F$2:$F$3284,"FlyingEyeBoss")*'EnemyBalance'!$M$8+COUNTIFS('StageSpawn'!$B$2:$B$3284,A16,'StageSpawn'!$F$2:$F$3284,"SkeletonBoss")*'EnemyBalance'!$M$9</x:f>
        <x:v>18</x:v>
      </x:c>
      <x:c r="I16" s="54" t="n">
        <x:f>SUM($H$6:H16)</x:f>
        <x:v>123</x:v>
      </x:c>
      <x:c r="J16" s="54" t="n">
        <x:v>9</x:v>
      </x:c>
      <x:c r="K16" s="54" t="n">
        <x:v>9</x:v>
      </x:c>
      <x:c r="L16" s="54" t="n">
        <x:v>10</x:v>
      </x:c>
      <x:c r="M16" s="53" t="n">
        <x:v>9.4</x:v>
      </x:c>
      <x:c r="N16" s="53" t="n">
        <x:v>0.4</x:v>
      </x:c>
      <x:c r="O16" s="485" t="n">
        <x:v>1.5</x:v>
      </x:c>
      <x:c r="P16" s="490" t="n">
        <x:v>10.123101070278306</x:v>
      </x:c>
      <x:c r="Q16" s="490" t="n">
        <x:v>44.992404281113224</x:v>
      </x:c>
      <x:c r="R16" s="493" t="n">
        <x:v>1</x:v>
      </x:c>
      <x:c r="S16" s="494" t="n">
        <x:v>1</x:v>
      </x:c>
    </x:row>
    <x:row r="17" ht="25" customHeight="1">
      <x:c r="A17" s="45" t="str">
        <x:v>WAVE_12</x:v>
      </x:c>
      <x:c r="B17" s="51" t="n">
        <x:v>111</x:v>
      </x:c>
      <x:c r="C17" s="54" t="n">
        <x:f>COUNTIF('StageSpawn'!$B$2:$B$3284,A17)</x:f>
        <x:v>19</x:v>
      </x:c>
      <x:c r="D17" s="54" t="n">
        <x:f>COUNTIFS('StageSpawn'!$B$2:$B$3284,A17,'StageSpawn'!$F$2:$F$3284,"GoblinMelee")+COUNTIFS('StageSpawn'!$B$2:$B$3284,A17,'StageSpawn'!$F$2:$F$3284,"FlyingEye")</x:f>
        <x:v>13</x:v>
      </x:c>
      <x:c r="E17" s="54" t="n">
        <x:f>COUNTIFS('StageSpawn'!$B$2:$B$3284,A17,'StageSpawn'!$F$2:$F$3284,"GoblinRanged")</x:f>
        <x:v>4</x:v>
      </x:c>
      <x:c r="F17" s="54" t="n">
        <x:f>COUNTIFS('StageSpawn'!$B$2:$B$3284,A17,'StageSpawn'!$F$2:$F$3284,"ShieldSkeleton")</x:f>
        <x:v>1</x:v>
      </x:c>
      <x:c r="G17" s="54" t="n">
        <x:f>COUNTIFS('StageSpawn'!$B$2:$B$3284,A17,'StageSpawn'!$F$2:$F$3284,"GoblinBoss")+COUNTIFS('StageSpawn'!$B$2:$B$3284,A17,'StageSpawn'!$F$2:$F$3284,"MushroomBoss")+COUNTIFS('StageSpawn'!$B$2:$B$3284,A17,'StageSpawn'!$F$2:$F$3284,"FlyingEyeBoss")+COUNTIFS('StageSpawn'!$B$2:$B$3284,A17,'StageSpawn'!$F$2:$F$3284,"SkeletonBoss")</x:f>
        <x:v>1</x:v>
      </x:c>
      <x:c r="H17" s="54" t="n">
        <x:f>COUNTIFS('StageSpawn'!$B$2:$B$3284,A17,'StageSpawn'!$F$2:$F$3284,"GoblinMelee")*'EnemyBalance'!$M$2+COUNTIFS('StageSpawn'!$B$2:$B$3284,A17,'StageSpawn'!$F$2:$F$3284,"GoblinRanged")*'EnemyBalance'!$M$3+COUNTIFS('StageSpawn'!$B$2:$B$3284,A17,'StageSpawn'!$F$2:$F$3284,"ShieldSkeleton")*'EnemyBalance'!$M$4+COUNTIFS('StageSpawn'!$B$2:$B$3284,A17,'StageSpawn'!$F$2:$F$3284,"GoblinBoss")*'EnemyBalance'!$M$5+COUNTIFS('StageSpawn'!$B$2:$B$3284,A17,'StageSpawn'!$F$2:$F$3284,"MushroomBoss")*'EnemyBalance'!$M$6+COUNTIFS('StageSpawn'!$B$2:$B$3284,A17,'StageSpawn'!$F$2:$F$3284,"FlyingEye")*'EnemyBalance'!$M$7+COUNTIFS('StageSpawn'!$B$2:$B$3284,A17,'StageSpawn'!$F$2:$F$3284,"FlyingEyeBoss")*'EnemyBalance'!$M$8+COUNTIFS('StageSpawn'!$B$2:$B$3284,A17,'StageSpawn'!$F$2:$F$3284,"SkeletonBoss")*'EnemyBalance'!$M$9</x:f>
        <x:v>27</x:v>
      </x:c>
      <x:c r="I17" s="54" t="n">
        <x:f>SUM($H$6:H17)</x:f>
        <x:v>150</x:v>
      </x:c>
      <x:c r="J17" s="54" t="n">
        <x:v>10</x:v>
      </x:c>
      <x:c r="K17" s="54" t="n">
        <x:v>10</x:v>
      </x:c>
      <x:c r="L17" s="54" t="n">
        <x:v>11</x:v>
      </x:c>
      <x:c r="M17" s="53" t="n">
        <x:v>10.4</x:v>
      </x:c>
      <x:c r="N17" s="53" t="n">
        <x:v>0.4</x:v>
      </x:c>
      <x:c r="O17" s="486" t="n">
        <x:v>1.9</x:v>
      </x:c>
      <x:c r="P17" s="491" t="n">
        <x:v>13.384076238512153</x:v>
      </x:c>
      <x:c r="Q17" s="491" t="n">
        <x:v>59.236304954048606</x:v>
      </x:c>
      <x:c r="R17" s="495" t="n">
        <x:v>2</x:v>
      </x:c>
      <x:c r="S17" s="496" t="n">
        <x:v>1</x:v>
      </x:c>
    </x:row>
    <x:row r="18">
      <x:c r="A18" t="str">
        <x:v>WAVE_13</x:v>
      </x:c>
      <x:c r="B18" s="409" t="n">
        <x:v>121</x:v>
      </x:c>
      <x:c r="C18" t="n">
        <x:f>COUNTIF('StageSpawn'!$B$2:$B$3284,A18)</x:f>
        <x:v>20</x:v>
      </x:c>
      <x:c r="D18" t="n">
        <x:f>COUNTIFS('StageSpawn'!$B$2:$B$3284,A18,'StageSpawn'!$F$2:$F$3284,"GoblinMelee")+COUNTIFS('StageSpawn'!$B$2:$B$3284,A18,'StageSpawn'!$F$2:$F$3284,"FlyingEye")</x:f>
        <x:v>15</x:v>
      </x:c>
      <x:c r="E18" t="n">
        <x:f>COUNTIFS('StageSpawn'!$B$2:$B$3284,A18,'StageSpawn'!$F$2:$F$3284,"GoblinRanged")</x:f>
        <x:v>4</x:v>
      </x:c>
      <x:c r="F18" t="n">
        <x:f>COUNTIFS('StageSpawn'!$B$2:$B$3284,A18,'StageSpawn'!$F$2:$F$3284,"ShieldSkeleton")</x:f>
        <x:v>1</x:v>
      </x:c>
      <x:c r="G18" t="n">
        <x:f>COUNTIFS('StageSpawn'!$B$2:$B$3284,A18,'StageSpawn'!$F$2:$F$3284,"GoblinBoss")+COUNTIFS('StageSpawn'!$B$2:$B$3284,A18,'StageSpawn'!$F$2:$F$3284,"MushroomBoss")+COUNTIFS('StageSpawn'!$B$2:$B$3284,A18,'StageSpawn'!$F$2:$F$3284,"FlyingEyeBoss")+COUNTIFS('StageSpawn'!$B$2:$B$3284,A18,'StageSpawn'!$F$2:$F$3284,"SkeletonBoss")</x:f>
        <x:v>0</x:v>
      </x:c>
      <x:c r="H18" t="n">
        <x:f>COUNTIFS('StageSpawn'!$B$2:$B$3284,A18,'StageSpawn'!$F$2:$F$3284,"GoblinMelee")*'EnemyBalance'!$M$2+COUNTIFS('StageSpawn'!$B$2:$B$3284,A18,'StageSpawn'!$F$2:$F$3284,"GoblinRanged")*'EnemyBalance'!$M$3+COUNTIFS('StageSpawn'!$B$2:$B$3284,A18,'StageSpawn'!$F$2:$F$3284,"ShieldSkeleton")*'EnemyBalance'!$M$4+COUNTIFS('StageSpawn'!$B$2:$B$3284,A18,'StageSpawn'!$F$2:$F$3284,"GoblinBoss")*'EnemyBalance'!$M$5+COUNTIFS('StageSpawn'!$B$2:$B$3284,A18,'StageSpawn'!$F$2:$F$3284,"MushroomBoss")*'EnemyBalance'!$M$6+COUNTIFS('StageSpawn'!$B$2:$B$3284,A18,'StageSpawn'!$F$2:$F$3284,"FlyingEye")*'EnemyBalance'!$M$7+COUNTIFS('StageSpawn'!$B$2:$B$3284,A18,'StageSpawn'!$F$2:$F$3284,"FlyingEyeBoss")*'EnemyBalance'!$M$8+COUNTIFS('StageSpawn'!$B$2:$B$3284,A18,'StageSpawn'!$F$2:$F$3284,"SkeletonBoss")*'EnemyBalance'!$M$9</x:f>
        <x:v>21</x:v>
      </x:c>
      <x:c r="I18" t="n">
        <x:f>SUM($H$6:H18)</x:f>
        <x:v>171</x:v>
      </x:c>
      <x:c r="J18" t="n">
        <x:v>10</x:v>
      </x:c>
      <x:c r="K18" t="n">
        <x:v>10</x:v>
      </x:c>
      <x:c r="L18" t="n">
        <x:v>11</x:v>
      </x:c>
      <x:c r="M18" s="412" t="n">
        <x:v>10.4</x:v>
      </x:c>
      <x:c r="N18" s="412" t="n">
        <x:v>0.4</x:v>
      </x:c>
      <x:c r="O18" s="487" t="n">
        <x:v>1.9</x:v>
      </x:c>
      <x:c r="P18" s="490" t="n">
        <x:v>13.384076238512153</x:v>
      </x:c>
      <x:c r="Q18" s="490" t="n">
        <x:v>59.236304954048606</x:v>
      </x:c>
      <x:c r="R18" s="493" t="n">
        <x:v>2</x:v>
      </x:c>
      <x:c r="S18" s="494" t="n">
        <x:v>1</x:v>
      </x:c>
    </x:row>
    <x:row r="19">
      <x:c r="A19" t="str">
        <x:v>WAVE_14</x:v>
      </x:c>
      <x:c r="B19" s="409" t="n">
        <x:v>131</x:v>
      </x:c>
      <x:c r="C19" t="n">
        <x:f>COUNTIF('StageSpawn'!$B$2:$B$3284,A19)</x:f>
        <x:v>21</x:v>
      </x:c>
      <x:c r="D19" t="n">
        <x:f>COUNTIFS('StageSpawn'!$B$2:$B$3284,A19,'StageSpawn'!$F$2:$F$3284,"GoblinMelee")+COUNTIFS('StageSpawn'!$B$2:$B$3284,A19,'StageSpawn'!$F$2:$F$3284,"FlyingEye")</x:f>
        <x:v>15</x:v>
      </x:c>
      <x:c r="E19" t="n">
        <x:f>COUNTIFS('StageSpawn'!$B$2:$B$3284,A19,'StageSpawn'!$F$2:$F$3284,"GoblinRanged")</x:f>
        <x:v>4</x:v>
      </x:c>
      <x:c r="F19" t="n">
        <x:f>COUNTIFS('StageSpawn'!$B$2:$B$3284,A19,'StageSpawn'!$F$2:$F$3284,"ShieldSkeleton")</x:f>
        <x:v>2</x:v>
      </x:c>
      <x:c r="G19" t="n">
        <x:f>COUNTIFS('StageSpawn'!$B$2:$B$3284,A19,'StageSpawn'!$F$2:$F$3284,"GoblinBoss")+COUNTIFS('StageSpawn'!$B$2:$B$3284,A19,'StageSpawn'!$F$2:$F$3284,"MushroomBoss")+COUNTIFS('StageSpawn'!$B$2:$B$3284,A19,'StageSpawn'!$F$2:$F$3284,"FlyingEyeBoss")+COUNTIFS('StageSpawn'!$B$2:$B$3284,A19,'StageSpawn'!$F$2:$F$3284,"SkeletonBoss")</x:f>
        <x:v>0</x:v>
      </x:c>
      <x:c r="H19" t="n">
        <x:f>COUNTIFS('StageSpawn'!$B$2:$B$3284,A19,'StageSpawn'!$F$2:$F$3284,"GoblinMelee")*'EnemyBalance'!$M$2+COUNTIFS('StageSpawn'!$B$2:$B$3284,A19,'StageSpawn'!$F$2:$F$3284,"GoblinRanged")*'EnemyBalance'!$M$3+COUNTIFS('StageSpawn'!$B$2:$B$3284,A19,'StageSpawn'!$F$2:$F$3284,"ShieldSkeleton")*'EnemyBalance'!$M$4+COUNTIFS('StageSpawn'!$B$2:$B$3284,A19,'StageSpawn'!$F$2:$F$3284,"GoblinBoss")*'EnemyBalance'!$M$5+COUNTIFS('StageSpawn'!$B$2:$B$3284,A19,'StageSpawn'!$F$2:$F$3284,"MushroomBoss")*'EnemyBalance'!$M$6+COUNTIFS('StageSpawn'!$B$2:$B$3284,A19,'StageSpawn'!$F$2:$F$3284,"FlyingEye")*'EnemyBalance'!$M$7+COUNTIFS('StageSpawn'!$B$2:$B$3284,A19,'StageSpawn'!$F$2:$F$3284,"FlyingEyeBoss")*'EnemyBalance'!$M$8+COUNTIFS('StageSpawn'!$B$2:$B$3284,A19,'StageSpawn'!$F$2:$F$3284,"SkeletonBoss")*'EnemyBalance'!$M$9</x:f>
        <x:v>23</x:v>
      </x:c>
      <x:c r="I19" t="n">
        <x:f>SUM($H$6:H19)</x:f>
        <x:v>194</x:v>
      </x:c>
      <x:c r="J19" t="n">
        <x:v>11</x:v>
      </x:c>
      <x:c r="K19" t="n">
        <x:v>11</x:v>
      </x:c>
      <x:c r="L19" t="n">
        <x:v>12</x:v>
      </x:c>
      <x:c r="M19" s="412" t="n">
        <x:v>11.4</x:v>
      </x:c>
      <x:c r="N19" s="412" t="n">
        <x:v>0.4</x:v>
      </x:c>
      <x:c r="O19" s="488" t="n">
        <x:v>1.9</x:v>
      </x:c>
      <x:c r="P19" s="491" t="n">
        <x:v>13.93149850540086</x:v>
      </x:c>
      <x:c r="Q19" s="491" t="n">
        <x:v>61.42599402160344</x:v>
      </x:c>
      <x:c r="R19" s="495" t="n">
        <x:v>2</x:v>
      </x:c>
      <x:c r="S19" s="496" t="n">
        <x:v>1</x:v>
      </x:c>
    </x:row>
    <x:row r="20">
      <x:c r="A20" t="str">
        <x:v>WAVE_15</x:v>
      </x:c>
      <x:c r="B20" s="409" t="n">
        <x:v>141</x:v>
      </x:c>
      <x:c r="C20" t="n">
        <x:f>COUNTIF('StageSpawn'!$B$2:$B$3284,A20)</x:f>
        <x:v>23</x:v>
      </x:c>
      <x:c r="D20" t="n">
        <x:f>COUNTIFS('StageSpawn'!$B$2:$B$3284,A20,'StageSpawn'!$F$2:$F$3284,"GoblinMelee")+COUNTIFS('StageSpawn'!$B$2:$B$3284,A20,'StageSpawn'!$F$2:$F$3284,"FlyingEye")</x:f>
        <x:v>16</x:v>
      </x:c>
      <x:c r="E20" t="n">
        <x:f>COUNTIFS('StageSpawn'!$B$2:$B$3284,A20,'StageSpawn'!$F$2:$F$3284,"GoblinRanged")</x:f>
        <x:v>5</x:v>
      </x:c>
      <x:c r="F20" t="n">
        <x:f>COUNTIFS('StageSpawn'!$B$2:$B$3284,A20,'StageSpawn'!$F$2:$F$3284,"ShieldSkeleton")</x:f>
        <x:v>2</x:v>
      </x:c>
      <x:c r="G20" t="n">
        <x:f>COUNTIFS('StageSpawn'!$B$2:$B$3284,A20,'StageSpawn'!$F$2:$F$3284,"GoblinBoss")+COUNTIFS('StageSpawn'!$B$2:$B$3284,A20,'StageSpawn'!$F$2:$F$3284,"MushroomBoss")+COUNTIFS('StageSpawn'!$B$2:$B$3284,A20,'StageSpawn'!$F$2:$F$3284,"FlyingEyeBoss")+COUNTIFS('StageSpawn'!$B$2:$B$3284,A20,'StageSpawn'!$F$2:$F$3284,"SkeletonBoss")</x:f>
        <x:v>0</x:v>
      </x:c>
      <x:c r="H20" t="n">
        <x:f>COUNTIFS('StageSpawn'!$B$2:$B$3284,A20,'StageSpawn'!$F$2:$F$3284,"GoblinMelee")*'EnemyBalance'!$M$2+COUNTIFS('StageSpawn'!$B$2:$B$3284,A20,'StageSpawn'!$F$2:$F$3284,"GoblinRanged")*'EnemyBalance'!$M$3+COUNTIFS('StageSpawn'!$B$2:$B$3284,A20,'StageSpawn'!$F$2:$F$3284,"ShieldSkeleton")*'EnemyBalance'!$M$4+COUNTIFS('StageSpawn'!$B$2:$B$3284,A20,'StageSpawn'!$F$2:$F$3284,"GoblinBoss")*'EnemyBalance'!$M$5+COUNTIFS('StageSpawn'!$B$2:$B$3284,A20,'StageSpawn'!$F$2:$F$3284,"MushroomBoss")*'EnemyBalance'!$M$6+COUNTIFS('StageSpawn'!$B$2:$B$3284,A20,'StageSpawn'!$F$2:$F$3284,"FlyingEye")*'EnemyBalance'!$M$7+COUNTIFS('StageSpawn'!$B$2:$B$3284,A20,'StageSpawn'!$F$2:$F$3284,"FlyingEyeBoss")*'EnemyBalance'!$M$8+COUNTIFS('StageSpawn'!$B$2:$B$3284,A20,'StageSpawn'!$F$2:$F$3284,"SkeletonBoss")*'EnemyBalance'!$M$9</x:f>
        <x:v>25</x:v>
      </x:c>
      <x:c r="I20" t="n">
        <x:f>SUM($H$6:H20)</x:f>
        <x:v>219</x:v>
      </x:c>
      <x:c r="J20" t="n">
        <x:v>12</x:v>
      </x:c>
      <x:c r="K20" t="n">
        <x:v>12</x:v>
      </x:c>
      <x:c r="L20" t="n">
        <x:v>13</x:v>
      </x:c>
      <x:c r="M20" s="412" t="n">
        <x:v>12.5</x:v>
      </x:c>
      <x:c r="N20" s="412" t="n">
        <x:v>0.5</x:v>
      </x:c>
      <x:c r="O20" s="487" t="n">
        <x:v>1.9</x:v>
      </x:c>
      <x:c r="P20" s="490" t="n">
        <x:v>14.519781461373654</x:v>
      </x:c>
      <x:c r="Q20" s="490" t="n">
        <x:v>63.77912584549461</x:v>
      </x:c>
      <x:c r="R20" s="493" t="n">
        <x:v>2</x:v>
      </x:c>
      <x:c r="S20" s="494" t="n">
        <x:v>1</x:v>
      </x:c>
    </x:row>
    <x:row r="21">
      <x:c r="A21" t="str">
        <x:v>WAVE_16</x:v>
      </x:c>
      <x:c r="B21" s="409" t="n">
        <x:v>151</x:v>
      </x:c>
      <x:c r="C21" t="n">
        <x:f>COUNTIF('StageSpawn'!$B$2:$B$3284,A21)</x:f>
        <x:v>24</x:v>
      </x:c>
      <x:c r="D21" t="n">
        <x:f>COUNTIFS('StageSpawn'!$B$2:$B$3284,A21,'StageSpawn'!$F$2:$F$3284,"GoblinMelee")+COUNTIFS('StageSpawn'!$B$2:$B$3284,A21,'StageSpawn'!$F$2:$F$3284,"FlyingEye")</x:f>
        <x:v>17</x:v>
      </x:c>
      <x:c r="E21" t="n">
        <x:f>COUNTIFS('StageSpawn'!$B$2:$B$3284,A21,'StageSpawn'!$F$2:$F$3284,"GoblinRanged")</x:f>
        <x:v>5</x:v>
      </x:c>
      <x:c r="F21" t="n">
        <x:f>COUNTIFS('StageSpawn'!$B$2:$B$3284,A21,'StageSpawn'!$F$2:$F$3284,"ShieldSkeleton")</x:f>
        <x:v>2</x:v>
      </x:c>
      <x:c r="G21" t="n">
        <x:f>COUNTIFS('StageSpawn'!$B$2:$B$3284,A21,'StageSpawn'!$F$2:$F$3284,"GoblinBoss")+COUNTIFS('StageSpawn'!$B$2:$B$3284,A21,'StageSpawn'!$F$2:$F$3284,"MushroomBoss")+COUNTIFS('StageSpawn'!$B$2:$B$3284,A21,'StageSpawn'!$F$2:$F$3284,"FlyingEyeBoss")+COUNTIFS('StageSpawn'!$B$2:$B$3284,A21,'StageSpawn'!$F$2:$F$3284,"SkeletonBoss")</x:f>
        <x:v>0</x:v>
      </x:c>
      <x:c r="H21" t="n">
        <x:f>COUNTIFS('StageSpawn'!$B$2:$B$3284,A21,'StageSpawn'!$F$2:$F$3284,"GoblinMelee")*'EnemyBalance'!$M$2+COUNTIFS('StageSpawn'!$B$2:$B$3284,A21,'StageSpawn'!$F$2:$F$3284,"GoblinRanged")*'EnemyBalance'!$M$3+COUNTIFS('StageSpawn'!$B$2:$B$3284,A21,'StageSpawn'!$F$2:$F$3284,"ShieldSkeleton")*'EnemyBalance'!$M$4+COUNTIFS('StageSpawn'!$B$2:$B$3284,A21,'StageSpawn'!$F$2:$F$3284,"GoblinBoss")*'EnemyBalance'!$M$5+COUNTIFS('StageSpawn'!$B$2:$B$3284,A21,'StageSpawn'!$F$2:$F$3284,"MushroomBoss")*'EnemyBalance'!$M$6+COUNTIFS('StageSpawn'!$B$2:$B$3284,A21,'StageSpawn'!$F$2:$F$3284,"FlyingEye")*'EnemyBalance'!$M$7+COUNTIFS('StageSpawn'!$B$2:$B$3284,A21,'StageSpawn'!$F$2:$F$3284,"FlyingEyeBoss")*'EnemyBalance'!$M$8+COUNTIFS('StageSpawn'!$B$2:$B$3284,A21,'StageSpawn'!$F$2:$F$3284,"SkeletonBoss")*'EnemyBalance'!$M$9</x:f>
        <x:v>26</x:v>
      </x:c>
      <x:c r="I21" t="n">
        <x:f>SUM($H$6:H21)</x:f>
        <x:v>245</x:v>
      </x:c>
      <x:c r="J21" t="n">
        <x:v>13</x:v>
      </x:c>
      <x:c r="K21" t="n">
        <x:v>13</x:v>
      </x:c>
      <x:c r="L21" t="n">
        <x:v>14</x:v>
      </x:c>
      <x:c r="M21" s="412" t="n">
        <x:v>13.5</x:v>
      </x:c>
      <x:c r="N21" s="412" t="n">
        <x:v>0.5</x:v>
      </x:c>
      <x:c r="O21" s="488" t="n">
        <x:v>2.4</x:v>
      </x:c>
      <x:c r="P21" s="491" t="n">
        <x:v>19.002489168102784</x:v>
      </x:c>
      <x:c r="Q21" s="491" t="n">
        <x:v>83.20995667241114</x:v>
      </x:c>
      <x:c r="R21" s="495" t="n">
        <x:v>2</x:v>
      </x:c>
      <x:c r="S21" s="496" t="n">
        <x:v>1</x:v>
      </x:c>
    </x:row>
    <x:row r="22">
      <x:c r="A22" t="str">
        <x:v>WAVE_17</x:v>
      </x:c>
      <x:c r="B22" s="409" t="n">
        <x:v>161</x:v>
      </x:c>
      <x:c r="C22" t="n">
        <x:f>COUNTIF('StageSpawn'!$B$2:$B$3284,A22)</x:f>
        <x:v>26</x:v>
      </x:c>
      <x:c r="D22" t="n">
        <x:f>COUNTIFS('StageSpawn'!$B$2:$B$3284,A22,'StageSpawn'!$F$2:$F$3284,"GoblinMelee")+COUNTIFS('StageSpawn'!$B$2:$B$3284,A22,'StageSpawn'!$F$2:$F$3284,"FlyingEye")</x:f>
        <x:v>18</x:v>
      </x:c>
      <x:c r="E22" t="n">
        <x:f>COUNTIFS('StageSpawn'!$B$2:$B$3284,A22,'StageSpawn'!$F$2:$F$3284,"GoblinRanged")</x:f>
        <x:v>6</x:v>
      </x:c>
      <x:c r="F22" t="n">
        <x:f>COUNTIFS('StageSpawn'!$B$2:$B$3284,A22,'StageSpawn'!$F$2:$F$3284,"ShieldSkeleton")</x:f>
        <x:v>2</x:v>
      </x:c>
      <x:c r="G22" t="n">
        <x:f>COUNTIFS('StageSpawn'!$B$2:$B$3284,A22,'StageSpawn'!$F$2:$F$3284,"GoblinBoss")+COUNTIFS('StageSpawn'!$B$2:$B$3284,A22,'StageSpawn'!$F$2:$F$3284,"MushroomBoss")+COUNTIFS('StageSpawn'!$B$2:$B$3284,A22,'StageSpawn'!$F$2:$F$3284,"FlyingEyeBoss")+COUNTIFS('StageSpawn'!$B$2:$B$3284,A22,'StageSpawn'!$F$2:$F$3284,"SkeletonBoss")</x:f>
        <x:v>0</x:v>
      </x:c>
      <x:c r="H22" t="n">
        <x:f>COUNTIFS('StageSpawn'!$B$2:$B$3284,A22,'StageSpawn'!$F$2:$F$3284,"GoblinMelee")*'EnemyBalance'!$M$2+COUNTIFS('StageSpawn'!$B$2:$B$3284,A22,'StageSpawn'!$F$2:$F$3284,"GoblinRanged")*'EnemyBalance'!$M$3+COUNTIFS('StageSpawn'!$B$2:$B$3284,A22,'StageSpawn'!$F$2:$F$3284,"ShieldSkeleton")*'EnemyBalance'!$M$4+COUNTIFS('StageSpawn'!$B$2:$B$3284,A22,'StageSpawn'!$F$2:$F$3284,"GoblinBoss")*'EnemyBalance'!$M$5+COUNTIFS('StageSpawn'!$B$2:$B$3284,A22,'StageSpawn'!$F$2:$F$3284,"MushroomBoss")*'EnemyBalance'!$M$6+COUNTIFS('StageSpawn'!$B$2:$B$3284,A22,'StageSpawn'!$F$2:$F$3284,"FlyingEye")*'EnemyBalance'!$M$7+COUNTIFS('StageSpawn'!$B$2:$B$3284,A22,'StageSpawn'!$F$2:$F$3284,"FlyingEyeBoss")*'EnemyBalance'!$M$8+COUNTIFS('StageSpawn'!$B$2:$B$3284,A22,'StageSpawn'!$F$2:$F$3284,"SkeletonBoss")*'EnemyBalance'!$M$9</x:f>
        <x:v>28</x:v>
      </x:c>
      <x:c r="I22" t="n">
        <x:f>SUM($H$6:H22)</x:f>
        <x:v>273</x:v>
      </x:c>
      <x:c r="J22" t="n">
        <x:v>14</x:v>
      </x:c>
      <x:c r="K22" t="n">
        <x:v>14</x:v>
      </x:c>
      <x:c r="L22" t="n">
        <x:v>15</x:v>
      </x:c>
      <x:c r="M22" s="412" t="n">
        <x:v>14.5</x:v>
      </x:c>
      <x:c r="N22" s="412" t="n">
        <x:v>0.5</x:v>
      </x:c>
      <x:c r="O22" s="487" t="n">
        <x:v>2.4</x:v>
      </x:c>
      <x:c r="P22" s="490" t="n">
        <x:v>19.652638612916522</x:v>
      </x:c>
      <x:c r="Q22" s="490" t="n">
        <x:v>85.81055445166608</x:v>
      </x:c>
      <x:c r="R22" s="493" t="n">
        <x:v>2</x:v>
      </x:c>
      <x:c r="S22" s="494" t="n">
        <x:v>1</x:v>
      </x:c>
    </x:row>
    <x:row r="23">
      <x:c r="A23" t="str">
        <x:v>WAVE_18</x:v>
      </x:c>
      <x:c r="B23" s="409" t="n">
        <x:v>171</x:v>
      </x:c>
      <x:c r="C23" t="n">
        <x:f>COUNTIF('StageSpawn'!$B$2:$B$3284,A23)</x:f>
        <x:v>27</x:v>
      </x:c>
      <x:c r="D23" t="n">
        <x:f>COUNTIFS('StageSpawn'!$B$2:$B$3284,A23,'StageSpawn'!$F$2:$F$3284,"GoblinMelee")+COUNTIFS('StageSpawn'!$B$2:$B$3284,A23,'StageSpawn'!$F$2:$F$3284,"FlyingEye")</x:f>
        <x:v>19</x:v>
      </x:c>
      <x:c r="E23" t="n">
        <x:f>COUNTIFS('StageSpawn'!$B$2:$B$3284,A23,'StageSpawn'!$F$2:$F$3284,"GoblinRanged")</x:f>
        <x:v>6</x:v>
      </x:c>
      <x:c r="F23" t="n">
        <x:f>COUNTIFS('StageSpawn'!$B$2:$B$3284,A23,'StageSpawn'!$F$2:$F$3284,"ShieldSkeleton")</x:f>
        <x:v>2</x:v>
      </x:c>
      <x:c r="G23" t="n">
        <x:f>COUNTIFS('StageSpawn'!$B$2:$B$3284,A23,'StageSpawn'!$F$2:$F$3284,"GoblinBoss")+COUNTIFS('StageSpawn'!$B$2:$B$3284,A23,'StageSpawn'!$F$2:$F$3284,"MushroomBoss")+COUNTIFS('StageSpawn'!$B$2:$B$3284,A23,'StageSpawn'!$F$2:$F$3284,"FlyingEyeBoss")+COUNTIFS('StageSpawn'!$B$2:$B$3284,A23,'StageSpawn'!$F$2:$F$3284,"SkeletonBoss")</x:f>
        <x:v>0</x:v>
      </x:c>
      <x:c r="H23" t="n">
        <x:f>COUNTIFS('StageSpawn'!$B$2:$B$3284,A23,'StageSpawn'!$F$2:$F$3284,"GoblinMelee")*'EnemyBalance'!$M$2+COUNTIFS('StageSpawn'!$B$2:$B$3284,A23,'StageSpawn'!$F$2:$F$3284,"GoblinRanged")*'EnemyBalance'!$M$3+COUNTIFS('StageSpawn'!$B$2:$B$3284,A23,'StageSpawn'!$F$2:$F$3284,"ShieldSkeleton")*'EnemyBalance'!$M$4+COUNTIFS('StageSpawn'!$B$2:$B$3284,A23,'StageSpawn'!$F$2:$F$3284,"GoblinBoss")*'EnemyBalance'!$M$5+COUNTIFS('StageSpawn'!$B$2:$B$3284,A23,'StageSpawn'!$F$2:$F$3284,"MushroomBoss")*'EnemyBalance'!$M$6+COUNTIFS('StageSpawn'!$B$2:$B$3284,A23,'StageSpawn'!$F$2:$F$3284,"FlyingEye")*'EnemyBalance'!$M$7+COUNTIFS('StageSpawn'!$B$2:$B$3284,A23,'StageSpawn'!$F$2:$F$3284,"FlyingEyeBoss")*'EnemyBalance'!$M$8+COUNTIFS('StageSpawn'!$B$2:$B$3284,A23,'StageSpawn'!$F$2:$F$3284,"SkeletonBoss")*'EnemyBalance'!$M$9</x:f>
        <x:v>29</x:v>
      </x:c>
      <x:c r="I23" t="n">
        <x:f>SUM($H$6:H23)</x:f>
        <x:v>302</x:v>
      </x:c>
      <x:c r="J23" t="n">
        <x:v>14</x:v>
      </x:c>
      <x:c r="K23" t="n">
        <x:v>14</x:v>
      </x:c>
      <x:c r="L23" t="n">
        <x:v>15</x:v>
      </x:c>
      <x:c r="M23" s="412" t="n">
        <x:v>14.6</x:v>
      </x:c>
      <x:c r="N23" s="412" t="n">
        <x:v>0.6</x:v>
      </x:c>
      <x:c r="O23" s="488" t="n">
        <x:v>2.4</x:v>
      </x:c>
      <x:c r="P23" s="491" t="n">
        <x:v>19.717068277150997</x:v>
      </x:c>
      <x:c r="Q23" s="491" t="n">
        <x:v>86.06827310860399</x:v>
      </x:c>
      <x:c r="R23" s="495" t="n">
        <x:v>2</x:v>
      </x:c>
      <x:c r="S23" s="496" t="n">
        <x:v>1</x:v>
      </x:c>
    </x:row>
    <x:row r="24">
      <x:c r="A24" t="str">
        <x:v>WAVE_19</x:v>
      </x:c>
      <x:c r="B24" s="409" t="n">
        <x:v>181</x:v>
      </x:c>
      <x:c r="C24" t="n">
        <x:f>COUNTIF('StageSpawn'!$B$2:$B$3284,A24)</x:f>
        <x:v>29</x:v>
      </x:c>
      <x:c r="D24" t="n">
        <x:f>COUNTIFS('StageSpawn'!$B$2:$B$3284,A24,'StageSpawn'!$F$2:$F$3284,"GoblinMelee")+COUNTIFS('StageSpawn'!$B$2:$B$3284,A24,'StageSpawn'!$F$2:$F$3284,"FlyingEye")</x:f>
        <x:v>21</x:v>
      </x:c>
      <x:c r="E24" t="n">
        <x:f>COUNTIFS('StageSpawn'!$B$2:$B$3284,A24,'StageSpawn'!$F$2:$F$3284,"GoblinRanged")</x:f>
        <x:v>6</x:v>
      </x:c>
      <x:c r="F24" t="n">
        <x:f>COUNTIFS('StageSpawn'!$B$2:$B$3284,A24,'StageSpawn'!$F$2:$F$3284,"ShieldSkeleton")</x:f>
        <x:v>2</x:v>
      </x:c>
      <x:c r="G24" t="n">
        <x:f>COUNTIFS('StageSpawn'!$B$2:$B$3284,A24,'StageSpawn'!$F$2:$F$3284,"GoblinBoss")+COUNTIFS('StageSpawn'!$B$2:$B$3284,A24,'StageSpawn'!$F$2:$F$3284,"MushroomBoss")+COUNTIFS('StageSpawn'!$B$2:$B$3284,A24,'StageSpawn'!$F$2:$F$3284,"FlyingEyeBoss")+COUNTIFS('StageSpawn'!$B$2:$B$3284,A24,'StageSpawn'!$F$2:$F$3284,"SkeletonBoss")</x:f>
        <x:v>0</x:v>
      </x:c>
      <x:c r="H24" t="n">
        <x:f>COUNTIFS('StageSpawn'!$B$2:$B$3284,A24,'StageSpawn'!$F$2:$F$3284,"GoblinMelee")*'EnemyBalance'!$M$2+COUNTIFS('StageSpawn'!$B$2:$B$3284,A24,'StageSpawn'!$F$2:$F$3284,"GoblinRanged")*'EnemyBalance'!$M$3+COUNTIFS('StageSpawn'!$B$2:$B$3284,A24,'StageSpawn'!$F$2:$F$3284,"ShieldSkeleton")*'EnemyBalance'!$M$4+COUNTIFS('StageSpawn'!$B$2:$B$3284,A24,'StageSpawn'!$F$2:$F$3284,"GoblinBoss")*'EnemyBalance'!$M$5+COUNTIFS('StageSpawn'!$B$2:$B$3284,A24,'StageSpawn'!$F$2:$F$3284,"MushroomBoss")*'EnemyBalance'!$M$6+COUNTIFS('StageSpawn'!$B$2:$B$3284,A24,'StageSpawn'!$F$2:$F$3284,"FlyingEye")*'EnemyBalance'!$M$7+COUNTIFS('StageSpawn'!$B$2:$B$3284,A24,'StageSpawn'!$F$2:$F$3284,"FlyingEyeBoss")*'EnemyBalance'!$M$8+COUNTIFS('StageSpawn'!$B$2:$B$3284,A24,'StageSpawn'!$F$2:$F$3284,"SkeletonBoss")*'EnemyBalance'!$M$9</x:f>
        <x:v>31</x:v>
      </x:c>
      <x:c r="I24" t="n">
        <x:f>SUM($H$6:H24)</x:f>
        <x:v>333</x:v>
      </x:c>
      <x:c r="J24" t="n">
        <x:v>15</x:v>
      </x:c>
      <x:c r="K24" t="n">
        <x:v>15</x:v>
      </x:c>
      <x:c r="L24" t="n">
        <x:v>16</x:v>
      </x:c>
      <x:c r="M24" s="412" t="n">
        <x:v>15.6</x:v>
      </x:c>
      <x:c r="N24" s="412" t="n">
        <x:v>0.6</x:v>
      </x:c>
      <x:c r="O24" s="487" t="n">
        <x:v>2.4</x:v>
      </x:c>
      <x:c r="P24" s="490" t="n">
        <x:v>20.35594905521346</x:v>
      </x:c>
      <x:c r="Q24" s="490" t="n">
        <x:v>88.62379622085385</x:v>
      </x:c>
      <x:c r="R24" s="493" t="n">
        <x:v>2</x:v>
      </x:c>
      <x:c r="S24" s="494" t="n">
        <x:v>1</x:v>
      </x:c>
    </x:row>
    <x:row r="25">
      <x:c r="A25" t="str">
        <x:v>WAVE_20</x:v>
      </x:c>
      <x:c r="B25" s="409" t="n">
        <x:v>191</x:v>
      </x:c>
      <x:c r="C25" t="n">
        <x:f>COUNTIF('StageSpawn'!$B$2:$B$3284,A25)</x:f>
        <x:v>30</x:v>
      </x:c>
      <x:c r="D25" t="n">
        <x:f>COUNTIFS('StageSpawn'!$B$2:$B$3284,A25,'StageSpawn'!$F$2:$F$3284,"GoblinMelee")+COUNTIFS('StageSpawn'!$B$2:$B$3284,A25,'StageSpawn'!$F$2:$F$3284,"FlyingEye")</x:f>
        <x:v>21</x:v>
      </x:c>
      <x:c r="E25" t="n">
        <x:f>COUNTIFS('StageSpawn'!$B$2:$B$3284,A25,'StageSpawn'!$F$2:$F$3284,"GoblinRanged")</x:f>
        <x:v>7</x:v>
      </x:c>
      <x:c r="F25" t="n">
        <x:f>COUNTIFS('StageSpawn'!$B$2:$B$3284,A25,'StageSpawn'!$F$2:$F$3284,"ShieldSkeleton")</x:f>
        <x:v>2</x:v>
      </x:c>
      <x:c r="G25" t="n">
        <x:f>COUNTIFS('StageSpawn'!$B$2:$B$3284,A25,'StageSpawn'!$F$2:$F$3284,"GoblinBoss")+COUNTIFS('StageSpawn'!$B$2:$B$3284,A25,'StageSpawn'!$F$2:$F$3284,"MushroomBoss")+COUNTIFS('StageSpawn'!$B$2:$B$3284,A25,'StageSpawn'!$F$2:$F$3284,"FlyingEyeBoss")+COUNTIFS('StageSpawn'!$B$2:$B$3284,A25,'StageSpawn'!$F$2:$F$3284,"SkeletonBoss")</x:f>
        <x:v>0</x:v>
      </x:c>
      <x:c r="H25" t="n">
        <x:f>COUNTIFS('StageSpawn'!$B$2:$B$3284,A25,'StageSpawn'!$F$2:$F$3284,"GoblinMelee")*'EnemyBalance'!$M$2+COUNTIFS('StageSpawn'!$B$2:$B$3284,A25,'StageSpawn'!$F$2:$F$3284,"GoblinRanged")*'EnemyBalance'!$M$3+COUNTIFS('StageSpawn'!$B$2:$B$3284,A25,'StageSpawn'!$F$2:$F$3284,"ShieldSkeleton")*'EnemyBalance'!$M$4+COUNTIFS('StageSpawn'!$B$2:$B$3284,A25,'StageSpawn'!$F$2:$F$3284,"GoblinBoss")*'EnemyBalance'!$M$5+COUNTIFS('StageSpawn'!$B$2:$B$3284,A25,'StageSpawn'!$F$2:$F$3284,"MushroomBoss")*'EnemyBalance'!$M$6+COUNTIFS('StageSpawn'!$B$2:$B$3284,A25,'StageSpawn'!$F$2:$F$3284,"FlyingEye")*'EnemyBalance'!$M$7+COUNTIFS('StageSpawn'!$B$2:$B$3284,A25,'StageSpawn'!$F$2:$F$3284,"FlyingEyeBoss")*'EnemyBalance'!$M$8+COUNTIFS('StageSpawn'!$B$2:$B$3284,A25,'StageSpawn'!$F$2:$F$3284,"SkeletonBoss")*'EnemyBalance'!$M$9</x:f>
        <x:v>32</x:v>
      </x:c>
      <x:c r="I25" t="n">
        <x:f>SUM($H$6:H25)</x:f>
        <x:v>365</x:v>
      </x:c>
      <x:c r="J25" t="n">
        <x:v>16</x:v>
      </x:c>
      <x:c r="K25" t="n">
        <x:v>16</x:v>
      </x:c>
      <x:c r="L25" t="n">
        <x:v>17</x:v>
      </x:c>
      <x:c r="M25" s="412" t="n">
        <x:v>16.6</x:v>
      </x:c>
      <x:c r="N25" s="412" t="n">
        <x:v>0.6</x:v>
      </x:c>
      <x:c r="O25" s="488" t="n">
        <x:v>3</x:v>
      </x:c>
      <x:c r="P25" s="491" t="n">
        <x:v>26.232093005647066</x:v>
      </x:c>
      <x:c r="Q25" s="491" t="n">
        <x:v>113.92837202258826</x:v>
      </x:c>
      <x:c r="R25" s="495" t="n">
        <x:v>2</x:v>
      </x:c>
      <x:c r="S25" s="496" t="n">
        <x:v>1</x:v>
      </x:c>
    </x:row>
    <x:row r="26">
      <x:c r="A26" t="str">
        <x:v>WAVE_21</x:v>
      </x:c>
      <x:c r="B26" s="409" t="n">
        <x:v>201</x:v>
      </x:c>
      <x:c r="C26" t="n">
        <x:f>COUNTIF('StageSpawn'!$B$2:$B$3284,A26)</x:f>
        <x:v>32</x:v>
      </x:c>
      <x:c r="D26" t="n">
        <x:f>COUNTIFS('StageSpawn'!$B$2:$B$3284,A26,'StageSpawn'!$F$2:$F$3284,"GoblinMelee")+COUNTIFS('StageSpawn'!$B$2:$B$3284,A26,'StageSpawn'!$F$2:$F$3284,"FlyingEye")</x:f>
        <x:v>22</x:v>
      </x:c>
      <x:c r="E26" t="n">
        <x:f>COUNTIFS('StageSpawn'!$B$2:$B$3284,A26,'StageSpawn'!$F$2:$F$3284,"GoblinRanged")</x:f>
        <x:v>7</x:v>
      </x:c>
      <x:c r="F26" t="n">
        <x:f>COUNTIFS('StageSpawn'!$B$2:$B$3284,A26,'StageSpawn'!$F$2:$F$3284,"ShieldSkeleton")</x:f>
        <x:v>3</x:v>
      </x:c>
      <x:c r="G26" t="n">
        <x:f>COUNTIFS('StageSpawn'!$B$2:$B$3284,A26,'StageSpawn'!$F$2:$F$3284,"GoblinBoss")+COUNTIFS('StageSpawn'!$B$2:$B$3284,A26,'StageSpawn'!$F$2:$F$3284,"MushroomBoss")+COUNTIFS('StageSpawn'!$B$2:$B$3284,A26,'StageSpawn'!$F$2:$F$3284,"FlyingEyeBoss")+COUNTIFS('StageSpawn'!$B$2:$B$3284,A26,'StageSpawn'!$F$2:$F$3284,"SkeletonBoss")</x:f>
        <x:v>0</x:v>
      </x:c>
      <x:c r="H26" t="n">
        <x:f>COUNTIFS('StageSpawn'!$B$2:$B$3284,A26,'StageSpawn'!$F$2:$F$3284,"GoblinMelee")*'EnemyBalance'!$M$2+COUNTIFS('StageSpawn'!$B$2:$B$3284,A26,'StageSpawn'!$F$2:$F$3284,"GoblinRanged")*'EnemyBalance'!$M$3+COUNTIFS('StageSpawn'!$B$2:$B$3284,A26,'StageSpawn'!$F$2:$F$3284,"ShieldSkeleton")*'EnemyBalance'!$M$4+COUNTIFS('StageSpawn'!$B$2:$B$3284,A26,'StageSpawn'!$F$2:$F$3284,"GoblinBoss")*'EnemyBalance'!$M$5+COUNTIFS('StageSpawn'!$B$2:$B$3284,A26,'StageSpawn'!$F$2:$F$3284,"MushroomBoss")*'EnemyBalance'!$M$6+COUNTIFS('StageSpawn'!$B$2:$B$3284,A26,'StageSpawn'!$F$2:$F$3284,"FlyingEye")*'EnemyBalance'!$M$7+COUNTIFS('StageSpawn'!$B$2:$B$3284,A26,'StageSpawn'!$F$2:$F$3284,"FlyingEyeBoss")*'EnemyBalance'!$M$8+COUNTIFS('StageSpawn'!$B$2:$B$3284,A26,'StageSpawn'!$F$2:$F$3284,"SkeletonBoss")*'EnemyBalance'!$M$9</x:f>
        <x:v>35</x:v>
      </x:c>
      <x:c r="I26" t="n">
        <x:f>SUM($H$6:H26)</x:f>
        <x:v>400</x:v>
      </x:c>
      <x:c r="J26" t="n">
        <x:v>17</x:v>
      </x:c>
      <x:c r="K26" t="n">
        <x:v>17</x:v>
      </x:c>
      <x:c r="L26" t="n">
        <x:v>18</x:v>
      </x:c>
      <x:c r="M26" s="412" t="n">
        <x:v>17.7</x:v>
      </x:c>
      <x:c r="N26" s="412" t="n">
        <x:v>0.7</x:v>
      </x:c>
      <x:c r="O26" s="487" t="n">
        <x:v>3</x:v>
      </x:c>
      <x:c r="P26" s="490" t="n">
        <x:v>27.086036538268303</x:v>
      </x:c>
      <x:c r="Q26" s="490" t="n">
        <x:v>117.34414615307321</x:v>
      </x:c>
      <x:c r="R26" s="493" t="n">
        <x:v>2</x:v>
      </x:c>
      <x:c r="S26" s="494" t="n">
        <x:v>1</x:v>
      </x:c>
    </x:row>
    <x:row r="27">
      <x:c r="A27" t="str">
        <x:v>WAVE_22</x:v>
      </x:c>
      <x:c r="B27" s="409" t="n">
        <x:v>211</x:v>
      </x:c>
      <x:c r="C27" t="n">
        <x:f>COUNTIF('StageSpawn'!$B$2:$B$3284,A27)</x:f>
        <x:v>34</x:v>
      </x:c>
      <x:c r="D27" t="n">
        <x:f>COUNTIFS('StageSpawn'!$B$2:$B$3284,A27,'StageSpawn'!$F$2:$F$3284,"GoblinMelee")+COUNTIFS('StageSpawn'!$B$2:$B$3284,A27,'StageSpawn'!$F$2:$F$3284,"FlyingEye")</x:f>
        <x:v>23</x:v>
      </x:c>
      <x:c r="E27" t="n">
        <x:f>COUNTIFS('StageSpawn'!$B$2:$B$3284,A27,'StageSpawn'!$F$2:$F$3284,"GoblinRanged")</x:f>
        <x:v>8</x:v>
      </x:c>
      <x:c r="F27" t="n">
        <x:f>COUNTIFS('StageSpawn'!$B$2:$B$3284,A27,'StageSpawn'!$F$2:$F$3284,"ShieldSkeleton")</x:f>
        <x:v>3</x:v>
      </x:c>
      <x:c r="G27" t="n">
        <x:f>COUNTIFS('StageSpawn'!$B$2:$B$3284,A27,'StageSpawn'!$F$2:$F$3284,"GoblinBoss")+COUNTIFS('StageSpawn'!$B$2:$B$3284,A27,'StageSpawn'!$F$2:$F$3284,"MushroomBoss")+COUNTIFS('StageSpawn'!$B$2:$B$3284,A27,'StageSpawn'!$F$2:$F$3284,"FlyingEyeBoss")+COUNTIFS('StageSpawn'!$B$2:$B$3284,A27,'StageSpawn'!$F$2:$F$3284,"SkeletonBoss")</x:f>
        <x:v>0</x:v>
      </x:c>
      <x:c r="H27" t="n">
        <x:f>COUNTIFS('StageSpawn'!$B$2:$B$3284,A27,'StageSpawn'!$F$2:$F$3284,"GoblinMelee")*'EnemyBalance'!$M$2+COUNTIFS('StageSpawn'!$B$2:$B$3284,A27,'StageSpawn'!$F$2:$F$3284,"GoblinRanged")*'EnemyBalance'!$M$3+COUNTIFS('StageSpawn'!$B$2:$B$3284,A27,'StageSpawn'!$F$2:$F$3284,"ShieldSkeleton")*'EnemyBalance'!$M$4+COUNTIFS('StageSpawn'!$B$2:$B$3284,A27,'StageSpawn'!$F$2:$F$3284,"GoblinBoss")*'EnemyBalance'!$M$5+COUNTIFS('StageSpawn'!$B$2:$B$3284,A27,'StageSpawn'!$F$2:$F$3284,"MushroomBoss")*'EnemyBalance'!$M$6+COUNTIFS('StageSpawn'!$B$2:$B$3284,A27,'StageSpawn'!$F$2:$F$3284,"FlyingEye")*'EnemyBalance'!$M$7+COUNTIFS('StageSpawn'!$B$2:$B$3284,A27,'StageSpawn'!$F$2:$F$3284,"FlyingEyeBoss")*'EnemyBalance'!$M$8+COUNTIFS('StageSpawn'!$B$2:$B$3284,A27,'StageSpawn'!$F$2:$F$3284,"SkeletonBoss")*'EnemyBalance'!$M$9</x:f>
        <x:v>37</x:v>
      </x:c>
      <x:c r="I27" t="n">
        <x:f>SUM($H$6:H27)</x:f>
        <x:v>437</x:v>
      </x:c>
      <x:c r="J27" t="n">
        <x:v>17</x:v>
      </x:c>
      <x:c r="K27" t="n">
        <x:v>17</x:v>
      </x:c>
      <x:c r="L27" t="n">
        <x:v>18</x:v>
      </x:c>
      <x:c r="M27" s="412" t="n">
        <x:v>17.7</x:v>
      </x:c>
      <x:c r="N27" s="412" t="n">
        <x:v>0.7</x:v>
      </x:c>
      <x:c r="O27" s="488" t="n">
        <x:v>3</x:v>
      </x:c>
      <x:c r="P27" s="491" t="n">
        <x:v>27.086036538268303</x:v>
      </x:c>
      <x:c r="Q27" s="491" t="n">
        <x:v>117.34414615307321</x:v>
      </x:c>
      <x:c r="R27" s="495" t="n">
        <x:v>2</x:v>
      </x:c>
      <x:c r="S27" s="496" t="n">
        <x:v>1</x:v>
      </x:c>
    </x:row>
    <x:row r="28">
      <x:c r="A28" t="str">
        <x:v>WAVE_23</x:v>
      </x:c>
      <x:c r="B28" s="409" t="n">
        <x:v>221</x:v>
      </x:c>
      <x:c r="C28" t="n">
        <x:f>COUNTIF('StageSpawn'!$B$2:$B$3284,A28)</x:f>
        <x:v>35</x:v>
      </x:c>
      <x:c r="D28" t="n">
        <x:f>COUNTIFS('StageSpawn'!$B$2:$B$3284,A28,'StageSpawn'!$F$2:$F$3284,"GoblinMelee")+COUNTIFS('StageSpawn'!$B$2:$B$3284,A28,'StageSpawn'!$F$2:$F$3284,"FlyingEye")</x:f>
        <x:v>24</x:v>
      </x:c>
      <x:c r="E28" t="n">
        <x:f>COUNTIFS('StageSpawn'!$B$2:$B$3284,A28,'StageSpawn'!$F$2:$F$3284,"GoblinRanged")</x:f>
        <x:v>8</x:v>
      </x:c>
      <x:c r="F28" t="n">
        <x:f>COUNTIFS('StageSpawn'!$B$2:$B$3284,A28,'StageSpawn'!$F$2:$F$3284,"ShieldSkeleton")</x:f>
        <x:v>3</x:v>
      </x:c>
      <x:c r="G28" t="n">
        <x:f>COUNTIFS('StageSpawn'!$B$2:$B$3284,A28,'StageSpawn'!$F$2:$F$3284,"GoblinBoss")+COUNTIFS('StageSpawn'!$B$2:$B$3284,A28,'StageSpawn'!$F$2:$F$3284,"MushroomBoss")+COUNTIFS('StageSpawn'!$B$2:$B$3284,A28,'StageSpawn'!$F$2:$F$3284,"FlyingEyeBoss")+COUNTIFS('StageSpawn'!$B$2:$B$3284,A28,'StageSpawn'!$F$2:$F$3284,"SkeletonBoss")</x:f>
        <x:v>0</x:v>
      </x:c>
      <x:c r="H28" t="n">
        <x:f>COUNTIFS('StageSpawn'!$B$2:$B$3284,A28,'StageSpawn'!$F$2:$F$3284,"GoblinMelee")*'EnemyBalance'!$M$2+COUNTIFS('StageSpawn'!$B$2:$B$3284,A28,'StageSpawn'!$F$2:$F$3284,"GoblinRanged")*'EnemyBalance'!$M$3+COUNTIFS('StageSpawn'!$B$2:$B$3284,A28,'StageSpawn'!$F$2:$F$3284,"ShieldSkeleton")*'EnemyBalance'!$M$4+COUNTIFS('StageSpawn'!$B$2:$B$3284,A28,'StageSpawn'!$F$2:$F$3284,"GoblinBoss")*'EnemyBalance'!$M$5+COUNTIFS('StageSpawn'!$B$2:$B$3284,A28,'StageSpawn'!$F$2:$F$3284,"MushroomBoss")*'EnemyBalance'!$M$6+COUNTIFS('StageSpawn'!$B$2:$B$3284,A28,'StageSpawn'!$F$2:$F$3284,"FlyingEye")*'EnemyBalance'!$M$7+COUNTIFS('StageSpawn'!$B$2:$B$3284,A28,'StageSpawn'!$F$2:$F$3284,"FlyingEyeBoss")*'EnemyBalance'!$M$8+COUNTIFS('StageSpawn'!$B$2:$B$3284,A28,'StageSpawn'!$F$2:$F$3284,"SkeletonBoss")*'EnemyBalance'!$M$9</x:f>
        <x:v>38</x:v>
      </x:c>
      <x:c r="I28" t="n">
        <x:f>SUM($H$6:H28)</x:f>
        <x:v>475</x:v>
      </x:c>
      <x:c r="J28" t="n">
        <x:v>18</x:v>
      </x:c>
      <x:c r="K28" t="n">
        <x:v>18</x:v>
      </x:c>
      <x:c r="L28" t="n">
        <x:v>19</x:v>
      </x:c>
      <x:c r="M28" s="412" t="n">
        <x:v>18.7</x:v>
      </x:c>
      <x:c r="N28" s="412" t="n">
        <x:v>0.7</x:v>
      </x:c>
      <x:c r="O28" s="487" t="n">
        <x:v>3</x:v>
      </x:c>
      <x:c r="P28" s="490" t="n">
        <x:v>27.852498823660945</x:v>
      </x:c>
      <x:c r="Q28" s="490" t="n">
        <x:v>120.40999529464378</x:v>
      </x:c>
      <x:c r="R28" s="493" t="n">
        <x:v>2</x:v>
      </x:c>
      <x:c r="S28" s="494" t="n">
        <x:v>1</x:v>
      </x:c>
    </x:row>
    <x:row r="29">
      <x:c r="A29" t="str">
        <x:v>WAVE_24</x:v>
      </x:c>
      <x:c r="B29" s="409" t="n">
        <x:v>231</x:v>
      </x:c>
      <x:c r="C29" t="n">
        <x:f>COUNTIF('StageSpawn'!$B$2:$B$3284,A29)</x:f>
        <x:v>37</x:v>
      </x:c>
      <x:c r="D29" t="n">
        <x:f>COUNTIFS('StageSpawn'!$B$2:$B$3284,A29,'StageSpawn'!$F$2:$F$3284,"GoblinMelee")+COUNTIFS('StageSpawn'!$B$2:$B$3284,A29,'StageSpawn'!$F$2:$F$3284,"FlyingEye")</x:f>
        <x:v>25</x:v>
      </x:c>
      <x:c r="E29" t="n">
        <x:f>COUNTIFS('StageSpawn'!$B$2:$B$3284,A29,'StageSpawn'!$F$2:$F$3284,"GoblinRanged")</x:f>
        <x:v>8</x:v>
      </x:c>
      <x:c r="F29" t="n">
        <x:f>COUNTIFS('StageSpawn'!$B$2:$B$3284,A29,'StageSpawn'!$F$2:$F$3284,"ShieldSkeleton")</x:f>
        <x:v>3</x:v>
      </x:c>
      <x:c r="G29" t="n">
        <x:f>COUNTIFS('StageSpawn'!$B$2:$B$3284,A29,'StageSpawn'!$F$2:$F$3284,"GoblinBoss")+COUNTIFS('StageSpawn'!$B$2:$B$3284,A29,'StageSpawn'!$F$2:$F$3284,"MushroomBoss")+COUNTIFS('StageSpawn'!$B$2:$B$3284,A29,'StageSpawn'!$F$2:$F$3284,"FlyingEyeBoss")+COUNTIFS('StageSpawn'!$B$2:$B$3284,A29,'StageSpawn'!$F$2:$F$3284,"SkeletonBoss")</x:f>
        <x:v>1</x:v>
      </x:c>
      <x:c r="H29" t="n">
        <x:f>COUNTIFS('StageSpawn'!$B$2:$B$3284,A29,'StageSpawn'!$F$2:$F$3284,"GoblinMelee")*'EnemyBalance'!$M$2+COUNTIFS('StageSpawn'!$B$2:$B$3284,A29,'StageSpawn'!$F$2:$F$3284,"GoblinRanged")*'EnemyBalance'!$M$3+COUNTIFS('StageSpawn'!$B$2:$B$3284,A29,'StageSpawn'!$F$2:$F$3284,"ShieldSkeleton")*'EnemyBalance'!$M$4+COUNTIFS('StageSpawn'!$B$2:$B$3284,A29,'StageSpawn'!$F$2:$F$3284,"GoblinBoss")*'EnemyBalance'!$M$5+COUNTIFS('StageSpawn'!$B$2:$B$3284,A29,'StageSpawn'!$F$2:$F$3284,"MushroomBoss")*'EnemyBalance'!$M$6+COUNTIFS('StageSpawn'!$B$2:$B$3284,A29,'StageSpawn'!$F$2:$F$3284,"FlyingEye")*'EnemyBalance'!$M$7+COUNTIFS('StageSpawn'!$B$2:$B$3284,A29,'StageSpawn'!$F$2:$F$3284,"FlyingEyeBoss")*'EnemyBalance'!$M$8+COUNTIFS('StageSpawn'!$B$2:$B$3284,A29,'StageSpawn'!$F$2:$F$3284,"SkeletonBoss")*'EnemyBalance'!$M$9</x:f>
        <x:v>49</x:v>
      </x:c>
      <x:c r="I29" t="n">
        <x:f>SUM($H$6:H29)</x:f>
        <x:v>524</x:v>
      </x:c>
      <x:c r="J29" t="n">
        <x:v>19</x:v>
      </x:c>
      <x:c r="K29" t="n">
        <x:v>19</x:v>
      </x:c>
      <x:c r="L29" t="n">
        <x:v>20</x:v>
      </x:c>
      <x:c r="M29" s="412" t="n">
        <x:v>19.8</x:v>
      </x:c>
      <x:c r="N29" s="412" t="n">
        <x:v>0.8</x:v>
      </x:c>
      <x:c r="O29" s="488" t="n">
        <x:v>3.8</x:v>
      </x:c>
      <x:c r="P29" s="491" t="n">
        <x:v>36.3352662690865</x:v>
      </x:c>
      <x:c r="Q29" s="491" t="n">
        <x:v>156.74106507634602</x:v>
      </x:c>
      <x:c r="R29" s="495" t="n">
        <x:v>3</x:v>
      </x:c>
      <x:c r="S29" s="496" t="n">
        <x:v>1</x:v>
      </x:c>
    </x:row>
    <x:row r="30">
      <x:c r="A30" t="str">
        <x:v>WAVE_25</x:v>
      </x:c>
      <x:c r="B30" s="409" t="n">
        <x:v>241</x:v>
      </x:c>
      <x:c r="C30" t="n">
        <x:f>COUNTIF('StageSpawn'!$B$2:$B$3284,A30)</x:f>
        <x:v>39</x:v>
      </x:c>
      <x:c r="D30" t="n">
        <x:f>COUNTIFS('StageSpawn'!$B$2:$B$3284,A30,'StageSpawn'!$F$2:$F$3284,"GoblinMelee")+COUNTIFS('StageSpawn'!$B$2:$B$3284,A30,'StageSpawn'!$F$2:$F$3284,"FlyingEye")</x:f>
        <x:v>26</x:v>
      </x:c>
      <x:c r="E30" t="n">
        <x:f>COUNTIFS('StageSpawn'!$B$2:$B$3284,A30,'StageSpawn'!$F$2:$F$3284,"GoblinRanged")</x:f>
        <x:v>9</x:v>
      </x:c>
      <x:c r="F30" t="n">
        <x:f>COUNTIFS('StageSpawn'!$B$2:$B$3284,A30,'StageSpawn'!$F$2:$F$3284,"ShieldSkeleton")</x:f>
        <x:v>4</x:v>
      </x:c>
      <x:c r="G30" t="n">
        <x:f>COUNTIFS('StageSpawn'!$B$2:$B$3284,A30,'StageSpawn'!$F$2:$F$3284,"GoblinBoss")+COUNTIFS('StageSpawn'!$B$2:$B$3284,A30,'StageSpawn'!$F$2:$F$3284,"MushroomBoss")+COUNTIFS('StageSpawn'!$B$2:$B$3284,A30,'StageSpawn'!$F$2:$F$3284,"FlyingEyeBoss")+COUNTIFS('StageSpawn'!$B$2:$B$3284,A30,'StageSpawn'!$F$2:$F$3284,"SkeletonBoss")</x:f>
        <x:v>0</x:v>
      </x:c>
      <x:c r="H30" t="n">
        <x:f>COUNTIFS('StageSpawn'!$B$2:$B$3284,A30,'StageSpawn'!$F$2:$F$3284,"GoblinMelee")*'EnemyBalance'!$M$2+COUNTIFS('StageSpawn'!$B$2:$B$3284,A30,'StageSpawn'!$F$2:$F$3284,"GoblinRanged")*'EnemyBalance'!$M$3+COUNTIFS('StageSpawn'!$B$2:$B$3284,A30,'StageSpawn'!$F$2:$F$3284,"ShieldSkeleton")*'EnemyBalance'!$M$4+COUNTIFS('StageSpawn'!$B$2:$B$3284,A30,'StageSpawn'!$F$2:$F$3284,"GoblinBoss")*'EnemyBalance'!$M$5+COUNTIFS('StageSpawn'!$B$2:$B$3284,A30,'StageSpawn'!$F$2:$F$3284,"MushroomBoss")*'EnemyBalance'!$M$6+COUNTIFS('StageSpawn'!$B$2:$B$3284,A30,'StageSpawn'!$F$2:$F$3284,"FlyingEye")*'EnemyBalance'!$M$7+COUNTIFS('StageSpawn'!$B$2:$B$3284,A30,'StageSpawn'!$F$2:$F$3284,"FlyingEyeBoss")*'EnemyBalance'!$M$8+COUNTIFS('StageSpawn'!$B$2:$B$3284,A30,'StageSpawn'!$F$2:$F$3284,"SkeletonBoss")*'EnemyBalance'!$M$9</x:f>
        <x:v>45</x:v>
      </x:c>
      <x:c r="I30" t="n">
        <x:f>SUM($H$6:H30)</x:f>
        <x:v>569</x:v>
      </x:c>
      <x:c r="J30" t="n">
        <x:v>20</x:v>
      </x:c>
      <x:c r="K30" t="n">
        <x:v>20</x:v>
      </x:c>
      <x:c r="L30" t="n">
        <x:v>21</x:v>
      </x:c>
      <x:c r="M30" s="412" t="n">
        <x:v>20.8</x:v>
      </x:c>
      <x:c r="N30" s="412" t="n">
        <x:v>0.8</x:v>
      </x:c>
      <x:c r="O30" s="487" t="n">
        <x:v>3.8</x:v>
      </x:c>
      <x:c r="P30" s="490" t="n">
        <x:v>37.284312667991394</x:v>
      </x:c>
      <x:c r="Q30" s="490" t="n">
        <x:v>160.53725067196558</x:v>
      </x:c>
      <x:c r="R30" s="493" t="n">
        <x:v>3</x:v>
      </x:c>
      <x:c r="S30" s="494" t="n">
        <x:v>1</x:v>
      </x:c>
    </x:row>
    <x:row r="31">
      <x:c r="A31" t="str">
        <x:v>WAVE_26</x:v>
      </x:c>
      <x:c r="B31" s="409" t="n">
        <x:v>251</x:v>
      </x:c>
      <x:c r="C31" t="n">
        <x:f>COUNTIF('StageSpawn'!$B$2:$B$3284,A31)</x:f>
        <x:v>41</x:v>
      </x:c>
      <x:c r="D31" t="n">
        <x:f>COUNTIFS('StageSpawn'!$B$2:$B$3284,A31,'StageSpawn'!$F$2:$F$3284,"GoblinMelee")+COUNTIFS('StageSpawn'!$B$2:$B$3284,A31,'StageSpawn'!$F$2:$F$3284,"FlyingEye")</x:f>
        <x:v>28</x:v>
      </x:c>
      <x:c r="E31" t="n">
        <x:f>COUNTIFS('StageSpawn'!$B$2:$B$3284,A31,'StageSpawn'!$F$2:$F$3284,"GoblinRanged")</x:f>
        <x:v>9</x:v>
      </x:c>
      <x:c r="F31" t="n">
        <x:f>COUNTIFS('StageSpawn'!$B$2:$B$3284,A31,'StageSpawn'!$F$2:$F$3284,"ShieldSkeleton")</x:f>
        <x:v>4</x:v>
      </x:c>
      <x:c r="G31" t="n">
        <x:f>COUNTIFS('StageSpawn'!$B$2:$B$3284,A31,'StageSpawn'!$F$2:$F$3284,"GoblinBoss")+COUNTIFS('StageSpawn'!$B$2:$B$3284,A31,'StageSpawn'!$F$2:$F$3284,"MushroomBoss")+COUNTIFS('StageSpawn'!$B$2:$B$3284,A31,'StageSpawn'!$F$2:$F$3284,"FlyingEyeBoss")+COUNTIFS('StageSpawn'!$B$2:$B$3284,A31,'StageSpawn'!$F$2:$F$3284,"SkeletonBoss")</x:f>
        <x:v>0</x:v>
      </x:c>
      <x:c r="H31" t="n">
        <x:f>COUNTIFS('StageSpawn'!$B$2:$B$3284,A31,'StageSpawn'!$F$2:$F$3284,"GoblinMelee")*'EnemyBalance'!$M$2+COUNTIFS('StageSpawn'!$B$2:$B$3284,A31,'StageSpawn'!$F$2:$F$3284,"GoblinRanged")*'EnemyBalance'!$M$3+COUNTIFS('StageSpawn'!$B$2:$B$3284,A31,'StageSpawn'!$F$2:$F$3284,"ShieldSkeleton")*'EnemyBalance'!$M$4+COUNTIFS('StageSpawn'!$B$2:$B$3284,A31,'StageSpawn'!$F$2:$F$3284,"GoblinBoss")*'EnemyBalance'!$M$5+COUNTIFS('StageSpawn'!$B$2:$B$3284,A31,'StageSpawn'!$F$2:$F$3284,"MushroomBoss")*'EnemyBalance'!$M$6+COUNTIFS('StageSpawn'!$B$2:$B$3284,A31,'StageSpawn'!$F$2:$F$3284,"FlyingEye")*'EnemyBalance'!$M$7+COUNTIFS('StageSpawn'!$B$2:$B$3284,A31,'StageSpawn'!$F$2:$F$3284,"FlyingEyeBoss")*'EnemyBalance'!$M$8+COUNTIFS('StageSpawn'!$B$2:$B$3284,A31,'StageSpawn'!$F$2:$F$3284,"SkeletonBoss")*'EnemyBalance'!$M$9</x:f>
        <x:v>47</x:v>
      </x:c>
      <x:c r="I31" t="n">
        <x:f>SUM($H$6:H31)</x:f>
        <x:v>616</x:v>
      </x:c>
      <x:c r="J31" t="n">
        <x:v>21</x:v>
      </x:c>
      <x:c r="K31" t="n">
        <x:v>21</x:v>
      </x:c>
      <x:c r="L31" t="n">
        <x:v>22</x:v>
      </x:c>
      <x:c r="M31" s="412" t="n">
        <x:v>21.9</x:v>
      </x:c>
      <x:c r="N31" s="412" t="n">
        <x:v>0.9</x:v>
      </x:c>
      <x:c r="O31" s="488" t="n">
        <x:v>3.8</x:v>
      </x:c>
      <x:c r="P31" s="491" t="n">
        <x:v>38.317695250255895</x:v>
      </x:c>
      <x:c r="Q31" s="491" t="n">
        <x:v>164.67078100102356</x:v>
      </x:c>
      <x:c r="R31" s="495" t="n">
        <x:v>3</x:v>
      </x:c>
      <x:c r="S31" s="496" t="n">
        <x:v>1</x:v>
      </x:c>
    </x:row>
    <x:row r="32">
      <x:c r="A32" t="str">
        <x:v>WAVE_27</x:v>
      </x:c>
      <x:c r="B32" s="409" t="n">
        <x:v>261</x:v>
      </x:c>
      <x:c r="C32" t="n">
        <x:f>COUNTIF('StageSpawn'!$B$2:$B$3284,A32)</x:f>
        <x:v>43</x:v>
      </x:c>
      <x:c r="D32" t="n">
        <x:f>COUNTIFS('StageSpawn'!$B$2:$B$3284,A32,'StageSpawn'!$F$2:$F$3284,"GoblinMelee")+COUNTIFS('StageSpawn'!$B$2:$B$3284,A32,'StageSpawn'!$F$2:$F$3284,"FlyingEye")</x:f>
        <x:v>29</x:v>
      </x:c>
      <x:c r="E32" t="n">
        <x:f>COUNTIFS('StageSpawn'!$B$2:$B$3284,A32,'StageSpawn'!$F$2:$F$3284,"GoblinRanged")</x:f>
        <x:v>10</x:v>
      </x:c>
      <x:c r="F32" t="n">
        <x:f>COUNTIFS('StageSpawn'!$B$2:$B$3284,A32,'StageSpawn'!$F$2:$F$3284,"ShieldSkeleton")</x:f>
        <x:v>4</x:v>
      </x:c>
      <x:c r="G32" t="n">
        <x:f>COUNTIFS('StageSpawn'!$B$2:$B$3284,A32,'StageSpawn'!$F$2:$F$3284,"GoblinBoss")+COUNTIFS('StageSpawn'!$B$2:$B$3284,A32,'StageSpawn'!$F$2:$F$3284,"MushroomBoss")+COUNTIFS('StageSpawn'!$B$2:$B$3284,A32,'StageSpawn'!$F$2:$F$3284,"FlyingEyeBoss")+COUNTIFS('StageSpawn'!$B$2:$B$3284,A32,'StageSpawn'!$F$2:$F$3284,"SkeletonBoss")</x:f>
        <x:v>0</x:v>
      </x:c>
      <x:c r="H32" t="n">
        <x:f>COUNTIFS('StageSpawn'!$B$2:$B$3284,A32,'StageSpawn'!$F$2:$F$3284,"GoblinMelee")*'EnemyBalance'!$M$2+COUNTIFS('StageSpawn'!$B$2:$B$3284,A32,'StageSpawn'!$F$2:$F$3284,"GoblinRanged")*'EnemyBalance'!$M$3+COUNTIFS('StageSpawn'!$B$2:$B$3284,A32,'StageSpawn'!$F$2:$F$3284,"ShieldSkeleton")*'EnemyBalance'!$M$4+COUNTIFS('StageSpawn'!$B$2:$B$3284,A32,'StageSpawn'!$F$2:$F$3284,"GoblinBoss")*'EnemyBalance'!$M$5+COUNTIFS('StageSpawn'!$B$2:$B$3284,A32,'StageSpawn'!$F$2:$F$3284,"MushroomBoss")*'EnemyBalance'!$M$6+COUNTIFS('StageSpawn'!$B$2:$B$3284,A32,'StageSpawn'!$F$2:$F$3284,"FlyingEye")*'EnemyBalance'!$M$7+COUNTIFS('StageSpawn'!$B$2:$B$3284,A32,'StageSpawn'!$F$2:$F$3284,"FlyingEyeBoss")*'EnemyBalance'!$M$8+COUNTIFS('StageSpawn'!$B$2:$B$3284,A32,'StageSpawn'!$F$2:$F$3284,"SkeletonBoss")*'EnemyBalance'!$M$9</x:f>
        <x:v>49</x:v>
      </x:c>
      <x:c r="I32" t="n">
        <x:f>SUM($H$6:H32)</x:f>
        <x:v>665</x:v>
      </x:c>
      <x:c r="J32" t="n">
        <x:v>22</x:v>
      </x:c>
      <x:c r="K32" t="n">
        <x:v>22</x:v>
      </x:c>
      <x:c r="L32" t="n">
        <x:v>23</x:v>
      </x:c>
      <x:c r="M32" s="412" t="n">
        <x:v>22.9</x:v>
      </x:c>
      <x:c r="N32" s="412" t="n">
        <x:v>0.9</x:v>
      </x:c>
      <x:c r="O32" s="487" t="n">
        <x:v>3.8</x:v>
      </x:c>
      <x:c r="P32" s="490" t="n">
        <x:v>39.24823177218248</x:v>
      </x:c>
      <x:c r="Q32" s="490" t="n">
        <x:v>168.39292708872992</x:v>
      </x:c>
      <x:c r="R32" s="493" t="n">
        <x:v>3</x:v>
      </x:c>
      <x:c r="S32" s="494" t="n">
        <x:v>1</x:v>
      </x:c>
    </x:row>
    <x:row r="33">
      <x:c r="A33" t="str">
        <x:v>WAVE_28</x:v>
      </x:c>
      <x:c r="B33" s="409" t="n">
        <x:v>271</x:v>
      </x:c>
      <x:c r="C33" t="n">
        <x:f>COUNTIF('StageSpawn'!$B$2:$B$3284,A33)</x:f>
        <x:v>45</x:v>
      </x:c>
      <x:c r="D33" t="n">
        <x:f>COUNTIFS('StageSpawn'!$B$2:$B$3284,A33,'StageSpawn'!$F$2:$F$3284,"GoblinMelee")+COUNTIFS('StageSpawn'!$B$2:$B$3284,A33,'StageSpawn'!$F$2:$F$3284,"FlyingEye")</x:f>
        <x:v>30</x:v>
      </x:c>
      <x:c r="E33" t="n">
        <x:f>COUNTIFS('StageSpawn'!$B$2:$B$3284,A33,'StageSpawn'!$F$2:$F$3284,"GoblinRanged")</x:f>
        <x:v>11</x:v>
      </x:c>
      <x:c r="F33" t="n">
        <x:f>COUNTIFS('StageSpawn'!$B$2:$B$3284,A33,'StageSpawn'!$F$2:$F$3284,"ShieldSkeleton")</x:f>
        <x:v>4</x:v>
      </x:c>
      <x:c r="G33" t="n">
        <x:f>COUNTIFS('StageSpawn'!$B$2:$B$3284,A33,'StageSpawn'!$F$2:$F$3284,"GoblinBoss")+COUNTIFS('StageSpawn'!$B$2:$B$3284,A33,'StageSpawn'!$F$2:$F$3284,"MushroomBoss")+COUNTIFS('StageSpawn'!$B$2:$B$3284,A33,'StageSpawn'!$F$2:$F$3284,"FlyingEyeBoss")+COUNTIFS('StageSpawn'!$B$2:$B$3284,A33,'StageSpawn'!$F$2:$F$3284,"SkeletonBoss")</x:f>
        <x:v>0</x:v>
      </x:c>
      <x:c r="H33" t="n">
        <x:f>COUNTIFS('StageSpawn'!$B$2:$B$3284,A33,'StageSpawn'!$F$2:$F$3284,"GoblinMelee")*'EnemyBalance'!$M$2+COUNTIFS('StageSpawn'!$B$2:$B$3284,A33,'StageSpawn'!$F$2:$F$3284,"GoblinRanged")*'EnemyBalance'!$M$3+COUNTIFS('StageSpawn'!$B$2:$B$3284,A33,'StageSpawn'!$F$2:$F$3284,"ShieldSkeleton")*'EnemyBalance'!$M$4+COUNTIFS('StageSpawn'!$B$2:$B$3284,A33,'StageSpawn'!$F$2:$F$3284,"GoblinBoss")*'EnemyBalance'!$M$5+COUNTIFS('StageSpawn'!$B$2:$B$3284,A33,'StageSpawn'!$F$2:$F$3284,"MushroomBoss")*'EnemyBalance'!$M$6+COUNTIFS('StageSpawn'!$B$2:$B$3284,A33,'StageSpawn'!$F$2:$F$3284,"FlyingEye")*'EnemyBalance'!$M$7+COUNTIFS('StageSpawn'!$B$2:$B$3284,A33,'StageSpawn'!$F$2:$F$3284,"FlyingEyeBoss")*'EnemyBalance'!$M$8+COUNTIFS('StageSpawn'!$B$2:$B$3284,A33,'StageSpawn'!$F$2:$F$3284,"SkeletonBoss")*'EnemyBalance'!$M$9</x:f>
        <x:v>52</x:v>
      </x:c>
      <x:c r="I33" t="n">
        <x:f>SUM($H$6:H33)</x:f>
        <x:v>717</x:v>
      </x:c>
      <x:c r="J33" t="n">
        <x:v>22</x:v>
      </x:c>
      <x:c r="K33" t="n">
        <x:v>22</x:v>
      </x:c>
      <x:c r="L33" t="n">
        <x:v>23</x:v>
      </x:c>
      <x:c r="M33" s="412" t="n">
        <x:v>22.9</x:v>
      </x:c>
      <x:c r="N33" s="412" t="n">
        <x:v>0.9</x:v>
      </x:c>
      <x:c r="O33" s="488" t="n">
        <x:v>3.8</x:v>
      </x:c>
      <x:c r="P33" s="491" t="n">
        <x:v>39.24823177218248</x:v>
      </x:c>
      <x:c r="Q33" s="491" t="n">
        <x:v>168.39292708872992</x:v>
      </x:c>
      <x:c r="R33" s="495" t="n">
        <x:v>3</x:v>
      </x:c>
      <x:c r="S33" s="496" t="n">
        <x:v>1</x:v>
      </x:c>
    </x:row>
    <x:row r="34">
      <x:c r="A34" t="str">
        <x:v>WAVE_29</x:v>
      </x:c>
      <x:c r="B34" s="409" t="n">
        <x:v>281</x:v>
      </x:c>
      <x:c r="C34" t="n">
        <x:f>COUNTIF('StageSpawn'!$B$2:$B$3284,A34)</x:f>
        <x:v>47</x:v>
      </x:c>
      <x:c r="D34" t="n">
        <x:f>COUNTIFS('StageSpawn'!$B$2:$B$3284,A34,'StageSpawn'!$F$2:$F$3284,"GoblinMelee")+COUNTIFS('StageSpawn'!$B$2:$B$3284,A34,'StageSpawn'!$F$2:$F$3284,"FlyingEye")</x:f>
        <x:v>31</x:v>
      </x:c>
      <x:c r="E34" t="n">
        <x:f>COUNTIFS('StageSpawn'!$B$2:$B$3284,A34,'StageSpawn'!$F$2:$F$3284,"GoblinRanged")</x:f>
        <x:v>11</x:v>
      </x:c>
      <x:c r="F34" t="n">
        <x:f>COUNTIFS('StageSpawn'!$B$2:$B$3284,A34,'StageSpawn'!$F$2:$F$3284,"ShieldSkeleton")</x:f>
        <x:v>5</x:v>
      </x:c>
      <x:c r="G34" t="n">
        <x:f>COUNTIFS('StageSpawn'!$B$2:$B$3284,A34,'StageSpawn'!$F$2:$F$3284,"GoblinBoss")+COUNTIFS('StageSpawn'!$B$2:$B$3284,A34,'StageSpawn'!$F$2:$F$3284,"MushroomBoss")+COUNTIFS('StageSpawn'!$B$2:$B$3284,A34,'StageSpawn'!$F$2:$F$3284,"FlyingEyeBoss")+COUNTIFS('StageSpawn'!$B$2:$B$3284,A34,'StageSpawn'!$F$2:$F$3284,"SkeletonBoss")</x:f>
        <x:v>0</x:v>
      </x:c>
      <x:c r="H34" t="n">
        <x:f>COUNTIFS('StageSpawn'!$B$2:$B$3284,A34,'StageSpawn'!$F$2:$F$3284,"GoblinMelee")*'EnemyBalance'!$M$2+COUNTIFS('StageSpawn'!$B$2:$B$3284,A34,'StageSpawn'!$F$2:$F$3284,"GoblinRanged")*'EnemyBalance'!$M$3+COUNTIFS('StageSpawn'!$B$2:$B$3284,A34,'StageSpawn'!$F$2:$F$3284,"ShieldSkeleton")*'EnemyBalance'!$M$4+COUNTIFS('StageSpawn'!$B$2:$B$3284,A34,'StageSpawn'!$F$2:$F$3284,"GoblinBoss")*'EnemyBalance'!$M$5+COUNTIFS('StageSpawn'!$B$2:$B$3284,A34,'StageSpawn'!$F$2:$F$3284,"MushroomBoss")*'EnemyBalance'!$M$6+COUNTIFS('StageSpawn'!$B$2:$B$3284,A34,'StageSpawn'!$F$2:$F$3284,"FlyingEye")*'EnemyBalance'!$M$7+COUNTIFS('StageSpawn'!$B$2:$B$3284,A34,'StageSpawn'!$F$2:$F$3284,"FlyingEyeBoss")*'EnemyBalance'!$M$8+COUNTIFS('StageSpawn'!$B$2:$B$3284,A34,'StageSpawn'!$F$2:$F$3284,"SkeletonBoss")*'EnemyBalance'!$M$9</x:f>
        <x:v>55</x:v>
      </x:c>
      <x:c r="I34" t="n">
        <x:f>SUM($H$6:H34)</x:f>
        <x:v>772</x:v>
      </x:c>
      <x:c r="J34" t="n">
        <x:v>23</x:v>
      </x:c>
      <x:c r="K34" t="n">
        <x:v>23</x:v>
      </x:c>
      <x:c r="L34" t="n">
        <x:v>24</x:v>
      </x:c>
      <x:c r="M34" s="412" t="n">
        <x:v>24</x:v>
      </x:c>
      <x:c r="N34" s="412" t="n">
        <x:v>1</x:v>
      </x:c>
      <x:c r="O34" s="487" t="n">
        <x:v>3.8</x:v>
      </x:c>
      <x:c r="P34" s="490" t="n">
        <x:v>40.26273582030008</x:v>
      </x:c>
      <x:c r="Q34" s="490" t="n">
        <x:v>172.4509432812003</x:v>
      </x:c>
      <x:c r="R34" s="493" t="n">
        <x:v>3</x:v>
      </x:c>
      <x:c r="S34" s="494" t="n">
        <x:v>1</x:v>
      </x:c>
    </x:row>
    <x:row r="35">
      <x:c r="A35" t="str">
        <x:v>WAVE_30</x:v>
      </x:c>
      <x:c r="B35" s="409" t="n">
        <x:v>291</x:v>
      </x:c>
      <x:c r="C35" t="n">
        <x:f>COUNTIF('StageSpawn'!$B$2:$B$3284,A35)</x:f>
        <x:v>48</x:v>
      </x:c>
      <x:c r="D35" t="n">
        <x:f>COUNTIFS('StageSpawn'!$B$2:$B$3284,A35,'StageSpawn'!$F$2:$F$3284,"GoblinMelee")+COUNTIFS('StageSpawn'!$B$2:$B$3284,A35,'StageSpawn'!$F$2:$F$3284,"FlyingEye")</x:f>
        <x:v>32</x:v>
      </x:c>
      <x:c r="E35" t="n">
        <x:f>COUNTIFS('StageSpawn'!$B$2:$B$3284,A35,'StageSpawn'!$F$2:$F$3284,"GoblinRanged")</x:f>
        <x:v>11</x:v>
      </x:c>
      <x:c r="F35" t="n">
        <x:f>COUNTIFS('StageSpawn'!$B$2:$B$3284,A35,'StageSpawn'!$F$2:$F$3284,"ShieldSkeleton")</x:f>
        <x:v>5</x:v>
      </x:c>
      <x:c r="G35" t="n">
        <x:f>COUNTIFS('StageSpawn'!$B$2:$B$3284,A35,'StageSpawn'!$F$2:$F$3284,"GoblinBoss")+COUNTIFS('StageSpawn'!$B$2:$B$3284,A35,'StageSpawn'!$F$2:$F$3284,"MushroomBoss")+COUNTIFS('StageSpawn'!$B$2:$B$3284,A35,'StageSpawn'!$F$2:$F$3284,"FlyingEyeBoss")+COUNTIFS('StageSpawn'!$B$2:$B$3284,A35,'StageSpawn'!$F$2:$F$3284,"SkeletonBoss")</x:f>
        <x:v>0</x:v>
      </x:c>
      <x:c r="H35" t="n">
        <x:f>COUNTIFS('StageSpawn'!$B$2:$B$3284,A35,'StageSpawn'!$F$2:$F$3284,"GoblinMelee")*'EnemyBalance'!$M$2+COUNTIFS('StageSpawn'!$B$2:$B$3284,A35,'StageSpawn'!$F$2:$F$3284,"GoblinRanged")*'EnemyBalance'!$M$3+COUNTIFS('StageSpawn'!$B$2:$B$3284,A35,'StageSpawn'!$F$2:$F$3284,"ShieldSkeleton")*'EnemyBalance'!$M$4+COUNTIFS('StageSpawn'!$B$2:$B$3284,A35,'StageSpawn'!$F$2:$F$3284,"GoblinBoss")*'EnemyBalance'!$M$5+COUNTIFS('StageSpawn'!$B$2:$B$3284,A35,'StageSpawn'!$F$2:$F$3284,"MushroomBoss")*'EnemyBalance'!$M$6+COUNTIFS('StageSpawn'!$B$2:$B$3284,A35,'StageSpawn'!$F$2:$F$3284,"FlyingEye")*'EnemyBalance'!$M$7+COUNTIFS('StageSpawn'!$B$2:$B$3284,A35,'StageSpawn'!$F$2:$F$3284,"FlyingEyeBoss")*'EnemyBalance'!$M$8+COUNTIFS('StageSpawn'!$B$2:$B$3284,A35,'StageSpawn'!$F$2:$F$3284,"SkeletonBoss")*'EnemyBalance'!$M$9</x:f>
        <x:v>56</x:v>
      </x:c>
      <x:c r="I35" t="n">
        <x:f>SUM($H$6:H35)</x:f>
        <x:v>828</x:v>
      </x:c>
      <x:c r="J35" t="n">
        <x:v>24</x:v>
      </x:c>
      <x:c r="K35" t="n">
        <x:v>24</x:v>
      </x:c>
      <x:c r="L35" t="n">
        <x:v>25</x:v>
      </x:c>
      <x:c r="M35" s="412" t="n">
        <x:v>25</x:v>
      </x:c>
      <x:c r="N35" s="412" t="n">
        <x:v>1</x:v>
      </x:c>
      <x:c r="O35" s="488" t="n">
        <x:v>3.8</x:v>
      </x:c>
      <x:c r="P35" s="491" t="n">
        <x:v>41.17730373837932</x:v>
      </x:c>
      <x:c r="Q35" s="491" t="n">
        <x:v>176.1092149535173</x:v>
      </x:c>
      <x:c r="R35" s="495" t="n">
        <x:v>3</x:v>
      </x:c>
      <x:c r="S35" s="496" t="n">
        <x:v>1</x:v>
      </x:c>
    </x:row>
    <x:row r="36">
      <x:c r="A36" t="str">
        <x:v>WAVE_31</x:v>
      </x:c>
      <x:c r="B36" s="409" t="n">
        <x:v>301</x:v>
      </x:c>
      <x:c r="C36" t="n">
        <x:f>COUNTIF('StageSpawn'!$B$2:$B$3284,A36)</x:f>
        <x:v>50</x:v>
      </x:c>
      <x:c r="D36" t="n">
        <x:f>COUNTIFS('StageSpawn'!$B$2:$B$3284,A36,'StageSpawn'!$F$2:$F$3284,"GoblinMelee")+COUNTIFS('StageSpawn'!$B$2:$B$3284,A36,'StageSpawn'!$F$2:$F$3284,"FlyingEye")</x:f>
        <x:v>33</x:v>
      </x:c>
      <x:c r="E36" t="n">
        <x:f>COUNTIFS('StageSpawn'!$B$2:$B$3284,A36,'StageSpawn'!$F$2:$F$3284,"GoblinRanged")</x:f>
        <x:v>12</x:v>
      </x:c>
      <x:c r="F36" t="n">
        <x:f>COUNTIFS('StageSpawn'!$B$2:$B$3284,A36,'StageSpawn'!$F$2:$F$3284,"ShieldSkeleton")</x:f>
        <x:v>5</x:v>
      </x:c>
      <x:c r="G36" t="n">
        <x:f>COUNTIFS('StageSpawn'!$B$2:$B$3284,A36,'StageSpawn'!$F$2:$F$3284,"GoblinBoss")+COUNTIFS('StageSpawn'!$B$2:$B$3284,A36,'StageSpawn'!$F$2:$F$3284,"MushroomBoss")+COUNTIFS('StageSpawn'!$B$2:$B$3284,A36,'StageSpawn'!$F$2:$F$3284,"FlyingEyeBoss")+COUNTIFS('StageSpawn'!$B$2:$B$3284,A36,'StageSpawn'!$F$2:$F$3284,"SkeletonBoss")</x:f>
        <x:v>0</x:v>
      </x:c>
      <x:c r="H36" t="n">
        <x:f>COUNTIFS('StageSpawn'!$B$2:$B$3284,A36,'StageSpawn'!$F$2:$F$3284,"GoblinMelee")*'EnemyBalance'!$M$2+COUNTIFS('StageSpawn'!$B$2:$B$3284,A36,'StageSpawn'!$F$2:$F$3284,"GoblinRanged")*'EnemyBalance'!$M$3+COUNTIFS('StageSpawn'!$B$2:$B$3284,A36,'StageSpawn'!$F$2:$F$3284,"ShieldSkeleton")*'EnemyBalance'!$M$4+COUNTIFS('StageSpawn'!$B$2:$B$3284,A36,'StageSpawn'!$F$2:$F$3284,"GoblinBoss")*'EnemyBalance'!$M$5+COUNTIFS('StageSpawn'!$B$2:$B$3284,A36,'StageSpawn'!$F$2:$F$3284,"MushroomBoss")*'EnemyBalance'!$M$6+COUNTIFS('StageSpawn'!$B$2:$B$3284,A36,'StageSpawn'!$F$2:$F$3284,"FlyingEye")*'EnemyBalance'!$M$7+COUNTIFS('StageSpawn'!$B$2:$B$3284,A36,'StageSpawn'!$F$2:$F$3284,"FlyingEyeBoss")*'EnemyBalance'!$M$8+COUNTIFS('StageSpawn'!$B$2:$B$3284,A36,'StageSpawn'!$F$2:$F$3284,"SkeletonBoss")*'EnemyBalance'!$M$9</x:f>
        <x:v>58</x:v>
      </x:c>
      <x:c r="I36" t="n">
        <x:f>SUM($H$6:H36)</x:f>
        <x:v>886</x:v>
      </x:c>
      <x:c r="J36" t="n">
        <x:v>25</x:v>
      </x:c>
      <x:c r="K36" t="n">
        <x:v>26</x:v>
      </x:c>
      <x:c r="L36" t="n">
        <x:v>27</x:v>
      </x:c>
      <x:c r="M36" s="412" t="n">
        <x:v>26</x:v>
      </x:c>
      <x:c r="N36" s="412" t="n">
        <x:v>1</x:v>
      </x:c>
      <x:c r="O36" s="487" t="n">
        <x:v>3.8</x:v>
      </x:c>
      <x:c r="P36" s="490" t="n">
        <x:v>42.084999999999994</x:v>
      </x:c>
      <x:c r="Q36" s="490" t="n">
        <x:v>179.73999999999998</x:v>
      </x:c>
      <x:c r="R36" s="493" t="n">
        <x:v>3</x:v>
      </x:c>
      <x:c r="S36" s="494" t="n">
        <x:v>1</x:v>
      </x:c>
    </x:row>
    <x:row r="37">
      <x:c r="A37" t="str">
        <x:v>WAVE_32</x:v>
      </x:c>
      <x:c r="B37" s="409" t="n">
        <x:v>311</x:v>
      </x:c>
      <x:c r="C37" t="n">
        <x:f>COUNTIF('StageSpawn'!$B$2:$B$3284,A37)</x:f>
        <x:v>53</x:v>
      </x:c>
      <x:c r="D37" t="n">
        <x:f>COUNTIFS('StageSpawn'!$B$2:$B$3284,A37,'StageSpawn'!$F$2:$F$3284,"GoblinMelee")+COUNTIFS('StageSpawn'!$B$2:$B$3284,A37,'StageSpawn'!$F$2:$F$3284,"FlyingEye")</x:f>
        <x:v>35</x:v>
      </x:c>
      <x:c r="E37" t="n">
        <x:f>COUNTIFS('StageSpawn'!$B$2:$B$3284,A37,'StageSpawn'!$F$2:$F$3284,"GoblinRanged")</x:f>
        <x:v>13</x:v>
      </x:c>
      <x:c r="F37" t="n">
        <x:f>COUNTIFS('StageSpawn'!$B$2:$B$3284,A37,'StageSpawn'!$F$2:$F$3284,"ShieldSkeleton")</x:f>
        <x:v>5</x:v>
      </x:c>
      <x:c r="G37" t="n">
        <x:f>COUNTIFS('StageSpawn'!$B$2:$B$3284,A37,'StageSpawn'!$F$2:$F$3284,"GoblinBoss")+COUNTIFS('StageSpawn'!$B$2:$B$3284,A37,'StageSpawn'!$F$2:$F$3284,"MushroomBoss")+COUNTIFS('StageSpawn'!$B$2:$B$3284,A37,'StageSpawn'!$F$2:$F$3284,"FlyingEyeBoss")+COUNTIFS('StageSpawn'!$B$2:$B$3284,A37,'StageSpawn'!$F$2:$F$3284,"SkeletonBoss")</x:f>
        <x:v>0</x:v>
      </x:c>
      <x:c r="H37" t="n">
        <x:f>COUNTIFS('StageSpawn'!$B$2:$B$3284,A37,'StageSpawn'!$F$2:$F$3284,"GoblinMelee")*'EnemyBalance'!$M$2+COUNTIFS('StageSpawn'!$B$2:$B$3284,A37,'StageSpawn'!$F$2:$F$3284,"GoblinRanged")*'EnemyBalance'!$M$3+COUNTIFS('StageSpawn'!$B$2:$B$3284,A37,'StageSpawn'!$F$2:$F$3284,"ShieldSkeleton")*'EnemyBalance'!$M$4+COUNTIFS('StageSpawn'!$B$2:$B$3284,A37,'StageSpawn'!$F$2:$F$3284,"GoblinBoss")*'EnemyBalance'!$M$5+COUNTIFS('StageSpawn'!$B$2:$B$3284,A37,'StageSpawn'!$F$2:$F$3284,"MushroomBoss")*'EnemyBalance'!$M$6+COUNTIFS('StageSpawn'!$B$2:$B$3284,A37,'StageSpawn'!$F$2:$F$3284,"FlyingEye")*'EnemyBalance'!$M$7+COUNTIFS('StageSpawn'!$B$2:$B$3284,A37,'StageSpawn'!$F$2:$F$3284,"FlyingEyeBoss")*'EnemyBalance'!$M$8+COUNTIFS('StageSpawn'!$B$2:$B$3284,A37,'StageSpawn'!$F$2:$F$3284,"SkeletonBoss")*'EnemyBalance'!$M$9</x:f>
        <x:v>61</x:v>
      </x:c>
      <x:c r="I37" t="n">
        <x:f>SUM($H$6:H37)</x:f>
        <x:v>947</x:v>
      </x:c>
      <x:c r="J37" t="n">
        <x:v>26</x:v>
      </x:c>
      <x:c r="K37" t="n">
        <x:v>27</x:v>
      </x:c>
      <x:c r="L37" t="n">
        <x:v>28</x:v>
      </x:c>
      <x:c r="M37" s="412" t="n">
        <x:v>27.1</x:v>
      </x:c>
      <x:c r="N37" s="412" t="n">
        <x:v>1.1</x:v>
      </x:c>
      <x:c r="O37" s="488" t="n">
        <x:v>4.8</x:v>
      </x:c>
      <x:c r="P37" s="491" t="n">
        <x:v>54.41180891189392</x:v>
      </x:c>
      <x:c r="Q37" s="491" t="n">
        <x:v>232.04723564757566</x:v>
      </x:c>
      <x:c r="R37" s="495" t="n">
        <x:v>3</x:v>
      </x:c>
      <x:c r="S37" s="496" t="n">
        <x:v>1</x:v>
      </x:c>
    </x:row>
    <x:row r="38">
      <x:c r="A38" t="str">
        <x:v>WAVE_33</x:v>
      </x:c>
      <x:c r="B38" s="409" t="n">
        <x:v>321</x:v>
      </x:c>
      <x:c r="C38" t="n">
        <x:f>COUNTIF('StageSpawn'!$B$2:$B$3284,A38)</x:f>
        <x:v>55</x:v>
      </x:c>
      <x:c r="D38" t="n">
        <x:f>COUNTIFS('StageSpawn'!$B$2:$B$3284,A38,'StageSpawn'!$F$2:$F$3284,"GoblinMelee")+COUNTIFS('StageSpawn'!$B$2:$B$3284,A38,'StageSpawn'!$F$2:$F$3284,"FlyingEye")</x:f>
        <x:v>36</x:v>
      </x:c>
      <x:c r="E38" t="n">
        <x:f>COUNTIFS('StageSpawn'!$B$2:$B$3284,A38,'StageSpawn'!$F$2:$F$3284,"GoblinRanged")</x:f>
        <x:v>13</x:v>
      </x:c>
      <x:c r="F38" t="n">
        <x:f>COUNTIFS('StageSpawn'!$B$2:$B$3284,A38,'StageSpawn'!$F$2:$F$3284,"ShieldSkeleton")</x:f>
        <x:v>6</x:v>
      </x:c>
      <x:c r="G38" t="n">
        <x:f>COUNTIFS('StageSpawn'!$B$2:$B$3284,A38,'StageSpawn'!$F$2:$F$3284,"GoblinBoss")+COUNTIFS('StageSpawn'!$B$2:$B$3284,A38,'StageSpawn'!$F$2:$F$3284,"MushroomBoss")+COUNTIFS('StageSpawn'!$B$2:$B$3284,A38,'StageSpawn'!$F$2:$F$3284,"FlyingEyeBoss")+COUNTIFS('StageSpawn'!$B$2:$B$3284,A38,'StageSpawn'!$F$2:$F$3284,"SkeletonBoss")</x:f>
        <x:v>0</x:v>
      </x:c>
      <x:c r="H38" t="n">
        <x:f>COUNTIFS('StageSpawn'!$B$2:$B$3284,A38,'StageSpawn'!$F$2:$F$3284,"GoblinMelee")*'EnemyBalance'!$M$2+COUNTIFS('StageSpawn'!$B$2:$B$3284,A38,'StageSpawn'!$F$2:$F$3284,"GoblinRanged")*'EnemyBalance'!$M$3+COUNTIFS('StageSpawn'!$B$2:$B$3284,A38,'StageSpawn'!$F$2:$F$3284,"ShieldSkeleton")*'EnemyBalance'!$M$4+COUNTIFS('StageSpawn'!$B$2:$B$3284,A38,'StageSpawn'!$F$2:$F$3284,"GoblinBoss")*'EnemyBalance'!$M$5+COUNTIFS('StageSpawn'!$B$2:$B$3284,A38,'StageSpawn'!$F$2:$F$3284,"MushroomBoss")*'EnemyBalance'!$M$6+COUNTIFS('StageSpawn'!$B$2:$B$3284,A38,'StageSpawn'!$F$2:$F$3284,"FlyingEye")*'EnemyBalance'!$M$7+COUNTIFS('StageSpawn'!$B$2:$B$3284,A38,'StageSpawn'!$F$2:$F$3284,"FlyingEyeBoss")*'EnemyBalance'!$M$8+COUNTIFS('StageSpawn'!$B$2:$B$3284,A38,'StageSpawn'!$F$2:$F$3284,"SkeletonBoss")*'EnemyBalance'!$M$9</x:f>
        <x:v>64</x:v>
      </x:c>
      <x:c r="I38" t="n">
        <x:f>SUM($H$6:H38)</x:f>
        <x:v>1011</x:v>
      </x:c>
      <x:c r="J38" t="n">
        <x:v>26</x:v>
      </x:c>
      <x:c r="K38" t="n">
        <x:v>27</x:v>
      </x:c>
      <x:c r="L38" t="n">
        <x:v>28</x:v>
      </x:c>
      <x:c r="M38" s="412" t="n">
        <x:v>27.1</x:v>
      </x:c>
      <x:c r="N38" s="412" t="n">
        <x:v>1.1</x:v>
      </x:c>
      <x:c r="O38" s="487" t="n">
        <x:v>4.8</x:v>
      </x:c>
      <x:c r="P38" s="490" t="n">
        <x:v>54.41180891189392</x:v>
      </x:c>
      <x:c r="Q38" s="490" t="n">
        <x:v>232.04723564757566</x:v>
      </x:c>
      <x:c r="R38" s="493" t="n">
        <x:v>3</x:v>
      </x:c>
      <x:c r="S38" s="494" t="n">
        <x:v>1</x:v>
      </x:c>
    </x:row>
    <x:row r="39">
      <x:c r="A39" t="str">
        <x:v>WAVE_34</x:v>
      </x:c>
      <x:c r="B39" s="409" t="n">
        <x:v>331</x:v>
      </x:c>
      <x:c r="C39" t="n">
        <x:f>COUNTIF('StageSpawn'!$B$2:$B$3284,A39)</x:f>
        <x:v>57</x:v>
      </x:c>
      <x:c r="D39" t="n">
        <x:f>COUNTIFS('StageSpawn'!$B$2:$B$3284,A39,'StageSpawn'!$F$2:$F$3284,"GoblinMelee")+COUNTIFS('StageSpawn'!$B$2:$B$3284,A39,'StageSpawn'!$F$2:$F$3284,"FlyingEye")</x:f>
        <x:v>37</x:v>
      </x:c>
      <x:c r="E39" t="n">
        <x:f>COUNTIFS('StageSpawn'!$B$2:$B$3284,A39,'StageSpawn'!$F$2:$F$3284,"GoblinRanged")</x:f>
        <x:v>14</x:v>
      </x:c>
      <x:c r="F39" t="n">
        <x:f>COUNTIFS('StageSpawn'!$B$2:$B$3284,A39,'StageSpawn'!$F$2:$F$3284,"ShieldSkeleton")</x:f>
        <x:v>6</x:v>
      </x:c>
      <x:c r="G39" t="n">
        <x:f>COUNTIFS('StageSpawn'!$B$2:$B$3284,A39,'StageSpawn'!$F$2:$F$3284,"GoblinBoss")+COUNTIFS('StageSpawn'!$B$2:$B$3284,A39,'StageSpawn'!$F$2:$F$3284,"MushroomBoss")+COUNTIFS('StageSpawn'!$B$2:$B$3284,A39,'StageSpawn'!$F$2:$F$3284,"FlyingEyeBoss")+COUNTIFS('StageSpawn'!$B$2:$B$3284,A39,'StageSpawn'!$F$2:$F$3284,"SkeletonBoss")</x:f>
        <x:v>0</x:v>
      </x:c>
      <x:c r="H39" t="n">
        <x:f>COUNTIFS('StageSpawn'!$B$2:$B$3284,A39,'StageSpawn'!$F$2:$F$3284,"GoblinMelee")*'EnemyBalance'!$M$2+COUNTIFS('StageSpawn'!$B$2:$B$3284,A39,'StageSpawn'!$F$2:$F$3284,"GoblinRanged")*'EnemyBalance'!$M$3+COUNTIFS('StageSpawn'!$B$2:$B$3284,A39,'StageSpawn'!$F$2:$F$3284,"ShieldSkeleton")*'EnemyBalance'!$M$4+COUNTIFS('StageSpawn'!$B$2:$B$3284,A39,'StageSpawn'!$F$2:$F$3284,"GoblinBoss")*'EnemyBalance'!$M$5+COUNTIFS('StageSpawn'!$B$2:$B$3284,A39,'StageSpawn'!$F$2:$F$3284,"MushroomBoss")*'EnemyBalance'!$M$6+COUNTIFS('StageSpawn'!$B$2:$B$3284,A39,'StageSpawn'!$F$2:$F$3284,"FlyingEye")*'EnemyBalance'!$M$7+COUNTIFS('StageSpawn'!$B$2:$B$3284,A39,'StageSpawn'!$F$2:$F$3284,"FlyingEyeBoss")*'EnemyBalance'!$M$8+COUNTIFS('StageSpawn'!$B$2:$B$3284,A39,'StageSpawn'!$F$2:$F$3284,"SkeletonBoss")*'EnemyBalance'!$M$9</x:f>
        <x:v>66</x:v>
      </x:c>
      <x:c r="I39" t="n">
        <x:f>SUM($H$6:H39)</x:f>
        <x:v>1077</x:v>
      </x:c>
      <x:c r="J39" t="n">
        <x:v>27</x:v>
      </x:c>
      <x:c r="K39" t="n">
        <x:v>28</x:v>
      </x:c>
      <x:c r="L39" t="n">
        <x:v>29</x:v>
      </x:c>
      <x:c r="M39" s="412" t="n">
        <x:v>28.1</x:v>
      </x:c>
      <x:c r="N39" s="412" t="n">
        <x:v>1.1</x:v>
      </x:c>
      <x:c r="O39" s="488" t="n">
        <x:v>4.8</x:v>
      </x:c>
      <x:c r="P39" s="491" t="n">
        <x:v>55.54176541842684</x:v>
      </x:c>
      <x:c r="Q39" s="491" t="n">
        <x:v>236.56706167370737</x:v>
      </x:c>
      <x:c r="R39" s="495" t="n">
        <x:v>3</x:v>
      </x:c>
      <x:c r="S39" s="496" t="n">
        <x:v>1</x:v>
      </x:c>
    </x:row>
    <x:row r="40">
      <x:c r="A40" t="str">
        <x:v>WAVE_35</x:v>
      </x:c>
      <x:c r="B40" s="409" t="n">
        <x:v>341</x:v>
      </x:c>
      <x:c r="C40" t="n">
        <x:f>COUNTIF('StageSpawn'!$B$2:$B$3284,A40)</x:f>
        <x:v>59</x:v>
      </x:c>
      <x:c r="D40" t="n">
        <x:f>COUNTIFS('StageSpawn'!$B$2:$B$3284,A40,'StageSpawn'!$F$2:$F$3284,"GoblinMelee")+COUNTIFS('StageSpawn'!$B$2:$B$3284,A40,'StageSpawn'!$F$2:$F$3284,"FlyingEye")</x:f>
        <x:v>38</x:v>
      </x:c>
      <x:c r="E40" t="n">
        <x:f>COUNTIFS('StageSpawn'!$B$2:$B$3284,A40,'StageSpawn'!$F$2:$F$3284,"GoblinRanged")</x:f>
        <x:v>15</x:v>
      </x:c>
      <x:c r="F40" t="n">
        <x:f>COUNTIFS('StageSpawn'!$B$2:$B$3284,A40,'StageSpawn'!$F$2:$F$3284,"ShieldSkeleton")</x:f>
        <x:v>6</x:v>
      </x:c>
      <x:c r="G40" t="n">
        <x:f>COUNTIFS('StageSpawn'!$B$2:$B$3284,A40,'StageSpawn'!$F$2:$F$3284,"GoblinBoss")+COUNTIFS('StageSpawn'!$B$2:$B$3284,A40,'StageSpawn'!$F$2:$F$3284,"MushroomBoss")+COUNTIFS('StageSpawn'!$B$2:$B$3284,A40,'StageSpawn'!$F$2:$F$3284,"FlyingEyeBoss")+COUNTIFS('StageSpawn'!$B$2:$B$3284,A40,'StageSpawn'!$F$2:$F$3284,"SkeletonBoss")</x:f>
        <x:v>0</x:v>
      </x:c>
      <x:c r="H40" t="n">
        <x:f>COUNTIFS('StageSpawn'!$B$2:$B$3284,A40,'StageSpawn'!$F$2:$F$3284,"GoblinMelee")*'EnemyBalance'!$M$2+COUNTIFS('StageSpawn'!$B$2:$B$3284,A40,'StageSpawn'!$F$2:$F$3284,"GoblinRanged")*'EnemyBalance'!$M$3+COUNTIFS('StageSpawn'!$B$2:$B$3284,A40,'StageSpawn'!$F$2:$F$3284,"ShieldSkeleton")*'EnemyBalance'!$M$4+COUNTIFS('StageSpawn'!$B$2:$B$3284,A40,'StageSpawn'!$F$2:$F$3284,"GoblinBoss")*'EnemyBalance'!$M$5+COUNTIFS('StageSpawn'!$B$2:$B$3284,A40,'StageSpawn'!$F$2:$F$3284,"MushroomBoss")*'EnemyBalance'!$M$6+COUNTIFS('StageSpawn'!$B$2:$B$3284,A40,'StageSpawn'!$F$2:$F$3284,"FlyingEye")*'EnemyBalance'!$M$7+COUNTIFS('StageSpawn'!$B$2:$B$3284,A40,'StageSpawn'!$F$2:$F$3284,"FlyingEyeBoss")*'EnemyBalance'!$M$8+COUNTIFS('StageSpawn'!$B$2:$B$3284,A40,'StageSpawn'!$F$2:$F$3284,"SkeletonBoss")*'EnemyBalance'!$M$9</x:f>
        <x:v>68</x:v>
      </x:c>
      <x:c r="I40" t="n">
        <x:f>SUM($H$6:H40)</x:f>
        <x:v>1145</x:v>
      </x:c>
      <x:c r="J40" t="n">
        <x:v>28</x:v>
      </x:c>
      <x:c r="K40" t="n">
        <x:v>29</x:v>
      </x:c>
      <x:c r="L40" t="n">
        <x:v>30</x:v>
      </x:c>
      <x:c r="M40" s="412" t="n">
        <x:v>29.2</x:v>
      </x:c>
      <x:c r="N40" s="412" t="n">
        <x:v>1.2</x:v>
      </x:c>
      <x:c r="O40" s="487" t="n">
        <x:v>4.8</x:v>
      </x:c>
      <x:c r="P40" s="490" t="n">
        <x:v>56.77637825327806</x:v>
      </x:c>
      <x:c r="Q40" s="490" t="n">
        <x:v>241.50551301311222</x:v>
      </x:c>
      <x:c r="R40" s="493" t="n">
        <x:v>3</x:v>
      </x:c>
      <x:c r="S40" s="494" t="n">
        <x:v>1</x:v>
      </x:c>
    </x:row>
    <x:row r="41">
      <x:c r="A41" t="str">
        <x:v>WAVE_36</x:v>
      </x:c>
      <x:c r="B41" s="409" t="n">
        <x:v>351</x:v>
      </x:c>
      <x:c r="C41" t="n">
        <x:f>COUNTIF('StageSpawn'!$B$2:$B$3284,A41)</x:f>
        <x:v>61</x:v>
      </x:c>
      <x:c r="D41" t="n">
        <x:f>COUNTIFS('StageSpawn'!$B$2:$B$3284,A41,'StageSpawn'!$F$2:$F$3284,"GoblinMelee")+COUNTIFS('StageSpawn'!$B$2:$B$3284,A41,'StageSpawn'!$F$2:$F$3284,"FlyingEye")</x:f>
        <x:v>38</x:v>
      </x:c>
      <x:c r="E41" t="n">
        <x:f>COUNTIFS('StageSpawn'!$B$2:$B$3284,A41,'StageSpawn'!$F$2:$F$3284,"GoblinRanged")</x:f>
        <x:v>15</x:v>
      </x:c>
      <x:c r="F41" t="n">
        <x:f>COUNTIFS('StageSpawn'!$B$2:$B$3284,A41,'StageSpawn'!$F$2:$F$3284,"ShieldSkeleton")</x:f>
        <x:v>7</x:v>
      </x:c>
      <x:c r="G41" t="n">
        <x:f>COUNTIFS('StageSpawn'!$B$2:$B$3284,A41,'StageSpawn'!$F$2:$F$3284,"GoblinBoss")+COUNTIFS('StageSpawn'!$B$2:$B$3284,A41,'StageSpawn'!$F$2:$F$3284,"MushroomBoss")+COUNTIFS('StageSpawn'!$B$2:$B$3284,A41,'StageSpawn'!$F$2:$F$3284,"FlyingEyeBoss")+COUNTIFS('StageSpawn'!$B$2:$B$3284,A41,'StageSpawn'!$F$2:$F$3284,"SkeletonBoss")</x:f>
        <x:v>1</x:v>
      </x:c>
      <x:c r="H41" t="n">
        <x:f>COUNTIFS('StageSpawn'!$B$2:$B$3284,A41,'StageSpawn'!$F$2:$F$3284,"GoblinMelee")*'EnemyBalance'!$M$2+COUNTIFS('StageSpawn'!$B$2:$B$3284,A41,'StageSpawn'!$F$2:$F$3284,"GoblinRanged")*'EnemyBalance'!$M$3+COUNTIFS('StageSpawn'!$B$2:$B$3284,A41,'StageSpawn'!$F$2:$F$3284,"ShieldSkeleton")*'EnemyBalance'!$M$4+COUNTIFS('StageSpawn'!$B$2:$B$3284,A41,'StageSpawn'!$F$2:$F$3284,"GoblinBoss")*'EnemyBalance'!$M$5+COUNTIFS('StageSpawn'!$B$2:$B$3284,A41,'StageSpawn'!$F$2:$F$3284,"MushroomBoss")*'EnemyBalance'!$M$6+COUNTIFS('StageSpawn'!$B$2:$B$3284,A41,'StageSpawn'!$F$2:$F$3284,"FlyingEye")*'EnemyBalance'!$M$7+COUNTIFS('StageSpawn'!$B$2:$B$3284,A41,'StageSpawn'!$F$2:$F$3284,"FlyingEyeBoss")*'EnemyBalance'!$M$8+COUNTIFS('StageSpawn'!$B$2:$B$3284,A41,'StageSpawn'!$F$2:$F$3284,"SkeletonBoss")*'EnemyBalance'!$M$9</x:f>
        <x:v>82</x:v>
      </x:c>
      <x:c r="I41" t="n">
        <x:f>SUM($H$6:H41)</x:f>
        <x:v>1227</x:v>
      </x:c>
      <x:c r="J41" t="n">
        <x:v>29</x:v>
      </x:c>
      <x:c r="K41" t="n">
        <x:v>30</x:v>
      </x:c>
      <x:c r="L41" t="n">
        <x:v>31</x:v>
      </x:c>
      <x:c r="M41" s="412" t="n">
        <x:v>30.2</x:v>
      </x:c>
      <x:c r="N41" s="412" t="n">
        <x:v>1.2</x:v>
      </x:c>
      <x:c r="O41" s="488" t="n">
        <x:v>4.8</x:v>
      </x:c>
      <x:c r="P41" s="491" t="n">
        <x:v>57.89158593252547</x:v>
      </x:c>
      <x:c r="Q41" s="491" t="n">
        <x:v>245.9663437301019</x:v>
      </x:c>
      <x:c r="R41" s="495" t="n">
        <x:v>3</x:v>
      </x:c>
      <x:c r="S41" s="496" t="n">
        <x:v>1</x:v>
      </x:c>
    </x:row>
    <x:row r="42">
      <x:c r="A42" t="str">
        <x:v>WAVE_37</x:v>
      </x:c>
      <x:c r="B42" s="409" t="n">
        <x:v>361</x:v>
      </x:c>
      <x:c r="C42" t="n">
        <x:f>COUNTIF('StageSpawn'!$B$2:$B$3284,A42)</x:f>
        <x:v>63</x:v>
      </x:c>
      <x:c r="D42" t="n">
        <x:f>COUNTIFS('StageSpawn'!$B$2:$B$3284,A42,'StageSpawn'!$F$2:$F$3284,"GoblinMelee")+COUNTIFS('StageSpawn'!$B$2:$B$3284,A42,'StageSpawn'!$F$2:$F$3284,"FlyingEye")</x:f>
        <x:v>40</x:v>
      </x:c>
      <x:c r="E42" t="n">
        <x:f>COUNTIFS('StageSpawn'!$B$2:$B$3284,A42,'StageSpawn'!$F$2:$F$3284,"GoblinRanged")</x:f>
        <x:v>16</x:v>
      </x:c>
      <x:c r="F42" t="n">
        <x:f>COUNTIFS('StageSpawn'!$B$2:$B$3284,A42,'StageSpawn'!$F$2:$F$3284,"ShieldSkeleton")</x:f>
        <x:v>7</x:v>
      </x:c>
      <x:c r="G42" t="n">
        <x:f>COUNTIFS('StageSpawn'!$B$2:$B$3284,A42,'StageSpawn'!$F$2:$F$3284,"GoblinBoss")+COUNTIFS('StageSpawn'!$B$2:$B$3284,A42,'StageSpawn'!$F$2:$F$3284,"MushroomBoss")+COUNTIFS('StageSpawn'!$B$2:$B$3284,A42,'StageSpawn'!$F$2:$F$3284,"FlyingEyeBoss")+COUNTIFS('StageSpawn'!$B$2:$B$3284,A42,'StageSpawn'!$F$2:$F$3284,"SkeletonBoss")</x:f>
        <x:v>0</x:v>
      </x:c>
      <x:c r="H42" t="n">
        <x:f>COUNTIFS('StageSpawn'!$B$2:$B$3284,A42,'StageSpawn'!$F$2:$F$3284,"GoblinMelee")*'EnemyBalance'!$M$2+COUNTIFS('StageSpawn'!$B$2:$B$3284,A42,'StageSpawn'!$F$2:$F$3284,"GoblinRanged")*'EnemyBalance'!$M$3+COUNTIFS('StageSpawn'!$B$2:$B$3284,A42,'StageSpawn'!$F$2:$F$3284,"ShieldSkeleton")*'EnemyBalance'!$M$4+COUNTIFS('StageSpawn'!$B$2:$B$3284,A42,'StageSpawn'!$F$2:$F$3284,"GoblinBoss")*'EnemyBalance'!$M$5+COUNTIFS('StageSpawn'!$B$2:$B$3284,A42,'StageSpawn'!$F$2:$F$3284,"MushroomBoss")*'EnemyBalance'!$M$6+COUNTIFS('StageSpawn'!$B$2:$B$3284,A42,'StageSpawn'!$F$2:$F$3284,"FlyingEye")*'EnemyBalance'!$M$7+COUNTIFS('StageSpawn'!$B$2:$B$3284,A42,'StageSpawn'!$F$2:$F$3284,"FlyingEyeBoss")*'EnemyBalance'!$M$8+COUNTIFS('StageSpawn'!$B$2:$B$3284,A42,'StageSpawn'!$F$2:$F$3284,"SkeletonBoss")*'EnemyBalance'!$M$9</x:f>
        <x:v>75</x:v>
      </x:c>
      <x:c r="I42" t="n">
        <x:f>SUM($H$6:H42)</x:f>
        <x:v>1302</x:v>
      </x:c>
      <x:c r="J42" t="n">
        <x:v>30</x:v>
      </x:c>
      <x:c r="K42" t="n">
        <x:v>31</x:v>
      </x:c>
      <x:c r="L42" t="n">
        <x:v>32</x:v>
      </x:c>
      <x:c r="M42" s="412" t="n">
        <x:v>31.2</x:v>
      </x:c>
      <x:c r="N42" s="412" t="n">
        <x:v>1.2</x:v>
      </x:c>
      <x:c r="O42" s="487" t="n">
        <x:v>4.8</x:v>
      </x:c>
      <x:c r="P42" s="490" t="n">
        <x:v>59.00032687570362</x:v>
      </x:c>
      <x:c r="Q42" s="490" t="n">
        <x:v>250.4013075028145</x:v>
      </x:c>
      <x:c r="R42" s="493" t="n">
        <x:v>3</x:v>
      </x:c>
      <x:c r="S42" s="494" t="n">
        <x:v>1</x:v>
      </x:c>
    </x:row>
    <x:row r="43">
      <x:c r="A43" t="str">
        <x:v>WAVE_38</x:v>
      </x:c>
      <x:c r="B43" s="409" t="n">
        <x:v>371</x:v>
      </x:c>
      <x:c r="C43" t="n">
        <x:f>COUNTIF('StageSpawn'!$B$2:$B$3284,A43)</x:f>
        <x:v>66</x:v>
      </x:c>
      <x:c r="D43" t="n">
        <x:f>COUNTIFS('StageSpawn'!$B$2:$B$3284,A43,'StageSpawn'!$F$2:$F$3284,"GoblinMelee")+COUNTIFS('StageSpawn'!$B$2:$B$3284,A43,'StageSpawn'!$F$2:$F$3284,"FlyingEye")</x:f>
        <x:v>42</x:v>
      </x:c>
      <x:c r="E43" t="n">
        <x:f>COUNTIFS('StageSpawn'!$B$2:$B$3284,A43,'StageSpawn'!$F$2:$F$3284,"GoblinRanged")</x:f>
        <x:v>17</x:v>
      </x:c>
      <x:c r="F43" t="n">
        <x:f>COUNTIFS('StageSpawn'!$B$2:$B$3284,A43,'StageSpawn'!$F$2:$F$3284,"ShieldSkeleton")</x:f>
        <x:v>7</x:v>
      </x:c>
      <x:c r="G43" t="n">
        <x:f>COUNTIFS('StageSpawn'!$B$2:$B$3284,A43,'StageSpawn'!$F$2:$F$3284,"GoblinBoss")+COUNTIFS('StageSpawn'!$B$2:$B$3284,A43,'StageSpawn'!$F$2:$F$3284,"MushroomBoss")+COUNTIFS('StageSpawn'!$B$2:$B$3284,A43,'StageSpawn'!$F$2:$F$3284,"FlyingEyeBoss")+COUNTIFS('StageSpawn'!$B$2:$B$3284,A43,'StageSpawn'!$F$2:$F$3284,"SkeletonBoss")</x:f>
        <x:v>0</x:v>
      </x:c>
      <x:c r="H43" t="n">
        <x:f>COUNTIFS('StageSpawn'!$B$2:$B$3284,A43,'StageSpawn'!$F$2:$F$3284,"GoblinMelee")*'EnemyBalance'!$M$2+COUNTIFS('StageSpawn'!$B$2:$B$3284,A43,'StageSpawn'!$F$2:$F$3284,"GoblinRanged")*'EnemyBalance'!$M$3+COUNTIFS('StageSpawn'!$B$2:$B$3284,A43,'StageSpawn'!$F$2:$F$3284,"ShieldSkeleton")*'EnemyBalance'!$M$4+COUNTIFS('StageSpawn'!$B$2:$B$3284,A43,'StageSpawn'!$F$2:$F$3284,"GoblinBoss")*'EnemyBalance'!$M$5+COUNTIFS('StageSpawn'!$B$2:$B$3284,A43,'StageSpawn'!$F$2:$F$3284,"MushroomBoss")*'EnemyBalance'!$M$6+COUNTIFS('StageSpawn'!$B$2:$B$3284,A43,'StageSpawn'!$F$2:$F$3284,"FlyingEye")*'EnemyBalance'!$M$7+COUNTIFS('StageSpawn'!$B$2:$B$3284,A43,'StageSpawn'!$F$2:$F$3284,"FlyingEyeBoss")*'EnemyBalance'!$M$8+COUNTIFS('StageSpawn'!$B$2:$B$3284,A43,'StageSpawn'!$F$2:$F$3284,"SkeletonBoss")*'EnemyBalance'!$M$9</x:f>
        <x:v>78</x:v>
      </x:c>
      <x:c r="I43" t="n">
        <x:f>SUM($H$6:H43)</x:f>
        <x:v>1380</x:v>
      </x:c>
      <x:c r="J43" t="n">
        <x:v>31</x:v>
      </x:c>
      <x:c r="K43" t="n">
        <x:v>32</x:v>
      </x:c>
      <x:c r="L43" t="n">
        <x:v>33</x:v>
      </x:c>
      <x:c r="M43" s="412" t="n">
        <x:v>32.3</x:v>
      </x:c>
      <x:c r="N43" s="412" t="n">
        <x:v>1.3</x:v>
      </x:c>
      <x:c r="O43" s="488" t="n">
        <x:v>4.8</x:v>
      </x:c>
      <x:c r="P43" s="491" t="n">
        <x:v>60.212852392501354</x:v>
      </x:c>
      <x:c r="Q43" s="491" t="n">
        <x:v>255.25140957000542</x:v>
      </x:c>
      <x:c r="R43" s="495" t="n">
        <x:v>3</x:v>
      </x:c>
      <x:c r="S43" s="496" t="n">
        <x:v>1</x:v>
      </x:c>
    </x:row>
    <x:row r="44">
      <x:c r="A44" t="str">
        <x:v>WAVE_39</x:v>
      </x:c>
      <x:c r="B44" s="409" t="n">
        <x:v>381</x:v>
      </x:c>
      <x:c r="C44" t="n">
        <x:f>COUNTIF('StageSpawn'!$B$2:$B$3284,A44)</x:f>
        <x:v>68</x:v>
      </x:c>
      <x:c r="D44" t="n">
        <x:f>COUNTIFS('StageSpawn'!$B$2:$B$3284,A44,'StageSpawn'!$F$2:$F$3284,"GoblinMelee")+COUNTIFS('StageSpawn'!$B$2:$B$3284,A44,'StageSpawn'!$F$2:$F$3284,"FlyingEye")</x:f>
        <x:v>43</x:v>
      </x:c>
      <x:c r="E44" t="n">
        <x:f>COUNTIFS('StageSpawn'!$B$2:$B$3284,A44,'StageSpawn'!$F$2:$F$3284,"GoblinRanged")</x:f>
        <x:v>17</x:v>
      </x:c>
      <x:c r="F44" t="n">
        <x:f>COUNTIFS('StageSpawn'!$B$2:$B$3284,A44,'StageSpawn'!$F$2:$F$3284,"ShieldSkeleton")</x:f>
        <x:v>8</x:v>
      </x:c>
      <x:c r="G44" t="n">
        <x:f>COUNTIFS('StageSpawn'!$B$2:$B$3284,A44,'StageSpawn'!$F$2:$F$3284,"GoblinBoss")+COUNTIFS('StageSpawn'!$B$2:$B$3284,A44,'StageSpawn'!$F$2:$F$3284,"MushroomBoss")+COUNTIFS('StageSpawn'!$B$2:$B$3284,A44,'StageSpawn'!$F$2:$F$3284,"FlyingEyeBoss")+COUNTIFS('StageSpawn'!$B$2:$B$3284,A44,'StageSpawn'!$F$2:$F$3284,"SkeletonBoss")</x:f>
        <x:v>0</x:v>
      </x:c>
      <x:c r="H44" t="n">
        <x:f>COUNTIFS('StageSpawn'!$B$2:$B$3284,A44,'StageSpawn'!$F$2:$F$3284,"GoblinMelee")*'EnemyBalance'!$M$2+COUNTIFS('StageSpawn'!$B$2:$B$3284,A44,'StageSpawn'!$F$2:$F$3284,"GoblinRanged")*'EnemyBalance'!$M$3+COUNTIFS('StageSpawn'!$B$2:$B$3284,A44,'StageSpawn'!$F$2:$F$3284,"ShieldSkeleton")*'EnemyBalance'!$M$4+COUNTIFS('StageSpawn'!$B$2:$B$3284,A44,'StageSpawn'!$F$2:$F$3284,"GoblinBoss")*'EnemyBalance'!$M$5+COUNTIFS('StageSpawn'!$B$2:$B$3284,A44,'StageSpawn'!$F$2:$F$3284,"MushroomBoss")*'EnemyBalance'!$M$6+COUNTIFS('StageSpawn'!$B$2:$B$3284,A44,'StageSpawn'!$F$2:$F$3284,"FlyingEye")*'EnemyBalance'!$M$7+COUNTIFS('StageSpawn'!$B$2:$B$3284,A44,'StageSpawn'!$F$2:$F$3284,"FlyingEyeBoss")*'EnemyBalance'!$M$8+COUNTIFS('StageSpawn'!$B$2:$B$3284,A44,'StageSpawn'!$F$2:$F$3284,"SkeletonBoss")*'EnemyBalance'!$M$9</x:f>
        <x:v>81</x:v>
      </x:c>
      <x:c r="I44" t="n">
        <x:f>SUM($H$6:H44)</x:f>
        <x:v>1461</x:v>
      </x:c>
      <x:c r="J44" t="n">
        <x:v>32</x:v>
      </x:c>
      <x:c r="K44" t="n">
        <x:v>33</x:v>
      </x:c>
      <x:c r="L44" t="n">
        <x:v>34</x:v>
      </x:c>
      <x:c r="M44" s="412" t="n">
        <x:v>33.3</x:v>
      </x:c>
      <x:c r="N44" s="412" t="n">
        <x:v>1.3</x:v>
      </x:c>
      <x:c r="O44" s="487" t="n">
        <x:v>4.8</x:v>
      </x:c>
      <x:c r="P44" s="490" t="n">
        <x:v>61.30902029304076</x:v>
      </x:c>
      <x:c r="Q44" s="490" t="n">
        <x:v>259.6360811721631</x:v>
      </x:c>
      <x:c r="R44" s="493" t="n">
        <x:v>3</x:v>
      </x:c>
      <x:c r="S44" s="494" t="n">
        <x:v>1</x:v>
      </x:c>
    </x:row>
    <x:row r="45">
      <x:c r="A45" t="str">
        <x:v>WAVE_40</x:v>
      </x:c>
      <x:c r="B45" s="409" t="n">
        <x:v>391</x:v>
      </x:c>
      <x:c r="C45" t="n">
        <x:f>COUNTIF('StageSpawn'!$B$2:$B$3284,A45)</x:f>
        <x:v>70</x:v>
      </x:c>
      <x:c r="D45" t="n">
        <x:f>COUNTIFS('StageSpawn'!$B$2:$B$3284,A45,'StageSpawn'!$F$2:$F$3284,"GoblinMelee")+COUNTIFS('StageSpawn'!$B$2:$B$3284,A45,'StageSpawn'!$F$2:$F$3284,"FlyingEye")</x:f>
        <x:v>44</x:v>
      </x:c>
      <x:c r="E45" t="n">
        <x:f>COUNTIFS('StageSpawn'!$B$2:$B$3284,A45,'StageSpawn'!$F$2:$F$3284,"GoblinRanged")</x:f>
        <x:v>18</x:v>
      </x:c>
      <x:c r="F45" t="n">
        <x:f>COUNTIFS('StageSpawn'!$B$2:$B$3284,A45,'StageSpawn'!$F$2:$F$3284,"ShieldSkeleton")</x:f>
        <x:v>8</x:v>
      </x:c>
      <x:c r="G45" t="n">
        <x:f>COUNTIFS('StageSpawn'!$B$2:$B$3284,A45,'StageSpawn'!$F$2:$F$3284,"GoblinBoss")+COUNTIFS('StageSpawn'!$B$2:$B$3284,A45,'StageSpawn'!$F$2:$F$3284,"MushroomBoss")+COUNTIFS('StageSpawn'!$B$2:$B$3284,A45,'StageSpawn'!$F$2:$F$3284,"FlyingEyeBoss")+COUNTIFS('StageSpawn'!$B$2:$B$3284,A45,'StageSpawn'!$F$2:$F$3284,"SkeletonBoss")</x:f>
        <x:v>0</x:v>
      </x:c>
      <x:c r="H45" t="n">
        <x:f>COUNTIFS('StageSpawn'!$B$2:$B$3284,A45,'StageSpawn'!$F$2:$F$3284,"GoblinMelee")*'EnemyBalance'!$M$2+COUNTIFS('StageSpawn'!$B$2:$B$3284,A45,'StageSpawn'!$F$2:$F$3284,"GoblinRanged")*'EnemyBalance'!$M$3+COUNTIFS('StageSpawn'!$B$2:$B$3284,A45,'StageSpawn'!$F$2:$F$3284,"ShieldSkeleton")*'EnemyBalance'!$M$4+COUNTIFS('StageSpawn'!$B$2:$B$3284,A45,'StageSpawn'!$F$2:$F$3284,"GoblinBoss")*'EnemyBalance'!$M$5+COUNTIFS('StageSpawn'!$B$2:$B$3284,A45,'StageSpawn'!$F$2:$F$3284,"MushroomBoss")*'EnemyBalance'!$M$6+COUNTIFS('StageSpawn'!$B$2:$B$3284,A45,'StageSpawn'!$F$2:$F$3284,"FlyingEye")*'EnemyBalance'!$M$7+COUNTIFS('StageSpawn'!$B$2:$B$3284,A45,'StageSpawn'!$F$2:$F$3284,"FlyingEyeBoss")*'EnemyBalance'!$M$8+COUNTIFS('StageSpawn'!$B$2:$B$3284,A45,'StageSpawn'!$F$2:$F$3284,"SkeletonBoss")*'EnemyBalance'!$M$9</x:f>
        <x:v>83</x:v>
      </x:c>
      <x:c r="I45" t="n">
        <x:f>SUM($H$6:H45)</x:f>
        <x:v>1544</x:v>
      </x:c>
      <x:c r="J45" t="n">
        <x:v>32</x:v>
      </x:c>
      <x:c r="K45" t="n">
        <x:v>33</x:v>
      </x:c>
      <x:c r="L45" t="n">
        <x:v>34</x:v>
      </x:c>
      <x:c r="M45" s="412" t="n">
        <x:v>33.3</x:v>
      </x:c>
      <x:c r="N45" s="412" t="n">
        <x:v>1.3</x:v>
      </x:c>
      <x:c r="O45" s="488" t="n">
        <x:v>6</x:v>
      </x:c>
      <x:c r="P45" s="491" t="n">
        <x:v>76.63627536630096</x:v>
      </x:c>
      <x:c r="Q45" s="491" t="n">
        <x:v>324.54510146520386</x:v>
      </x:c>
      <x:c r="R45" s="495" t="n">
        <x:v>4</x:v>
      </x:c>
      <x:c r="S45" s="496" t="n">
        <x:v>1</x:v>
      </x:c>
    </x:row>
    <x:row r="46">
      <x:c r="A46" t="str">
        <x:v>WAVE_41</x:v>
      </x:c>
      <x:c r="B46" s="409" t="n">
        <x:v>401</x:v>
      </x:c>
      <x:c r="C46" t="n">
        <x:f>COUNTIF('StageSpawn'!$B$2:$B$3284,A46)</x:f>
        <x:v>72</x:v>
      </x:c>
      <x:c r="D46" t="n">
        <x:f>COUNTIFS('StageSpawn'!$B$2:$B$3284,A46,'StageSpawn'!$F$2:$F$3284,"GoblinMelee")+COUNTIFS('StageSpawn'!$B$2:$B$3284,A46,'StageSpawn'!$F$2:$F$3284,"FlyingEye")</x:f>
        <x:v>45</x:v>
      </x:c>
      <x:c r="E46" t="n">
        <x:f>COUNTIFS('StageSpawn'!$B$2:$B$3284,A46,'StageSpawn'!$F$2:$F$3284,"GoblinRanged")</x:f>
        <x:v>19</x:v>
      </x:c>
      <x:c r="F46" t="n">
        <x:f>COUNTIFS('StageSpawn'!$B$2:$B$3284,A46,'StageSpawn'!$F$2:$F$3284,"ShieldSkeleton")</x:f>
        <x:v>8</x:v>
      </x:c>
      <x:c r="G46" t="n">
        <x:f>COUNTIFS('StageSpawn'!$B$2:$B$3284,A46,'StageSpawn'!$F$2:$F$3284,"GoblinBoss")+COUNTIFS('StageSpawn'!$B$2:$B$3284,A46,'StageSpawn'!$F$2:$F$3284,"MushroomBoss")+COUNTIFS('StageSpawn'!$B$2:$B$3284,A46,'StageSpawn'!$F$2:$F$3284,"FlyingEyeBoss")+COUNTIFS('StageSpawn'!$B$2:$B$3284,A46,'StageSpawn'!$F$2:$F$3284,"SkeletonBoss")</x:f>
        <x:v>0</x:v>
      </x:c>
      <x:c r="H46" t="n">
        <x:f>COUNTIFS('StageSpawn'!$B$2:$B$3284,A46,'StageSpawn'!$F$2:$F$3284,"GoblinMelee")*'EnemyBalance'!$M$2+COUNTIFS('StageSpawn'!$B$2:$B$3284,A46,'StageSpawn'!$F$2:$F$3284,"GoblinRanged")*'EnemyBalance'!$M$3+COUNTIFS('StageSpawn'!$B$2:$B$3284,A46,'StageSpawn'!$F$2:$F$3284,"ShieldSkeleton")*'EnemyBalance'!$M$4+COUNTIFS('StageSpawn'!$B$2:$B$3284,A46,'StageSpawn'!$F$2:$F$3284,"GoblinBoss")*'EnemyBalance'!$M$5+COUNTIFS('StageSpawn'!$B$2:$B$3284,A46,'StageSpawn'!$F$2:$F$3284,"MushroomBoss")*'EnemyBalance'!$M$6+COUNTIFS('StageSpawn'!$B$2:$B$3284,A46,'StageSpawn'!$F$2:$F$3284,"FlyingEye")*'EnemyBalance'!$M$7+COUNTIFS('StageSpawn'!$B$2:$B$3284,A46,'StageSpawn'!$F$2:$F$3284,"FlyingEyeBoss")*'EnemyBalance'!$M$8+COUNTIFS('StageSpawn'!$B$2:$B$3284,A46,'StageSpawn'!$F$2:$F$3284,"SkeletonBoss")*'EnemyBalance'!$M$9</x:f>
        <x:v>85</x:v>
      </x:c>
      <x:c r="I46" t="n">
        <x:f>SUM($H$6:H46)</x:f>
        <x:v>1629</x:v>
      </x:c>
      <x:c r="J46" t="n">
        <x:v>33</x:v>
      </x:c>
      <x:c r="K46" t="n">
        <x:v>34</x:v>
      </x:c>
      <x:c r="L46" t="n">
        <x:v>35</x:v>
      </x:c>
      <x:c r="M46" s="412" t="n">
        <x:v>34.4</x:v>
      </x:c>
      <x:c r="N46" s="412" t="n">
        <x:v>1.4</x:v>
      </x:c>
      <x:c r="O46" s="487" t="n">
        <x:v>6</x:v>
      </x:c>
      <x:c r="P46" s="490" t="n">
        <x:v>78.13549388467177</x:v>
      </x:c>
      <x:c r="Q46" s="490" t="n">
        <x:v>330.5419755386871</x:v>
      </x:c>
      <x:c r="R46" s="493" t="n">
        <x:v>4</x:v>
      </x:c>
      <x:c r="S46" s="494" t="n">
        <x:v>1</x:v>
      </x:c>
    </x:row>
    <x:row r="47">
      <x:c r="A47" t="str">
        <x:v>WAVE_42</x:v>
      </x:c>
      <x:c r="B47" s="409" t="n">
        <x:v>411</x:v>
      </x:c>
      <x:c r="C47" t="n">
        <x:f>COUNTIF('StageSpawn'!$B$2:$B$3284,A47)</x:f>
        <x:v>75</x:v>
      </x:c>
      <x:c r="D47" t="n">
        <x:f>COUNTIFS('StageSpawn'!$B$2:$B$3284,A47,'StageSpawn'!$F$2:$F$3284,"GoblinMelee")+COUNTIFS('StageSpawn'!$B$2:$B$3284,A47,'StageSpawn'!$F$2:$F$3284,"FlyingEye")</x:f>
        <x:v>46</x:v>
      </x:c>
      <x:c r="E47" t="n">
        <x:f>COUNTIFS('StageSpawn'!$B$2:$B$3284,A47,'StageSpawn'!$F$2:$F$3284,"GoblinRanged")</x:f>
        <x:v>20</x:v>
      </x:c>
      <x:c r="F47" t="n">
        <x:f>COUNTIFS('StageSpawn'!$B$2:$B$3284,A47,'StageSpawn'!$F$2:$F$3284,"ShieldSkeleton")</x:f>
        <x:v>9</x:v>
      </x:c>
      <x:c r="G47" t="n">
        <x:f>COUNTIFS('StageSpawn'!$B$2:$B$3284,A47,'StageSpawn'!$F$2:$F$3284,"GoblinBoss")+COUNTIFS('StageSpawn'!$B$2:$B$3284,A47,'StageSpawn'!$F$2:$F$3284,"MushroomBoss")+COUNTIFS('StageSpawn'!$B$2:$B$3284,A47,'StageSpawn'!$F$2:$F$3284,"FlyingEyeBoss")+COUNTIFS('StageSpawn'!$B$2:$B$3284,A47,'StageSpawn'!$F$2:$F$3284,"SkeletonBoss")</x:f>
        <x:v>0</x:v>
      </x:c>
      <x:c r="H47" t="n">
        <x:f>COUNTIFS('StageSpawn'!$B$2:$B$3284,A47,'StageSpawn'!$F$2:$F$3284,"GoblinMelee")*'EnemyBalance'!$M$2+COUNTIFS('StageSpawn'!$B$2:$B$3284,A47,'StageSpawn'!$F$2:$F$3284,"GoblinRanged")*'EnemyBalance'!$M$3+COUNTIFS('StageSpawn'!$B$2:$B$3284,A47,'StageSpawn'!$F$2:$F$3284,"ShieldSkeleton")*'EnemyBalance'!$M$4+COUNTIFS('StageSpawn'!$B$2:$B$3284,A47,'StageSpawn'!$F$2:$F$3284,"GoblinBoss")*'EnemyBalance'!$M$5+COUNTIFS('StageSpawn'!$B$2:$B$3284,A47,'StageSpawn'!$F$2:$F$3284,"MushroomBoss")*'EnemyBalance'!$M$6+COUNTIFS('StageSpawn'!$B$2:$B$3284,A47,'StageSpawn'!$F$2:$F$3284,"FlyingEye")*'EnemyBalance'!$M$7+COUNTIFS('StageSpawn'!$B$2:$B$3284,A47,'StageSpawn'!$F$2:$F$3284,"FlyingEyeBoss")*'EnemyBalance'!$M$8+COUNTIFS('StageSpawn'!$B$2:$B$3284,A47,'StageSpawn'!$F$2:$F$3284,"SkeletonBoss")*'EnemyBalance'!$M$9</x:f>
        <x:v>89</x:v>
      </x:c>
      <x:c r="I47" t="n">
        <x:f>SUM($H$6:H47)</x:f>
        <x:v>1718</x:v>
      </x:c>
      <x:c r="J47" t="n">
        <x:v>34</x:v>
      </x:c>
      <x:c r="K47" t="n">
        <x:v>35</x:v>
      </x:c>
      <x:c r="L47" t="n">
        <x:v>36</x:v>
      </x:c>
      <x:c r="M47" s="412" t="n">
        <x:v>35.4</x:v>
      </x:c>
      <x:c r="N47" s="412" t="n">
        <x:v>1.4</x:v>
      </x:c>
      <x:c r="O47" s="488" t="n">
        <x:v>6</x:v>
      </x:c>
      <x:c r="P47" s="491" t="n">
        <x:v>79.49147172917495</x:v>
      </x:c>
      <x:c r="Q47" s="491" t="n">
        <x:v>335.9658869166998</x:v>
      </x:c>
      <x:c r="R47" s="495" t="n">
        <x:v>4</x:v>
      </x:c>
      <x:c r="S47" s="496" t="n">
        <x:v>1</x:v>
      </x:c>
    </x:row>
    <x:row r="48">
      <x:c r="A48" t="str">
        <x:v>WAVE_43</x:v>
      </x:c>
      <x:c r="B48" s="409" t="n">
        <x:v>421</x:v>
      </x:c>
      <x:c r="C48" t="n">
        <x:f>COUNTIF('StageSpawn'!$B$2:$B$3284,A48)</x:f>
        <x:v>77</x:v>
      </x:c>
      <x:c r="D48" t="n">
        <x:f>COUNTIFS('StageSpawn'!$B$2:$B$3284,A48,'StageSpawn'!$F$2:$F$3284,"GoblinMelee")+COUNTIFS('StageSpawn'!$B$2:$B$3284,A48,'StageSpawn'!$F$2:$F$3284,"FlyingEye")</x:f>
        <x:v>48</x:v>
      </x:c>
      <x:c r="E48" t="n">
        <x:f>COUNTIFS('StageSpawn'!$B$2:$B$3284,A48,'StageSpawn'!$F$2:$F$3284,"GoblinRanged")</x:f>
        <x:v>20</x:v>
      </x:c>
      <x:c r="F48" t="n">
        <x:f>COUNTIFS('StageSpawn'!$B$2:$B$3284,A48,'StageSpawn'!$F$2:$F$3284,"ShieldSkeleton")</x:f>
        <x:v>9</x:v>
      </x:c>
      <x:c r="G48" t="n">
        <x:f>COUNTIFS('StageSpawn'!$B$2:$B$3284,A48,'StageSpawn'!$F$2:$F$3284,"GoblinBoss")+COUNTIFS('StageSpawn'!$B$2:$B$3284,A48,'StageSpawn'!$F$2:$F$3284,"MushroomBoss")+COUNTIFS('StageSpawn'!$B$2:$B$3284,A48,'StageSpawn'!$F$2:$F$3284,"FlyingEyeBoss")+COUNTIFS('StageSpawn'!$B$2:$B$3284,A48,'StageSpawn'!$F$2:$F$3284,"SkeletonBoss")</x:f>
        <x:v>0</x:v>
      </x:c>
      <x:c r="H48" t="n">
        <x:f>COUNTIFS('StageSpawn'!$B$2:$B$3284,A48,'StageSpawn'!$F$2:$F$3284,"GoblinMelee")*'EnemyBalance'!$M$2+COUNTIFS('StageSpawn'!$B$2:$B$3284,A48,'StageSpawn'!$F$2:$F$3284,"GoblinRanged")*'EnemyBalance'!$M$3+COUNTIFS('StageSpawn'!$B$2:$B$3284,A48,'StageSpawn'!$F$2:$F$3284,"ShieldSkeleton")*'EnemyBalance'!$M$4+COUNTIFS('StageSpawn'!$B$2:$B$3284,A48,'StageSpawn'!$F$2:$F$3284,"GoblinBoss")*'EnemyBalance'!$M$5+COUNTIFS('StageSpawn'!$B$2:$B$3284,A48,'StageSpawn'!$F$2:$F$3284,"MushroomBoss")*'EnemyBalance'!$M$6+COUNTIFS('StageSpawn'!$B$2:$B$3284,A48,'StageSpawn'!$F$2:$F$3284,"FlyingEye")*'EnemyBalance'!$M$7+COUNTIFS('StageSpawn'!$B$2:$B$3284,A48,'StageSpawn'!$F$2:$F$3284,"FlyingEyeBoss")*'EnemyBalance'!$M$8+COUNTIFS('StageSpawn'!$B$2:$B$3284,A48,'StageSpawn'!$F$2:$F$3284,"SkeletonBoss")*'EnemyBalance'!$M$9</x:f>
        <x:v>92</x:v>
      </x:c>
      <x:c r="I48" t="n">
        <x:f>SUM($H$6:H48)</x:f>
        <x:v>1810</x:v>
      </x:c>
      <x:c r="J48" t="n">
        <x:v>35</x:v>
      </x:c>
      <x:c r="K48" t="n">
        <x:v>36</x:v>
      </x:c>
      <x:c r="L48" t="n">
        <x:v>37</x:v>
      </x:c>
      <x:c r="M48" s="412" t="n">
        <x:v>36.4</x:v>
      </x:c>
      <x:c r="N48" s="412" t="n">
        <x:v>1.4</x:v>
      </x:c>
      <x:c r="O48" s="487" t="n">
        <x:v>6</x:v>
      </x:c>
      <x:c r="P48" s="490" t="n">
        <x:v>80.84112855251277</x:v>
      </x:c>
      <x:c r="Q48" s="490" t="n">
        <x:v>341.3645142100511</x:v>
      </x:c>
      <x:c r="R48" s="493" t="n">
        <x:v>4</x:v>
      </x:c>
      <x:c r="S48" s="494" t="n">
        <x:v>1</x:v>
      </x:c>
    </x:row>
    <x:row r="49">
      <x:c r="A49" t="str">
        <x:v>WAVE_44</x:v>
      </x:c>
      <x:c r="B49" s="409" t="n">
        <x:v>431</x:v>
      </x:c>
      <x:c r="C49" t="n">
        <x:f>COUNTIF('StageSpawn'!$B$2:$B$3284,A49)</x:f>
        <x:v>80</x:v>
      </x:c>
      <x:c r="D49" t="n">
        <x:f>COUNTIFS('StageSpawn'!$B$2:$B$3284,A49,'StageSpawn'!$F$2:$F$3284,"GoblinMelee")+COUNTIFS('StageSpawn'!$B$2:$B$3284,A49,'StageSpawn'!$F$2:$F$3284,"FlyingEye")</x:f>
        <x:v>49</x:v>
      </x:c>
      <x:c r="E49" t="n">
        <x:f>COUNTIFS('StageSpawn'!$B$2:$B$3284,A49,'StageSpawn'!$F$2:$F$3284,"GoblinRanged")</x:f>
        <x:v>21</x:v>
      </x:c>
      <x:c r="F49" t="n">
        <x:f>COUNTIFS('StageSpawn'!$B$2:$B$3284,A49,'StageSpawn'!$F$2:$F$3284,"ShieldSkeleton")</x:f>
        <x:v>10</x:v>
      </x:c>
      <x:c r="G49" t="n">
        <x:f>COUNTIFS('StageSpawn'!$B$2:$B$3284,A49,'StageSpawn'!$F$2:$F$3284,"GoblinBoss")+COUNTIFS('StageSpawn'!$B$2:$B$3284,A49,'StageSpawn'!$F$2:$F$3284,"MushroomBoss")+COUNTIFS('StageSpawn'!$B$2:$B$3284,A49,'StageSpawn'!$F$2:$F$3284,"FlyingEyeBoss")+COUNTIFS('StageSpawn'!$B$2:$B$3284,A49,'StageSpawn'!$F$2:$F$3284,"SkeletonBoss")</x:f>
        <x:v>0</x:v>
      </x:c>
      <x:c r="H49" t="n">
        <x:f>COUNTIFS('StageSpawn'!$B$2:$B$3284,A49,'StageSpawn'!$F$2:$F$3284,"GoblinMelee")*'EnemyBalance'!$M$2+COUNTIFS('StageSpawn'!$B$2:$B$3284,A49,'StageSpawn'!$F$2:$F$3284,"GoblinRanged")*'EnemyBalance'!$M$3+COUNTIFS('StageSpawn'!$B$2:$B$3284,A49,'StageSpawn'!$F$2:$F$3284,"ShieldSkeleton")*'EnemyBalance'!$M$4+COUNTIFS('StageSpawn'!$B$2:$B$3284,A49,'StageSpawn'!$F$2:$F$3284,"GoblinBoss")*'EnemyBalance'!$M$5+COUNTIFS('StageSpawn'!$B$2:$B$3284,A49,'StageSpawn'!$F$2:$F$3284,"MushroomBoss")*'EnemyBalance'!$M$6+COUNTIFS('StageSpawn'!$B$2:$B$3284,A49,'StageSpawn'!$F$2:$F$3284,"FlyingEye")*'EnemyBalance'!$M$7+COUNTIFS('StageSpawn'!$B$2:$B$3284,A49,'StageSpawn'!$F$2:$F$3284,"FlyingEyeBoss")*'EnemyBalance'!$M$8+COUNTIFS('StageSpawn'!$B$2:$B$3284,A49,'StageSpawn'!$F$2:$F$3284,"SkeletonBoss")*'EnemyBalance'!$M$9</x:f>
        <x:v>96</x:v>
      </x:c>
      <x:c r="I49" t="n">
        <x:f>SUM($H$6:H49)</x:f>
        <x:v>1906</x:v>
      </x:c>
      <x:c r="J49" t="n">
        <x:v>36</x:v>
      </x:c>
      <x:c r="K49" t="n">
        <x:v>37</x:v>
      </x:c>
      <x:c r="L49" t="n">
        <x:v>38</x:v>
      </x:c>
      <x:c r="M49" s="412" t="n">
        <x:v>37.5</x:v>
      </x:c>
      <x:c r="N49" s="412" t="n">
        <x:v>1.5</x:v>
      </x:c>
      <x:c r="O49" s="488" t="n">
        <x:v>6</x:v>
      </x:c>
      <x:c r="P49" s="491" t="n">
        <x:v>82.31876723266616</x:v>
      </x:c>
      <x:c r="Q49" s="491" t="n">
        <x:v>347.27506893066464</x:v>
      </x:c>
      <x:c r="R49" s="495" t="n">
        <x:v>4</x:v>
      </x:c>
      <x:c r="S49" s="496" t="n">
        <x:v>1</x:v>
      </x:c>
    </x:row>
    <x:row r="50">
      <x:c r="A50" t="str">
        <x:v>WAVE_45</x:v>
      </x:c>
      <x:c r="B50" s="409" t="n">
        <x:v>441</x:v>
      </x:c>
      <x:c r="C50" t="n">
        <x:f>COUNTIF('StageSpawn'!$B$2:$B$3284,A50)</x:f>
        <x:v>82</x:v>
      </x:c>
      <x:c r="D50" t="n">
        <x:f>COUNTIFS('StageSpawn'!$B$2:$B$3284,A50,'StageSpawn'!$F$2:$F$3284,"GoblinMelee")+COUNTIFS('StageSpawn'!$B$2:$B$3284,A50,'StageSpawn'!$F$2:$F$3284,"FlyingEye")</x:f>
        <x:v>50</x:v>
      </x:c>
      <x:c r="E50" t="n">
        <x:f>COUNTIFS('StageSpawn'!$B$2:$B$3284,A50,'StageSpawn'!$F$2:$F$3284,"GoblinRanged")</x:f>
        <x:v>22</x:v>
      </x:c>
      <x:c r="F50" t="n">
        <x:f>COUNTIFS('StageSpawn'!$B$2:$B$3284,A50,'StageSpawn'!$F$2:$F$3284,"ShieldSkeleton")</x:f>
        <x:v>10</x:v>
      </x:c>
      <x:c r="G50" t="n">
        <x:f>COUNTIFS('StageSpawn'!$B$2:$B$3284,A50,'StageSpawn'!$F$2:$F$3284,"GoblinBoss")+COUNTIFS('StageSpawn'!$B$2:$B$3284,A50,'StageSpawn'!$F$2:$F$3284,"MushroomBoss")+COUNTIFS('StageSpawn'!$B$2:$B$3284,A50,'StageSpawn'!$F$2:$F$3284,"FlyingEyeBoss")+COUNTIFS('StageSpawn'!$B$2:$B$3284,A50,'StageSpawn'!$F$2:$F$3284,"SkeletonBoss")</x:f>
        <x:v>0</x:v>
      </x:c>
      <x:c r="H50" t="n">
        <x:f>COUNTIFS('StageSpawn'!$B$2:$B$3284,A50,'StageSpawn'!$F$2:$F$3284,"GoblinMelee")*'EnemyBalance'!$M$2+COUNTIFS('StageSpawn'!$B$2:$B$3284,A50,'StageSpawn'!$F$2:$F$3284,"GoblinRanged")*'EnemyBalance'!$M$3+COUNTIFS('StageSpawn'!$B$2:$B$3284,A50,'StageSpawn'!$F$2:$F$3284,"ShieldSkeleton")*'EnemyBalance'!$M$4+COUNTIFS('StageSpawn'!$B$2:$B$3284,A50,'StageSpawn'!$F$2:$F$3284,"GoblinBoss")*'EnemyBalance'!$M$5+COUNTIFS('StageSpawn'!$B$2:$B$3284,A50,'StageSpawn'!$F$2:$F$3284,"MushroomBoss")*'EnemyBalance'!$M$6+COUNTIFS('StageSpawn'!$B$2:$B$3284,A50,'StageSpawn'!$F$2:$F$3284,"FlyingEye")*'EnemyBalance'!$M$7+COUNTIFS('StageSpawn'!$B$2:$B$3284,A50,'StageSpawn'!$F$2:$F$3284,"FlyingEyeBoss")*'EnemyBalance'!$M$8+COUNTIFS('StageSpawn'!$B$2:$B$3284,A50,'StageSpawn'!$F$2:$F$3284,"SkeletonBoss")*'EnemyBalance'!$M$9</x:f>
        <x:v>98</x:v>
      </x:c>
      <x:c r="I50" t="n">
        <x:f>SUM($H$6:H50)</x:f>
        <x:v>2004</x:v>
      </x:c>
      <x:c r="J50" t="n">
        <x:v>37</x:v>
      </x:c>
      <x:c r="K50" t="n">
        <x:v>38</x:v>
      </x:c>
      <x:c r="L50" t="n">
        <x:v>39</x:v>
      </x:c>
      <x:c r="M50" s="412" t="n">
        <x:v>38.5</x:v>
      </x:c>
      <x:c r="N50" s="412" t="n">
        <x:v>1.5</x:v>
      </x:c>
      <x:c r="O50" s="487" t="n">
        <x:v>6</x:v>
      </x:c>
      <x:c r="P50" s="490" t="n">
        <x:v>83.65599422048552</x:v>
      </x:c>
      <x:c r="Q50" s="490" t="n">
        <x:v>352.6239768819421</x:v>
      </x:c>
      <x:c r="R50" s="493" t="n">
        <x:v>4</x:v>
      </x:c>
      <x:c r="S50" s="494" t="n">
        <x:v>1</x:v>
      </x:c>
    </x:row>
    <x:row r="51">
      <x:c r="A51" t="str">
        <x:v>WAVE_46</x:v>
      </x:c>
      <x:c r="B51" s="409" t="n">
        <x:v>451</x:v>
      </x:c>
      <x:c r="C51" t="n">
        <x:f>COUNTIF('StageSpawn'!$B$2:$B$3284,A51)</x:f>
        <x:v>85</x:v>
      </x:c>
      <x:c r="D51" t="n">
        <x:f>COUNTIFS('StageSpawn'!$B$2:$B$3284,A51,'StageSpawn'!$F$2:$F$3284,"GoblinMelee")+COUNTIFS('StageSpawn'!$B$2:$B$3284,A51,'StageSpawn'!$F$2:$F$3284,"FlyingEye")</x:f>
        <x:v>51</x:v>
      </x:c>
      <x:c r="E51" t="n">
        <x:f>COUNTIFS('StageSpawn'!$B$2:$B$3284,A51,'StageSpawn'!$F$2:$F$3284,"GoblinRanged")</x:f>
        <x:v>23</x:v>
      </x:c>
      <x:c r="F51" t="n">
        <x:f>COUNTIFS('StageSpawn'!$B$2:$B$3284,A51,'StageSpawn'!$F$2:$F$3284,"ShieldSkeleton")</x:f>
        <x:v>11</x:v>
      </x:c>
      <x:c r="G51" t="n">
        <x:f>COUNTIFS('StageSpawn'!$B$2:$B$3284,A51,'StageSpawn'!$F$2:$F$3284,"GoblinBoss")+COUNTIFS('StageSpawn'!$B$2:$B$3284,A51,'StageSpawn'!$F$2:$F$3284,"MushroomBoss")+COUNTIFS('StageSpawn'!$B$2:$B$3284,A51,'StageSpawn'!$F$2:$F$3284,"FlyingEyeBoss")+COUNTIFS('StageSpawn'!$B$2:$B$3284,A51,'StageSpawn'!$F$2:$F$3284,"SkeletonBoss")</x:f>
        <x:v>0</x:v>
      </x:c>
      <x:c r="H51" t="n">
        <x:f>COUNTIFS('StageSpawn'!$B$2:$B$3284,A51,'StageSpawn'!$F$2:$F$3284,"GoblinMelee")*'EnemyBalance'!$M$2+COUNTIFS('StageSpawn'!$B$2:$B$3284,A51,'StageSpawn'!$F$2:$F$3284,"GoblinRanged")*'EnemyBalance'!$M$3+COUNTIFS('StageSpawn'!$B$2:$B$3284,A51,'StageSpawn'!$F$2:$F$3284,"ShieldSkeleton")*'EnemyBalance'!$M$4+COUNTIFS('StageSpawn'!$B$2:$B$3284,A51,'StageSpawn'!$F$2:$F$3284,"GoblinBoss")*'EnemyBalance'!$M$5+COUNTIFS('StageSpawn'!$B$2:$B$3284,A51,'StageSpawn'!$F$2:$F$3284,"MushroomBoss")*'EnemyBalance'!$M$6+COUNTIFS('StageSpawn'!$B$2:$B$3284,A51,'StageSpawn'!$F$2:$F$3284,"FlyingEye")*'EnemyBalance'!$M$7+COUNTIFS('StageSpawn'!$B$2:$B$3284,A51,'StageSpawn'!$F$2:$F$3284,"FlyingEyeBoss")*'EnemyBalance'!$M$8+COUNTIFS('StageSpawn'!$B$2:$B$3284,A51,'StageSpawn'!$F$2:$F$3284,"SkeletonBoss")*'EnemyBalance'!$M$9</x:f>
        <x:v>102</x:v>
      </x:c>
      <x:c r="I51" t="n">
        <x:f>SUM($H$6:H51)</x:f>
        <x:v>2106</x:v>
      </x:c>
      <x:c r="J51" t="n">
        <x:v>37</x:v>
      </x:c>
      <x:c r="K51" t="n">
        <x:v>38</x:v>
      </x:c>
      <x:c r="L51" t="n">
        <x:v>39</x:v>
      </x:c>
      <x:c r="M51" s="412" t="n">
        <x:v>38.5</x:v>
      </x:c>
      <x:c r="N51" s="412" t="n">
        <x:v>1.5</x:v>
      </x:c>
      <x:c r="O51" s="488" t="n">
        <x:v>6</x:v>
      </x:c>
      <x:c r="P51" s="491" t="n">
        <x:v>83.65599422048552</x:v>
      </x:c>
      <x:c r="Q51" s="491" t="n">
        <x:v>352.6239768819421</x:v>
      </x:c>
      <x:c r="R51" s="495" t="n">
        <x:v>4</x:v>
      </x:c>
      <x:c r="S51" s="496" t="n">
        <x:v>1</x:v>
      </x:c>
    </x:row>
    <x:row r="52">
      <x:c r="A52" t="str">
        <x:v>WAVE_47</x:v>
      </x:c>
      <x:c r="B52" s="409" t="n">
        <x:v>461</x:v>
      </x:c>
      <x:c r="C52" t="n">
        <x:f>COUNTIF('StageSpawn'!$B$2:$B$3284,A52)</x:f>
        <x:v>87</x:v>
      </x:c>
      <x:c r="D52" t="n">
        <x:f>COUNTIFS('StageSpawn'!$B$2:$B$3284,A52,'StageSpawn'!$F$2:$F$3284,"GoblinMelee")+COUNTIFS('StageSpawn'!$B$2:$B$3284,A52,'StageSpawn'!$F$2:$F$3284,"FlyingEye")</x:f>
        <x:v>52</x:v>
      </x:c>
      <x:c r="E52" t="n">
        <x:f>COUNTIFS('StageSpawn'!$B$2:$B$3284,A52,'StageSpawn'!$F$2:$F$3284,"GoblinRanged")</x:f>
        <x:v>24</x:v>
      </x:c>
      <x:c r="F52" t="n">
        <x:f>COUNTIFS('StageSpawn'!$B$2:$B$3284,A52,'StageSpawn'!$F$2:$F$3284,"ShieldSkeleton")</x:f>
        <x:v>11</x:v>
      </x:c>
      <x:c r="G52" t="n">
        <x:f>COUNTIFS('StageSpawn'!$B$2:$B$3284,A52,'StageSpawn'!$F$2:$F$3284,"GoblinBoss")+COUNTIFS('StageSpawn'!$B$2:$B$3284,A52,'StageSpawn'!$F$2:$F$3284,"MushroomBoss")+COUNTIFS('StageSpawn'!$B$2:$B$3284,A52,'StageSpawn'!$F$2:$F$3284,"FlyingEyeBoss")+COUNTIFS('StageSpawn'!$B$2:$B$3284,A52,'StageSpawn'!$F$2:$F$3284,"SkeletonBoss")</x:f>
        <x:v>0</x:v>
      </x:c>
      <x:c r="H52" t="n">
        <x:f>COUNTIFS('StageSpawn'!$B$2:$B$3284,A52,'StageSpawn'!$F$2:$F$3284,"GoblinMelee")*'EnemyBalance'!$M$2+COUNTIFS('StageSpawn'!$B$2:$B$3284,A52,'StageSpawn'!$F$2:$F$3284,"GoblinRanged")*'EnemyBalance'!$M$3+COUNTIFS('StageSpawn'!$B$2:$B$3284,A52,'StageSpawn'!$F$2:$F$3284,"ShieldSkeleton")*'EnemyBalance'!$M$4+COUNTIFS('StageSpawn'!$B$2:$B$3284,A52,'StageSpawn'!$F$2:$F$3284,"GoblinBoss")*'EnemyBalance'!$M$5+COUNTIFS('StageSpawn'!$B$2:$B$3284,A52,'StageSpawn'!$F$2:$F$3284,"MushroomBoss")*'EnemyBalance'!$M$6+COUNTIFS('StageSpawn'!$B$2:$B$3284,A52,'StageSpawn'!$F$2:$F$3284,"FlyingEye")*'EnemyBalance'!$M$7+COUNTIFS('StageSpawn'!$B$2:$B$3284,A52,'StageSpawn'!$F$2:$F$3284,"FlyingEyeBoss")*'EnemyBalance'!$M$8+COUNTIFS('StageSpawn'!$B$2:$B$3284,A52,'StageSpawn'!$F$2:$F$3284,"SkeletonBoss")*'EnemyBalance'!$M$9</x:f>
        <x:v>104</x:v>
      </x:c>
      <x:c r="I52" t="n">
        <x:f>SUM($H$6:H52)</x:f>
        <x:v>2210</x:v>
      </x:c>
      <x:c r="J52" t="n">
        <x:v>38</x:v>
      </x:c>
      <x:c r="K52" t="n">
        <x:v>39</x:v>
      </x:c>
      <x:c r="L52" t="n">
        <x:v>40</x:v>
      </x:c>
      <x:c r="M52" s="412" t="n">
        <x:v>39.6</x:v>
      </x:c>
      <x:c r="N52" s="412" t="n">
        <x:v>1.6</x:v>
      </x:c>
      <x:c r="O52" s="487" t="n">
        <x:v>6</x:v>
      </x:c>
      <x:c r="P52" s="490" t="n">
        <x:v>85.1205381166985</x:v>
      </x:c>
      <x:c r="Q52" s="490" t="n">
        <x:v>358.482152466794</x:v>
      </x:c>
      <x:c r="R52" s="493" t="n">
        <x:v>4</x:v>
      </x:c>
      <x:c r="S52" s="494" t="n">
        <x:v>1</x:v>
      </x:c>
    </x:row>
    <x:row r="53">
      <x:c r="A53" t="str">
        <x:v>WAVE_48</x:v>
      </x:c>
      <x:c r="B53" s="409" t="n">
        <x:v>471</x:v>
      </x:c>
      <x:c r="C53" t="n">
        <x:f>COUNTIF('StageSpawn'!$B$2:$B$3284,A53)</x:f>
        <x:v>90</x:v>
      </x:c>
      <x:c r="D53" t="n">
        <x:f>COUNTIFS('StageSpawn'!$B$2:$B$3284,A53,'StageSpawn'!$F$2:$F$3284,"GoblinMelee")+COUNTIFS('StageSpawn'!$B$2:$B$3284,A53,'StageSpawn'!$F$2:$F$3284,"FlyingEye")</x:f>
        <x:v>53</x:v>
      </x:c>
      <x:c r="E53" t="n">
        <x:f>COUNTIFS('StageSpawn'!$B$2:$B$3284,A53,'StageSpawn'!$F$2:$F$3284,"GoblinRanged")</x:f>
        <x:v>25</x:v>
      </x:c>
      <x:c r="F53" t="n">
        <x:f>COUNTIFS('StageSpawn'!$B$2:$B$3284,A53,'StageSpawn'!$F$2:$F$3284,"ShieldSkeleton")</x:f>
        <x:v>12</x:v>
      </x:c>
      <x:c r="G53" t="n">
        <x:f>COUNTIFS('StageSpawn'!$B$2:$B$3284,A53,'StageSpawn'!$F$2:$F$3284,"GoblinBoss")+COUNTIFS('StageSpawn'!$B$2:$B$3284,A53,'StageSpawn'!$F$2:$F$3284,"MushroomBoss")+COUNTIFS('StageSpawn'!$B$2:$B$3284,A53,'StageSpawn'!$F$2:$F$3284,"FlyingEyeBoss")+COUNTIFS('StageSpawn'!$B$2:$B$3284,A53,'StageSpawn'!$F$2:$F$3284,"SkeletonBoss")</x:f>
        <x:v>0</x:v>
      </x:c>
      <x:c r="H53" t="n">
        <x:f>COUNTIFS('StageSpawn'!$B$2:$B$3284,A53,'StageSpawn'!$F$2:$F$3284,"GoblinMelee")*'EnemyBalance'!$M$2+COUNTIFS('StageSpawn'!$B$2:$B$3284,A53,'StageSpawn'!$F$2:$F$3284,"GoblinRanged")*'EnemyBalance'!$M$3+COUNTIFS('StageSpawn'!$B$2:$B$3284,A53,'StageSpawn'!$F$2:$F$3284,"ShieldSkeleton")*'EnemyBalance'!$M$4+COUNTIFS('StageSpawn'!$B$2:$B$3284,A53,'StageSpawn'!$F$2:$F$3284,"GoblinBoss")*'EnemyBalance'!$M$5+COUNTIFS('StageSpawn'!$B$2:$B$3284,A53,'StageSpawn'!$F$2:$F$3284,"MushroomBoss")*'EnemyBalance'!$M$6+COUNTIFS('StageSpawn'!$B$2:$B$3284,A53,'StageSpawn'!$F$2:$F$3284,"FlyingEye")*'EnemyBalance'!$M$7+COUNTIFS('StageSpawn'!$B$2:$B$3284,A53,'StageSpawn'!$F$2:$F$3284,"FlyingEyeBoss")*'EnemyBalance'!$M$8+COUNTIFS('StageSpawn'!$B$2:$B$3284,A53,'StageSpawn'!$F$2:$F$3284,"SkeletonBoss")*'EnemyBalance'!$M$9</x:f>
        <x:v>109</x:v>
      </x:c>
      <x:c r="I53" t="n">
        <x:f>SUM($H$6:H53)</x:f>
        <x:v>2319</x:v>
      </x:c>
      <x:c r="J53" t="n">
        <x:v>39</x:v>
      </x:c>
      <x:c r="K53" t="n">
        <x:v>40</x:v>
      </x:c>
      <x:c r="L53" t="n">
        <x:v>41</x:v>
      </x:c>
      <x:c r="M53" s="412" t="n">
        <x:v>40.6</x:v>
      </x:c>
      <x:c r="N53" s="412" t="n">
        <x:v>1.6</x:v>
      </x:c>
      <x:c r="O53" s="488" t="n">
        <x:v>7.5</x:v>
      </x:c>
      <x:c r="P53" s="491" t="n">
        <x:v>108.05793844250829</x:v>
      </x:c>
      <x:c r="Q53" s="491" t="n">
        <x:v>454.73175377003315</x:v>
      </x:c>
      <x:c r="R53" s="495" t="n">
        <x:v>4</x:v>
      </x:c>
      <x:c r="S53" s="496" t="n">
        <x:v>2</x:v>
      </x:c>
    </x:row>
    <x:row r="54">
      <x:c r="A54" t="str">
        <x:v>WAVE_49</x:v>
      </x:c>
      <x:c r="B54" s="409" t="n">
        <x:v>481</x:v>
      </x:c>
      <x:c r="C54" t="n">
        <x:f>COUNTIF('StageSpawn'!$B$2:$B$3284,A54)</x:f>
        <x:v>93</x:v>
      </x:c>
      <x:c r="D54" t="n">
        <x:f>COUNTIFS('StageSpawn'!$B$2:$B$3284,A54,'StageSpawn'!$F$2:$F$3284,"GoblinMelee")+COUNTIFS('StageSpawn'!$B$2:$B$3284,A54,'StageSpawn'!$F$2:$F$3284,"FlyingEye")</x:f>
        <x:v>55</x:v>
      </x:c>
      <x:c r="E54" t="n">
        <x:f>COUNTIFS('StageSpawn'!$B$2:$B$3284,A54,'StageSpawn'!$F$2:$F$3284,"GoblinRanged")</x:f>
        <x:v>26</x:v>
      </x:c>
      <x:c r="F54" t="n">
        <x:f>COUNTIFS('StageSpawn'!$B$2:$B$3284,A54,'StageSpawn'!$F$2:$F$3284,"ShieldSkeleton")</x:f>
        <x:v>12</x:v>
      </x:c>
      <x:c r="G54" t="n">
        <x:f>COUNTIFS('StageSpawn'!$B$2:$B$3284,A54,'StageSpawn'!$F$2:$F$3284,"GoblinBoss")+COUNTIFS('StageSpawn'!$B$2:$B$3284,A54,'StageSpawn'!$F$2:$F$3284,"MushroomBoss")+COUNTIFS('StageSpawn'!$B$2:$B$3284,A54,'StageSpawn'!$F$2:$F$3284,"FlyingEyeBoss")+COUNTIFS('StageSpawn'!$B$2:$B$3284,A54,'StageSpawn'!$F$2:$F$3284,"SkeletonBoss")</x:f>
        <x:v>0</x:v>
      </x:c>
      <x:c r="H54" t="n">
        <x:f>COUNTIFS('StageSpawn'!$B$2:$B$3284,A54,'StageSpawn'!$F$2:$F$3284,"GoblinMelee")*'EnemyBalance'!$M$2+COUNTIFS('StageSpawn'!$B$2:$B$3284,A54,'StageSpawn'!$F$2:$F$3284,"GoblinRanged")*'EnemyBalance'!$M$3+COUNTIFS('StageSpawn'!$B$2:$B$3284,A54,'StageSpawn'!$F$2:$F$3284,"ShieldSkeleton")*'EnemyBalance'!$M$4+COUNTIFS('StageSpawn'!$B$2:$B$3284,A54,'StageSpawn'!$F$2:$F$3284,"GoblinBoss")*'EnemyBalance'!$M$5+COUNTIFS('StageSpawn'!$B$2:$B$3284,A54,'StageSpawn'!$F$2:$F$3284,"MushroomBoss")*'EnemyBalance'!$M$6+COUNTIFS('StageSpawn'!$B$2:$B$3284,A54,'StageSpawn'!$F$2:$F$3284,"FlyingEye")*'EnemyBalance'!$M$7+COUNTIFS('StageSpawn'!$B$2:$B$3284,A54,'StageSpawn'!$F$2:$F$3284,"FlyingEyeBoss")*'EnemyBalance'!$M$8+COUNTIFS('StageSpawn'!$B$2:$B$3284,A54,'StageSpawn'!$F$2:$F$3284,"SkeletonBoss")*'EnemyBalance'!$M$9</x:f>
        <x:v>111</x:v>
      </x:c>
      <x:c r="I54" t="n">
        <x:f>SUM($H$6:H54)</x:f>
        <x:v>2430</x:v>
      </x:c>
      <x:c r="J54" t="n">
        <x:v>40</x:v>
      </x:c>
      <x:c r="K54" t="n">
        <x:v>41</x:v>
      </x:c>
      <x:c r="L54" t="n">
        <x:v>42</x:v>
      </x:c>
      <x:c r="M54" s="412" t="n">
        <x:v>41.6</x:v>
      </x:c>
      <x:c r="N54" s="412" t="n">
        <x:v>1.6</x:v>
      </x:c>
      <x:c r="O54" s="487" t="n">
        <x:v>7.5</x:v>
      </x:c>
      <x:c r="P54" s="490" t="n">
        <x:v>109.70880742128867</x:v>
      </x:c>
      <x:c r="Q54" s="490" t="n">
        <x:v>461.3352296851547</x:v>
      </x:c>
      <x:c r="R54" s="493" t="n">
        <x:v>4</x:v>
      </x:c>
      <x:c r="S54" s="494" t="n">
        <x:v>2</x:v>
      </x:c>
    </x:row>
    <x:row r="55">
      <x:c r="A55" t="str">
        <x:v>WAVE_50</x:v>
      </x:c>
      <x:c r="B55" s="409" t="n">
        <x:v>491</x:v>
      </x:c>
      <x:c r="C55" t="n">
        <x:f>COUNTIF('StageSpawn'!$B$2:$B$3284,A55)</x:f>
        <x:v>95</x:v>
      </x:c>
      <x:c r="D55" t="n">
        <x:f>COUNTIFS('StageSpawn'!$B$2:$B$3284,A55,'StageSpawn'!$F$2:$F$3284,"GoblinMelee")+COUNTIFS('StageSpawn'!$B$2:$B$3284,A55,'StageSpawn'!$F$2:$F$3284,"FlyingEye")</x:f>
        <x:v>55</x:v>
      </x:c>
      <x:c r="E55" t="n">
        <x:f>COUNTIFS('StageSpawn'!$B$2:$B$3284,A55,'StageSpawn'!$F$2:$F$3284,"GoblinRanged")</x:f>
        <x:v>27</x:v>
      </x:c>
      <x:c r="F55" t="n">
        <x:f>COUNTIFS('StageSpawn'!$B$2:$B$3284,A55,'StageSpawn'!$F$2:$F$3284,"ShieldSkeleton")</x:f>
        <x:v>13</x:v>
      </x:c>
      <x:c r="G55" t="n">
        <x:f>COUNTIFS('StageSpawn'!$B$2:$B$3284,A55,'StageSpawn'!$F$2:$F$3284,"GoblinBoss")+COUNTIFS('StageSpawn'!$B$2:$B$3284,A55,'StageSpawn'!$F$2:$F$3284,"MushroomBoss")+COUNTIFS('StageSpawn'!$B$2:$B$3284,A55,'StageSpawn'!$F$2:$F$3284,"FlyingEyeBoss")+COUNTIFS('StageSpawn'!$B$2:$B$3284,A55,'StageSpawn'!$F$2:$F$3284,"SkeletonBoss")</x:f>
        <x:v>0</x:v>
      </x:c>
      <x:c r="H55" t="n">
        <x:f>COUNTIFS('StageSpawn'!$B$2:$B$3284,A55,'StageSpawn'!$F$2:$F$3284,"GoblinMelee")*'EnemyBalance'!$M$2+COUNTIFS('StageSpawn'!$B$2:$B$3284,A55,'StageSpawn'!$F$2:$F$3284,"GoblinRanged")*'EnemyBalance'!$M$3+COUNTIFS('StageSpawn'!$B$2:$B$3284,A55,'StageSpawn'!$F$2:$F$3284,"ShieldSkeleton")*'EnemyBalance'!$M$4+COUNTIFS('StageSpawn'!$B$2:$B$3284,A55,'StageSpawn'!$F$2:$F$3284,"GoblinBoss")*'EnemyBalance'!$M$5+COUNTIFS('StageSpawn'!$B$2:$B$3284,A55,'StageSpawn'!$F$2:$F$3284,"MushroomBoss")*'EnemyBalance'!$M$6+COUNTIFS('StageSpawn'!$B$2:$B$3284,A55,'StageSpawn'!$F$2:$F$3284,"FlyingEye")*'EnemyBalance'!$M$7+COUNTIFS('StageSpawn'!$B$2:$B$3284,A55,'StageSpawn'!$F$2:$F$3284,"FlyingEyeBoss")*'EnemyBalance'!$M$8+COUNTIFS('StageSpawn'!$B$2:$B$3284,A55,'StageSpawn'!$F$2:$F$3284,"SkeletonBoss")*'EnemyBalance'!$M$9</x:f>
        <x:v>114</x:v>
      </x:c>
      <x:c r="I55" t="n">
        <x:f>SUM($H$6:H55)</x:f>
        <x:v>2544</x:v>
      </x:c>
      <x:c r="J55" t="n">
        <x:v>41</x:v>
      </x:c>
      <x:c r="K55" t="n">
        <x:v>42</x:v>
      </x:c>
      <x:c r="L55" t="n">
        <x:v>43</x:v>
      </x:c>
      <x:c r="M55" s="412" t="n">
        <x:v>42.7</x:v>
      </x:c>
      <x:c r="N55" s="412" t="n">
        <x:v>1.7</x:v>
      </x:c>
      <x:c r="O55" s="488" t="n">
        <x:v>7.5</x:v>
      </x:c>
      <x:c r="P55" s="491" t="n">
        <x:v>111.51765494195548</x:v>
      </x:c>
      <x:c r="Q55" s="491" t="n">
        <x:v>468.57061976782194</x:v>
      </x:c>
      <x:c r="R55" s="495" t="n">
        <x:v>4</x:v>
      </x:c>
      <x:c r="S55" s="496" t="n">
        <x:v>2</x:v>
      </x:c>
    </x:row>
    <x:row r="56">
      <x:c r="A56" t="str">
        <x:v>WAVE_51</x:v>
      </x:c>
      <x:c r="B56" s="409" t="n">
        <x:v>501</x:v>
      </x:c>
      <x:c r="C56" t="n">
        <x:f>COUNTIF('StageSpawn'!$B$2:$B$3284,A56)</x:f>
        <x:v>98</x:v>
      </x:c>
      <x:c r="D56" t="n">
        <x:f>COUNTIFS('StageSpawn'!$B$2:$B$3284,A56,'StageSpawn'!$F$2:$F$3284,"GoblinMelee")+COUNTIFS('StageSpawn'!$B$2:$B$3284,A56,'StageSpawn'!$F$2:$F$3284,"FlyingEye")</x:f>
        <x:v>57</x:v>
      </x:c>
      <x:c r="E56" t="n">
        <x:f>COUNTIFS('StageSpawn'!$B$2:$B$3284,A56,'StageSpawn'!$F$2:$F$3284,"GoblinRanged")</x:f>
        <x:v>28</x:v>
      </x:c>
      <x:c r="F56" t="n">
        <x:f>COUNTIFS('StageSpawn'!$B$2:$B$3284,A56,'StageSpawn'!$F$2:$F$3284,"ShieldSkeleton")</x:f>
        <x:v>13</x:v>
      </x:c>
      <x:c r="G56" t="n">
        <x:f>COUNTIFS('StageSpawn'!$B$2:$B$3284,A56,'StageSpawn'!$F$2:$F$3284,"GoblinBoss")+COUNTIFS('StageSpawn'!$B$2:$B$3284,A56,'StageSpawn'!$F$2:$F$3284,"MushroomBoss")+COUNTIFS('StageSpawn'!$B$2:$B$3284,A56,'StageSpawn'!$F$2:$F$3284,"FlyingEyeBoss")+COUNTIFS('StageSpawn'!$B$2:$B$3284,A56,'StageSpawn'!$F$2:$F$3284,"SkeletonBoss")</x:f>
        <x:v>0</x:v>
      </x:c>
      <x:c r="H56" t="n">
        <x:f>COUNTIFS('StageSpawn'!$B$2:$B$3284,A56,'StageSpawn'!$F$2:$F$3284,"GoblinMelee")*'EnemyBalance'!$M$2+COUNTIFS('StageSpawn'!$B$2:$B$3284,A56,'StageSpawn'!$F$2:$F$3284,"GoblinRanged")*'EnemyBalance'!$M$3+COUNTIFS('StageSpawn'!$B$2:$B$3284,A56,'StageSpawn'!$F$2:$F$3284,"ShieldSkeleton")*'EnemyBalance'!$M$4+COUNTIFS('StageSpawn'!$B$2:$B$3284,A56,'StageSpawn'!$F$2:$F$3284,"GoblinBoss")*'EnemyBalance'!$M$5+COUNTIFS('StageSpawn'!$B$2:$B$3284,A56,'StageSpawn'!$F$2:$F$3284,"MushroomBoss")*'EnemyBalance'!$M$6+COUNTIFS('StageSpawn'!$B$2:$B$3284,A56,'StageSpawn'!$F$2:$F$3284,"FlyingEye")*'EnemyBalance'!$M$7+COUNTIFS('StageSpawn'!$B$2:$B$3284,A56,'StageSpawn'!$F$2:$F$3284,"FlyingEyeBoss")*'EnemyBalance'!$M$8+COUNTIFS('StageSpawn'!$B$2:$B$3284,A56,'StageSpawn'!$F$2:$F$3284,"SkeletonBoss")*'EnemyBalance'!$M$9</x:f>
        <x:v>118</x:v>
      </x:c>
      <x:c r="I56" t="n">
        <x:f>SUM($H$6:H56)</x:f>
        <x:v>2662</x:v>
      </x:c>
      <x:c r="J56" t="n">
        <x:v>42</x:v>
      </x:c>
      <x:c r="K56" t="n">
        <x:v>43</x:v>
      </x:c>
      <x:c r="L56" t="n">
        <x:v>44</x:v>
      </x:c>
      <x:c r="M56" s="412" t="n">
        <x:v>43.7</x:v>
      </x:c>
      <x:c r="N56" s="412" t="n">
        <x:v>1.7</x:v>
      </x:c>
      <x:c r="O56" s="487" t="n">
        <x:v>7.5</x:v>
      </x:c>
      <x:c r="P56" s="490" t="n">
        <x:v>113.15583859439658</x:v>
      </x:c>
      <x:c r="Q56" s="490" t="n">
        <x:v>475.12335437758634</x:v>
      </x:c>
      <x:c r="R56" s="493" t="n">
        <x:v>4</x:v>
      </x:c>
      <x:c r="S56" s="494" t="n">
        <x:v>2</x:v>
      </x:c>
    </x:row>
    <x:row r="57">
      <x:c r="A57" t="str">
        <x:v>WAVE_52</x:v>
      </x:c>
      <x:c r="B57" s="409" t="n">
        <x:v>511</x:v>
      </x:c>
      <x:c r="C57" t="n">
        <x:f>COUNTIF('StageSpawn'!$B$2:$B$3284,A57)</x:f>
        <x:v>101</x:v>
      </x:c>
      <x:c r="D57" t="n">
        <x:f>COUNTIFS('StageSpawn'!$B$2:$B$3284,A57,'StageSpawn'!$F$2:$F$3284,"GoblinMelee")+COUNTIFS('StageSpawn'!$B$2:$B$3284,A57,'StageSpawn'!$F$2:$F$3284,"FlyingEye")</x:f>
        <x:v>58</x:v>
      </x:c>
      <x:c r="E57" t="n">
        <x:f>COUNTIFS('StageSpawn'!$B$2:$B$3284,A57,'StageSpawn'!$F$2:$F$3284,"GoblinRanged")</x:f>
        <x:v>29</x:v>
      </x:c>
      <x:c r="F57" t="n">
        <x:f>COUNTIFS('StageSpawn'!$B$2:$B$3284,A57,'StageSpawn'!$F$2:$F$3284,"ShieldSkeleton")</x:f>
        <x:v>14</x:v>
      </x:c>
      <x:c r="G57" t="n">
        <x:f>COUNTIFS('StageSpawn'!$B$2:$B$3284,A57,'StageSpawn'!$F$2:$F$3284,"GoblinBoss")+COUNTIFS('StageSpawn'!$B$2:$B$3284,A57,'StageSpawn'!$F$2:$F$3284,"MushroomBoss")+COUNTIFS('StageSpawn'!$B$2:$B$3284,A57,'StageSpawn'!$F$2:$F$3284,"FlyingEyeBoss")+COUNTIFS('StageSpawn'!$B$2:$B$3284,A57,'StageSpawn'!$F$2:$F$3284,"SkeletonBoss")</x:f>
        <x:v>0</x:v>
      </x:c>
      <x:c r="H57" t="n">
        <x:f>COUNTIFS('StageSpawn'!$B$2:$B$3284,A57,'StageSpawn'!$F$2:$F$3284,"GoblinMelee")*'EnemyBalance'!$M$2+COUNTIFS('StageSpawn'!$B$2:$B$3284,A57,'StageSpawn'!$F$2:$F$3284,"GoblinRanged")*'EnemyBalance'!$M$3+COUNTIFS('StageSpawn'!$B$2:$B$3284,A57,'StageSpawn'!$F$2:$F$3284,"ShieldSkeleton")*'EnemyBalance'!$M$4+COUNTIFS('StageSpawn'!$B$2:$B$3284,A57,'StageSpawn'!$F$2:$F$3284,"GoblinBoss")*'EnemyBalance'!$M$5+COUNTIFS('StageSpawn'!$B$2:$B$3284,A57,'StageSpawn'!$F$2:$F$3284,"MushroomBoss")*'EnemyBalance'!$M$6+COUNTIFS('StageSpawn'!$B$2:$B$3284,A57,'StageSpawn'!$F$2:$F$3284,"FlyingEye")*'EnemyBalance'!$M$7+COUNTIFS('StageSpawn'!$B$2:$B$3284,A57,'StageSpawn'!$F$2:$F$3284,"FlyingEyeBoss")*'EnemyBalance'!$M$8+COUNTIFS('StageSpawn'!$B$2:$B$3284,A57,'StageSpawn'!$F$2:$F$3284,"SkeletonBoss")*'EnemyBalance'!$M$9</x:f>
        <x:v>122</x:v>
      </x:c>
      <x:c r="I57" t="n">
        <x:f>SUM($H$6:H57)</x:f>
        <x:v>2784</x:v>
      </x:c>
      <x:c r="J57" t="n">
        <x:v>43</x:v>
      </x:c>
      <x:c r="K57" t="n">
        <x:v>44</x:v>
      </x:c>
      <x:c r="L57" t="n">
        <x:v>45</x:v>
      </x:c>
      <x:c r="M57" s="412" t="n">
        <x:v>44.7</x:v>
      </x:c>
      <x:c r="N57" s="412" t="n">
        <x:v>1.7</x:v>
      </x:c>
      <x:c r="O57" s="488" t="n">
        <x:v>7.5</x:v>
      </x:c>
      <x:c r="P57" s="491" t="n">
        <x:v>114.78830939664795</x:v>
      </x:c>
      <x:c r="Q57" s="491" t="n">
        <x:v>481.6532375865918</x:v>
      </x:c>
      <x:c r="R57" s="495" t="n">
        <x:v>4</x:v>
      </x:c>
      <x:c r="S57" s="496" t="n">
        <x:v>2</x:v>
      </x:c>
    </x:row>
    <x:row r="58">
      <x:c r="A58" t="str">
        <x:v>WAVE_53</x:v>
      </x:c>
      <x:c r="B58" s="409" t="n">
        <x:v>521</x:v>
      </x:c>
      <x:c r="C58" t="n">
        <x:f>COUNTIF('StageSpawn'!$B$2:$B$3284,A58)</x:f>
        <x:v>104</x:v>
      </x:c>
      <x:c r="D58" t="n">
        <x:f>COUNTIFS('StageSpawn'!$B$2:$B$3284,A58,'StageSpawn'!$F$2:$F$3284,"GoblinMelee")+COUNTIFS('StageSpawn'!$B$2:$B$3284,A58,'StageSpawn'!$F$2:$F$3284,"FlyingEye")</x:f>
        <x:v>60</x:v>
      </x:c>
      <x:c r="E58" t="n">
        <x:f>COUNTIFS('StageSpawn'!$B$2:$B$3284,A58,'StageSpawn'!$F$2:$F$3284,"GoblinRanged")</x:f>
        <x:v>30</x:v>
      </x:c>
      <x:c r="F58" t="n">
        <x:f>COUNTIFS('StageSpawn'!$B$2:$B$3284,A58,'StageSpawn'!$F$2:$F$3284,"ShieldSkeleton")</x:f>
        <x:v>14</x:v>
      </x:c>
      <x:c r="G58" t="n">
        <x:f>COUNTIFS('StageSpawn'!$B$2:$B$3284,A58,'StageSpawn'!$F$2:$F$3284,"GoblinBoss")+COUNTIFS('StageSpawn'!$B$2:$B$3284,A58,'StageSpawn'!$F$2:$F$3284,"MushroomBoss")+COUNTIFS('StageSpawn'!$B$2:$B$3284,A58,'StageSpawn'!$F$2:$F$3284,"FlyingEyeBoss")+COUNTIFS('StageSpawn'!$B$2:$B$3284,A58,'StageSpawn'!$F$2:$F$3284,"SkeletonBoss")</x:f>
        <x:v>0</x:v>
      </x:c>
      <x:c r="H58" t="n">
        <x:f>COUNTIFS('StageSpawn'!$B$2:$B$3284,A58,'StageSpawn'!$F$2:$F$3284,"GoblinMelee")*'EnemyBalance'!$M$2+COUNTIFS('StageSpawn'!$B$2:$B$3284,A58,'StageSpawn'!$F$2:$F$3284,"GoblinRanged")*'EnemyBalance'!$M$3+COUNTIFS('StageSpawn'!$B$2:$B$3284,A58,'StageSpawn'!$F$2:$F$3284,"ShieldSkeleton")*'EnemyBalance'!$M$4+COUNTIFS('StageSpawn'!$B$2:$B$3284,A58,'StageSpawn'!$F$2:$F$3284,"GoblinBoss")*'EnemyBalance'!$M$5+COUNTIFS('StageSpawn'!$B$2:$B$3284,A58,'StageSpawn'!$F$2:$F$3284,"MushroomBoss")*'EnemyBalance'!$M$6+COUNTIFS('StageSpawn'!$B$2:$B$3284,A58,'StageSpawn'!$F$2:$F$3284,"FlyingEye")*'EnemyBalance'!$M$7+COUNTIFS('StageSpawn'!$B$2:$B$3284,A58,'StageSpawn'!$F$2:$F$3284,"FlyingEyeBoss")*'EnemyBalance'!$M$8+COUNTIFS('StageSpawn'!$B$2:$B$3284,A58,'StageSpawn'!$F$2:$F$3284,"SkeletonBoss")*'EnemyBalance'!$M$9</x:f>
        <x:v>125</x:v>
      </x:c>
      <x:c r="I58" t="n">
        <x:f>SUM($H$6:H58)</x:f>
        <x:v>2909</x:v>
      </x:c>
      <x:c r="J58" t="n">
        <x:v>44</x:v>
      </x:c>
      <x:c r="K58" t="n">
        <x:v>45</x:v>
      </x:c>
      <x:c r="L58" t="n">
        <x:v>46</x:v>
      </x:c>
      <x:c r="M58" s="412" t="n">
        <x:v>45.8</x:v>
      </x:c>
      <x:c r="N58" s="412" t="n">
        <x:v>1.8</x:v>
      </x:c>
      <x:c r="O58" s="487" t="n">
        <x:v>7.5</x:v>
      </x:c>
      <x:c r="P58" s="490" t="n">
        <x:v>116.57766135323786</x:v>
      </x:c>
      <x:c r="Q58" s="490" t="n">
        <x:v>488.81064541295143</x:v>
      </x:c>
      <x:c r="R58" s="493" t="n">
        <x:v>4</x:v>
      </x:c>
      <x:c r="S58" s="494" t="n">
        <x:v>2</x:v>
      </x:c>
    </x:row>
    <x:row r="59">
      <x:c r="A59" t="str">
        <x:v>WAVE_54</x:v>
      </x:c>
      <x:c r="B59" s="409" t="n">
        <x:v>531</x:v>
      </x:c>
      <x:c r="C59" t="n">
        <x:f>COUNTIF('StageSpawn'!$B$2:$B$3284,A59)</x:f>
        <x:v>107</x:v>
      </x:c>
      <x:c r="D59" t="n">
        <x:f>COUNTIFS('StageSpawn'!$B$2:$B$3284,A59,'StageSpawn'!$F$2:$F$3284,"GoblinMelee")+COUNTIFS('StageSpawn'!$B$2:$B$3284,A59,'StageSpawn'!$F$2:$F$3284,"FlyingEye")</x:f>
        <x:v>61</x:v>
      </x:c>
      <x:c r="E59" t="n">
        <x:f>COUNTIFS('StageSpawn'!$B$2:$B$3284,A59,'StageSpawn'!$F$2:$F$3284,"GoblinRanged")</x:f>
        <x:v>31</x:v>
      </x:c>
      <x:c r="F59" t="n">
        <x:f>COUNTIFS('StageSpawn'!$B$2:$B$3284,A59,'StageSpawn'!$F$2:$F$3284,"ShieldSkeleton")</x:f>
        <x:v>15</x:v>
      </x:c>
      <x:c r="G59" t="n">
        <x:f>COUNTIFS('StageSpawn'!$B$2:$B$3284,A59,'StageSpawn'!$F$2:$F$3284,"GoblinBoss")+COUNTIFS('StageSpawn'!$B$2:$B$3284,A59,'StageSpawn'!$F$2:$F$3284,"MushroomBoss")+COUNTIFS('StageSpawn'!$B$2:$B$3284,A59,'StageSpawn'!$F$2:$F$3284,"FlyingEyeBoss")+COUNTIFS('StageSpawn'!$B$2:$B$3284,A59,'StageSpawn'!$F$2:$F$3284,"SkeletonBoss")</x:f>
        <x:v>0</x:v>
      </x:c>
      <x:c r="H59" t="n">
        <x:f>COUNTIFS('StageSpawn'!$B$2:$B$3284,A59,'StageSpawn'!$F$2:$F$3284,"GoblinMelee")*'EnemyBalance'!$M$2+COUNTIFS('StageSpawn'!$B$2:$B$3284,A59,'StageSpawn'!$F$2:$F$3284,"GoblinRanged")*'EnemyBalance'!$M$3+COUNTIFS('StageSpawn'!$B$2:$B$3284,A59,'StageSpawn'!$F$2:$F$3284,"ShieldSkeleton")*'EnemyBalance'!$M$4+COUNTIFS('StageSpawn'!$B$2:$B$3284,A59,'StageSpawn'!$F$2:$F$3284,"GoblinBoss")*'EnemyBalance'!$M$5+COUNTIFS('StageSpawn'!$B$2:$B$3284,A59,'StageSpawn'!$F$2:$F$3284,"MushroomBoss")*'EnemyBalance'!$M$6+COUNTIFS('StageSpawn'!$B$2:$B$3284,A59,'StageSpawn'!$F$2:$F$3284,"FlyingEye")*'EnemyBalance'!$M$7+COUNTIFS('StageSpawn'!$B$2:$B$3284,A59,'StageSpawn'!$F$2:$F$3284,"FlyingEyeBoss")*'EnemyBalance'!$M$8+COUNTIFS('StageSpawn'!$B$2:$B$3284,A59,'StageSpawn'!$F$2:$F$3284,"SkeletonBoss")*'EnemyBalance'!$M$9</x:f>
        <x:v>129</x:v>
      </x:c>
      <x:c r="I59" t="n">
        <x:f>SUM($H$6:H59)</x:f>
        <x:v>3038</x:v>
      </x:c>
      <x:c r="J59" t="n">
        <x:v>44</x:v>
      </x:c>
      <x:c r="K59" t="n">
        <x:v>45</x:v>
      </x:c>
      <x:c r="L59" t="n">
        <x:v>46</x:v>
      </x:c>
      <x:c r="M59" s="412" t="n">
        <x:v>45.8</x:v>
      </x:c>
      <x:c r="N59" s="412" t="n">
        <x:v>1.8</x:v>
      </x:c>
      <x:c r="O59" s="488" t="n">
        <x:v>7.5</x:v>
      </x:c>
      <x:c r="P59" s="491" t="n">
        <x:v>116.57766135323786</x:v>
      </x:c>
      <x:c r="Q59" s="491" t="n">
        <x:v>488.81064541295143</x:v>
      </x:c>
      <x:c r="R59" s="495" t="n">
        <x:v>4</x:v>
      </x:c>
      <x:c r="S59" s="496" t="n">
        <x:v>2</x:v>
      </x:c>
    </x:row>
    <x:row r="60">
      <x:c r="A60" t="str">
        <x:v>WAVE_55</x:v>
      </x:c>
      <x:c r="B60" s="409" t="n">
        <x:v>541</x:v>
      </x:c>
      <x:c r="C60" t="n">
        <x:f>COUNTIF('StageSpawn'!$B$2:$B$3284,A60)</x:f>
        <x:v>109</x:v>
      </x:c>
      <x:c r="D60" t="n">
        <x:f>COUNTIFS('StageSpawn'!$B$2:$B$3284,A60,'StageSpawn'!$F$2:$F$3284,"GoblinMelee")+COUNTIFS('StageSpawn'!$B$2:$B$3284,A60,'StageSpawn'!$F$2:$F$3284,"FlyingEye")</x:f>
        <x:v>62</x:v>
      </x:c>
      <x:c r="E60" t="n">
        <x:f>COUNTIFS('StageSpawn'!$B$2:$B$3284,A60,'StageSpawn'!$F$2:$F$3284,"GoblinRanged")</x:f>
        <x:v>32</x:v>
      </x:c>
      <x:c r="F60" t="n">
        <x:f>COUNTIFS('StageSpawn'!$B$2:$B$3284,A60,'StageSpawn'!$F$2:$F$3284,"ShieldSkeleton")</x:f>
        <x:v>15</x:v>
      </x:c>
      <x:c r="G60" t="n">
        <x:f>COUNTIFS('StageSpawn'!$B$2:$B$3284,A60,'StageSpawn'!$F$2:$F$3284,"GoblinBoss")+COUNTIFS('StageSpawn'!$B$2:$B$3284,A60,'StageSpawn'!$F$2:$F$3284,"MushroomBoss")+COUNTIFS('StageSpawn'!$B$2:$B$3284,A60,'StageSpawn'!$F$2:$F$3284,"FlyingEyeBoss")+COUNTIFS('StageSpawn'!$B$2:$B$3284,A60,'StageSpawn'!$F$2:$F$3284,"SkeletonBoss")</x:f>
        <x:v>0</x:v>
      </x:c>
      <x:c r="H60" t="n">
        <x:f>COUNTIFS('StageSpawn'!$B$2:$B$3284,A60,'StageSpawn'!$F$2:$F$3284,"GoblinMelee")*'EnemyBalance'!$M$2+COUNTIFS('StageSpawn'!$B$2:$B$3284,A60,'StageSpawn'!$F$2:$F$3284,"GoblinRanged")*'EnemyBalance'!$M$3+COUNTIFS('StageSpawn'!$B$2:$B$3284,A60,'StageSpawn'!$F$2:$F$3284,"ShieldSkeleton")*'EnemyBalance'!$M$4+COUNTIFS('StageSpawn'!$B$2:$B$3284,A60,'StageSpawn'!$F$2:$F$3284,"GoblinBoss")*'EnemyBalance'!$M$5+COUNTIFS('StageSpawn'!$B$2:$B$3284,A60,'StageSpawn'!$F$2:$F$3284,"MushroomBoss")*'EnemyBalance'!$M$6+COUNTIFS('StageSpawn'!$B$2:$B$3284,A60,'StageSpawn'!$F$2:$F$3284,"FlyingEye")*'EnemyBalance'!$M$7+COUNTIFS('StageSpawn'!$B$2:$B$3284,A60,'StageSpawn'!$F$2:$F$3284,"FlyingEyeBoss")*'EnemyBalance'!$M$8+COUNTIFS('StageSpawn'!$B$2:$B$3284,A60,'StageSpawn'!$F$2:$F$3284,"SkeletonBoss")*'EnemyBalance'!$M$9</x:f>
        <x:v>131</x:v>
      </x:c>
      <x:c r="I60" t="n">
        <x:f>SUM($H$6:H60)</x:f>
        <x:v>3169</x:v>
      </x:c>
      <x:c r="J60" t="n">
        <x:v>45</x:v>
      </x:c>
      <x:c r="K60" t="n">
        <x:v>46</x:v>
      </x:c>
      <x:c r="L60" t="n">
        <x:v>47</x:v>
      </x:c>
      <x:c r="M60" s="412" t="n">
        <x:v>46.8</x:v>
      </x:c>
      <x:c r="N60" s="412" t="n">
        <x:v>1.8</x:v>
      </x:c>
      <x:c r="O60" s="487" t="n">
        <x:v>7.5</x:v>
      </x:c>
      <x:c r="P60" s="490" t="n">
        <x:v>118.198757005006</x:v>
      </x:c>
      <x:c r="Q60" s="490" t="n">
        <x:v>495.29502802002406</x:v>
      </x:c>
      <x:c r="R60" s="493" t="n">
        <x:v>4</x:v>
      </x:c>
      <x:c r="S60" s="494" t="n">
        <x:v>2</x:v>
      </x:c>
    </x:row>
    <x:row r="61">
      <x:c r="A61" t="str">
        <x:v>WAVE_56</x:v>
      </x:c>
      <x:c r="B61" s="409" t="n">
        <x:v>551</x:v>
      </x:c>
      <x:c r="C61" t="n">
        <x:f>COUNTIF('StageSpawn'!$B$2:$B$3284,A61)</x:f>
        <x:v>112</x:v>
      </x:c>
      <x:c r="D61" t="n">
        <x:f>COUNTIFS('StageSpawn'!$B$2:$B$3284,A61,'StageSpawn'!$F$2:$F$3284,"GoblinMelee")+COUNTIFS('StageSpawn'!$B$2:$B$3284,A61,'StageSpawn'!$F$2:$F$3284,"FlyingEye")</x:f>
        <x:v>63</x:v>
      </x:c>
      <x:c r="E61" t="n">
        <x:f>COUNTIFS('StageSpawn'!$B$2:$B$3284,A61,'StageSpawn'!$F$2:$F$3284,"GoblinRanged")</x:f>
        <x:v>33</x:v>
      </x:c>
      <x:c r="F61" t="n">
        <x:f>COUNTIFS('StageSpawn'!$B$2:$B$3284,A61,'StageSpawn'!$F$2:$F$3284,"ShieldSkeleton")</x:f>
        <x:v>16</x:v>
      </x:c>
      <x:c r="G61" t="n">
        <x:f>COUNTIFS('StageSpawn'!$B$2:$B$3284,A61,'StageSpawn'!$F$2:$F$3284,"GoblinBoss")+COUNTIFS('StageSpawn'!$B$2:$B$3284,A61,'StageSpawn'!$F$2:$F$3284,"MushroomBoss")+COUNTIFS('StageSpawn'!$B$2:$B$3284,A61,'StageSpawn'!$F$2:$F$3284,"FlyingEyeBoss")+COUNTIFS('StageSpawn'!$B$2:$B$3284,A61,'StageSpawn'!$F$2:$F$3284,"SkeletonBoss")</x:f>
        <x:v>0</x:v>
      </x:c>
      <x:c r="H61" t="n">
        <x:f>COUNTIFS('StageSpawn'!$B$2:$B$3284,A61,'StageSpawn'!$F$2:$F$3284,"GoblinMelee")*'EnemyBalance'!$M$2+COUNTIFS('StageSpawn'!$B$2:$B$3284,A61,'StageSpawn'!$F$2:$F$3284,"GoblinRanged")*'EnemyBalance'!$M$3+COUNTIFS('StageSpawn'!$B$2:$B$3284,A61,'StageSpawn'!$F$2:$F$3284,"ShieldSkeleton")*'EnemyBalance'!$M$4+COUNTIFS('StageSpawn'!$B$2:$B$3284,A61,'StageSpawn'!$F$2:$F$3284,"GoblinBoss")*'EnemyBalance'!$M$5+COUNTIFS('StageSpawn'!$B$2:$B$3284,A61,'StageSpawn'!$F$2:$F$3284,"MushroomBoss")*'EnemyBalance'!$M$6+COUNTIFS('StageSpawn'!$B$2:$B$3284,A61,'StageSpawn'!$F$2:$F$3284,"FlyingEye")*'EnemyBalance'!$M$7+COUNTIFS('StageSpawn'!$B$2:$B$3284,A61,'StageSpawn'!$F$2:$F$3284,"FlyingEyeBoss")*'EnemyBalance'!$M$8+COUNTIFS('StageSpawn'!$B$2:$B$3284,A61,'StageSpawn'!$F$2:$F$3284,"SkeletonBoss")*'EnemyBalance'!$M$9</x:f>
        <x:v>135</x:v>
      </x:c>
      <x:c r="I61" t="n">
        <x:f>SUM($H$6:H61)</x:f>
        <x:v>3304</x:v>
      </x:c>
      <x:c r="J61" t="n">
        <x:v>46</x:v>
      </x:c>
      <x:c r="K61" t="n">
        <x:v>47</x:v>
      </x:c>
      <x:c r="L61" t="n">
        <x:v>48</x:v>
      </x:c>
      <x:c r="M61" s="412" t="n">
        <x:v>47.9</x:v>
      </x:c>
      <x:c r="N61" s="412" t="n">
        <x:v>1.9</x:v>
      </x:c>
      <x:c r="O61" s="488" t="n">
        <x:v>9.5</x:v>
      </x:c>
      <x:c r="P61" s="491" t="n">
        <x:v>151.9696365484925</x:v>
      </x:c>
      <x:c r="Q61" s="491" t="n">
        <x:v>636.37854619397</x:v>
      </x:c>
      <x:c r="R61" s="495" t="n">
        <x:v>5</x:v>
      </x:c>
      <x:c r="S61" s="496" t="n">
        <x:v>2</x:v>
      </x:c>
    </x:row>
    <x:row r="62">
      <x:c r="A62" t="str">
        <x:v>WAVE_57</x:v>
      </x:c>
      <x:c r="B62" s="409" t="n">
        <x:v>561</x:v>
      </x:c>
      <x:c r="C62" t="n">
        <x:f>COUNTIF('StageSpawn'!$B$2:$B$3284,A62)</x:f>
        <x:v>115</x:v>
      </x:c>
      <x:c r="D62" t="n">
        <x:f>COUNTIFS('StageSpawn'!$B$2:$B$3284,A62,'StageSpawn'!$F$2:$F$3284,"GoblinMelee")+COUNTIFS('StageSpawn'!$B$2:$B$3284,A62,'StageSpawn'!$F$2:$F$3284,"FlyingEye")</x:f>
        <x:v>64</x:v>
      </x:c>
      <x:c r="E62" t="n">
        <x:f>COUNTIFS('StageSpawn'!$B$2:$B$3284,A62,'StageSpawn'!$F$2:$F$3284,"GoblinRanged")</x:f>
        <x:v>34</x:v>
      </x:c>
      <x:c r="F62" t="n">
        <x:f>COUNTIFS('StageSpawn'!$B$2:$B$3284,A62,'StageSpawn'!$F$2:$F$3284,"ShieldSkeleton")</x:f>
        <x:v>17</x:v>
      </x:c>
      <x:c r="G62" t="n">
        <x:f>COUNTIFS('StageSpawn'!$B$2:$B$3284,A62,'StageSpawn'!$F$2:$F$3284,"GoblinBoss")+COUNTIFS('StageSpawn'!$B$2:$B$3284,A62,'StageSpawn'!$F$2:$F$3284,"MushroomBoss")+COUNTIFS('StageSpawn'!$B$2:$B$3284,A62,'StageSpawn'!$F$2:$F$3284,"FlyingEyeBoss")+COUNTIFS('StageSpawn'!$B$2:$B$3284,A62,'StageSpawn'!$F$2:$F$3284,"SkeletonBoss")</x:f>
        <x:v>0</x:v>
      </x:c>
      <x:c r="H62" t="n">
        <x:f>COUNTIFS('StageSpawn'!$B$2:$B$3284,A62,'StageSpawn'!$F$2:$F$3284,"GoblinMelee")*'EnemyBalance'!$M$2+COUNTIFS('StageSpawn'!$B$2:$B$3284,A62,'StageSpawn'!$F$2:$F$3284,"GoblinRanged")*'EnemyBalance'!$M$3+COUNTIFS('StageSpawn'!$B$2:$B$3284,A62,'StageSpawn'!$F$2:$F$3284,"ShieldSkeleton")*'EnemyBalance'!$M$4+COUNTIFS('StageSpawn'!$B$2:$B$3284,A62,'StageSpawn'!$F$2:$F$3284,"GoblinBoss")*'EnemyBalance'!$M$5+COUNTIFS('StageSpawn'!$B$2:$B$3284,A62,'StageSpawn'!$F$2:$F$3284,"MushroomBoss")*'EnemyBalance'!$M$6+COUNTIFS('StageSpawn'!$B$2:$B$3284,A62,'StageSpawn'!$F$2:$F$3284,"FlyingEye")*'EnemyBalance'!$M$7+COUNTIFS('StageSpawn'!$B$2:$B$3284,A62,'StageSpawn'!$F$2:$F$3284,"FlyingEyeBoss")*'EnemyBalance'!$M$8+COUNTIFS('StageSpawn'!$B$2:$B$3284,A62,'StageSpawn'!$F$2:$F$3284,"SkeletonBoss")*'EnemyBalance'!$M$9</x:f>
        <x:v>140</x:v>
      </x:c>
      <x:c r="I62" t="n">
        <x:f>SUM($H$6:H62)</x:f>
        <x:v>3444</x:v>
      </x:c>
      <x:c r="J62" t="n">
        <x:v>47</x:v>
      </x:c>
      <x:c r="K62" t="n">
        <x:v>48</x:v>
      </x:c>
      <x:c r="L62" t="n">
        <x:v>49</x:v>
      </x:c>
      <x:c r="M62" s="412" t="n">
        <x:v>48.9</x:v>
      </x:c>
      <x:c r="N62" s="412" t="n">
        <x:v>1.9</x:v>
      </x:c>
      <x:c r="O62" s="487" t="n">
        <x:v>9.5</x:v>
      </x:c>
      <x:c r="P62" s="490" t="n">
        <x:v>154.00958440778442</x:v>
      </x:c>
      <x:c r="Q62" s="490" t="n">
        <x:v>644.5383376311377</x:v>
      </x:c>
      <x:c r="R62" s="493" t="n">
        <x:v>5</x:v>
      </x:c>
      <x:c r="S62" s="494" t="n">
        <x:v>2</x:v>
      </x:c>
    </x:row>
    <x:row r="63">
      <x:c r="A63" t="str">
        <x:v>WAVE_58</x:v>
      </x:c>
      <x:c r="B63" s="409" t="n">
        <x:v>571</x:v>
      </x:c>
      <x:c r="C63" t="n">
        <x:f>COUNTIF('StageSpawn'!$B$2:$B$3284,A63)</x:f>
        <x:v>118</x:v>
      </x:c>
      <x:c r="D63" t="n">
        <x:f>COUNTIFS('StageSpawn'!$B$2:$B$3284,A63,'StageSpawn'!$F$2:$F$3284,"GoblinMelee")+COUNTIFS('StageSpawn'!$B$2:$B$3284,A63,'StageSpawn'!$F$2:$F$3284,"FlyingEye")</x:f>
        <x:v>66</x:v>
      </x:c>
      <x:c r="E63" t="n">
        <x:f>COUNTIFS('StageSpawn'!$B$2:$B$3284,A63,'StageSpawn'!$F$2:$F$3284,"GoblinRanged")</x:f>
        <x:v>35</x:v>
      </x:c>
      <x:c r="F63" t="n">
        <x:f>COUNTIFS('StageSpawn'!$B$2:$B$3284,A63,'StageSpawn'!$F$2:$F$3284,"ShieldSkeleton")</x:f>
        <x:v>17</x:v>
      </x:c>
      <x:c r="G63" t="n">
        <x:f>COUNTIFS('StageSpawn'!$B$2:$B$3284,A63,'StageSpawn'!$F$2:$F$3284,"GoblinBoss")+COUNTIFS('StageSpawn'!$B$2:$B$3284,A63,'StageSpawn'!$F$2:$F$3284,"MushroomBoss")+COUNTIFS('StageSpawn'!$B$2:$B$3284,A63,'StageSpawn'!$F$2:$F$3284,"FlyingEyeBoss")+COUNTIFS('StageSpawn'!$B$2:$B$3284,A63,'StageSpawn'!$F$2:$F$3284,"SkeletonBoss")</x:f>
        <x:v>0</x:v>
      </x:c>
      <x:c r="H63" t="n">
        <x:f>COUNTIFS('StageSpawn'!$B$2:$B$3284,A63,'StageSpawn'!$F$2:$F$3284,"GoblinMelee")*'EnemyBalance'!$M$2+COUNTIFS('StageSpawn'!$B$2:$B$3284,A63,'StageSpawn'!$F$2:$F$3284,"GoblinRanged")*'EnemyBalance'!$M$3+COUNTIFS('StageSpawn'!$B$2:$B$3284,A63,'StageSpawn'!$F$2:$F$3284,"ShieldSkeleton")*'EnemyBalance'!$M$4+COUNTIFS('StageSpawn'!$B$2:$B$3284,A63,'StageSpawn'!$F$2:$F$3284,"GoblinBoss")*'EnemyBalance'!$M$5+COUNTIFS('StageSpawn'!$B$2:$B$3284,A63,'StageSpawn'!$F$2:$F$3284,"MushroomBoss")*'EnemyBalance'!$M$6+COUNTIFS('StageSpawn'!$B$2:$B$3284,A63,'StageSpawn'!$F$2:$F$3284,"FlyingEye")*'EnemyBalance'!$M$7+COUNTIFS('StageSpawn'!$B$2:$B$3284,A63,'StageSpawn'!$F$2:$F$3284,"FlyingEyeBoss")*'EnemyBalance'!$M$8+COUNTIFS('StageSpawn'!$B$2:$B$3284,A63,'StageSpawn'!$F$2:$F$3284,"SkeletonBoss")*'EnemyBalance'!$M$9</x:f>
        <x:v>143</x:v>
      </x:c>
      <x:c r="I63" t="n">
        <x:f>SUM($H$6:H63)</x:f>
        <x:v>3587</x:v>
      </x:c>
      <x:c r="J63" t="n">
        <x:v>48</x:v>
      </x:c>
      <x:c r="K63" t="n">
        <x:v>49</x:v>
      </x:c>
      <x:c r="L63" t="n">
        <x:v>50</x:v>
      </x:c>
      <x:c r="M63" s="412" t="n">
        <x:v>49.9</x:v>
      </x:c>
      <x:c r="N63" s="412" t="n">
        <x:v>1.9</x:v>
      </x:c>
      <x:c r="O63" s="488" t="n">
        <x:v>9.5</x:v>
      </x:c>
      <x:c r="P63" s="491" t="n">
        <x:v>156.0434419706621</x:v>
      </x:c>
      <x:c r="Q63" s="491" t="n">
        <x:v>652.6737678826483</x:v>
      </x:c>
      <x:c r="R63" s="495" t="n">
        <x:v>5</x:v>
      </x:c>
      <x:c r="S63" s="496" t="n">
        <x:v>2</x:v>
      </x:c>
    </x:row>
    <x:row r="64">
      <x:c r="A64" t="str">
        <x:v>WAVE_59</x:v>
      </x:c>
      <x:c r="B64" s="409" t="n">
        <x:v>581</x:v>
      </x:c>
      <x:c r="C64" t="n">
        <x:f>COUNTIF('StageSpawn'!$B$2:$B$3284,A64)</x:f>
        <x:v>121</x:v>
      </x:c>
      <x:c r="D64" t="n">
        <x:f>COUNTIFS('StageSpawn'!$B$2:$B$3284,A64,'StageSpawn'!$F$2:$F$3284,"GoblinMelee")+COUNTIFS('StageSpawn'!$B$2:$B$3284,A64,'StageSpawn'!$F$2:$F$3284,"FlyingEye")</x:f>
        <x:v>67</x:v>
      </x:c>
      <x:c r="E64" t="n">
        <x:f>COUNTIFS('StageSpawn'!$B$2:$B$3284,A64,'StageSpawn'!$F$2:$F$3284,"GoblinRanged")</x:f>
        <x:v>36</x:v>
      </x:c>
      <x:c r="F64" t="n">
        <x:f>COUNTIFS('StageSpawn'!$B$2:$B$3284,A64,'StageSpawn'!$F$2:$F$3284,"ShieldSkeleton")</x:f>
        <x:v>18</x:v>
      </x:c>
      <x:c r="G64" t="n">
        <x:f>COUNTIFS('StageSpawn'!$B$2:$B$3284,A64,'StageSpawn'!$F$2:$F$3284,"GoblinBoss")+COUNTIFS('StageSpawn'!$B$2:$B$3284,A64,'StageSpawn'!$F$2:$F$3284,"MushroomBoss")+COUNTIFS('StageSpawn'!$B$2:$B$3284,A64,'StageSpawn'!$F$2:$F$3284,"FlyingEyeBoss")+COUNTIFS('StageSpawn'!$B$2:$B$3284,A64,'StageSpawn'!$F$2:$F$3284,"SkeletonBoss")</x:f>
        <x:v>0</x:v>
      </x:c>
      <x:c r="H64" t="n">
        <x:f>COUNTIFS('StageSpawn'!$B$2:$B$3284,A64,'StageSpawn'!$F$2:$F$3284,"GoblinMelee")*'EnemyBalance'!$M$2+COUNTIFS('StageSpawn'!$B$2:$B$3284,A64,'StageSpawn'!$F$2:$F$3284,"GoblinRanged")*'EnemyBalance'!$M$3+COUNTIFS('StageSpawn'!$B$2:$B$3284,A64,'StageSpawn'!$F$2:$F$3284,"ShieldSkeleton")*'EnemyBalance'!$M$4+COUNTIFS('StageSpawn'!$B$2:$B$3284,A64,'StageSpawn'!$F$2:$F$3284,"GoblinBoss")*'EnemyBalance'!$M$5+COUNTIFS('StageSpawn'!$B$2:$B$3284,A64,'StageSpawn'!$F$2:$F$3284,"MushroomBoss")*'EnemyBalance'!$M$6+COUNTIFS('StageSpawn'!$B$2:$B$3284,A64,'StageSpawn'!$F$2:$F$3284,"FlyingEye")*'EnemyBalance'!$M$7+COUNTIFS('StageSpawn'!$B$2:$B$3284,A64,'StageSpawn'!$F$2:$F$3284,"FlyingEyeBoss")*'EnemyBalance'!$M$8+COUNTIFS('StageSpawn'!$B$2:$B$3284,A64,'StageSpawn'!$F$2:$F$3284,"SkeletonBoss")*'EnemyBalance'!$M$9</x:f>
        <x:v>147</x:v>
      </x:c>
      <x:c r="I64" t="n">
        <x:f>SUM($H$6:H64)</x:f>
        <x:v>3734</x:v>
      </x:c>
      <x:c r="J64" t="n">
        <x:v>49</x:v>
      </x:c>
      <x:c r="K64" t="n">
        <x:v>50</x:v>
      </x:c>
      <x:c r="L64" t="n">
        <x:v>51</x:v>
      </x:c>
      <x:c r="M64" s="412" t="n">
        <x:v>51</x:v>
      </x:c>
      <x:c r="N64" s="412" t="n">
        <x:v>2</x:v>
      </x:c>
      <x:c r="O64" s="487" t="n">
        <x:v>9.5</x:v>
      </x:c>
      <x:c r="P64" s="490" t="n">
        <x:v>158.2738725808137</x:v>
      </x:c>
      <x:c r="Q64" s="490" t="n">
        <x:v>661.5954903232548</x:v>
      </x:c>
      <x:c r="R64" s="493" t="n">
        <x:v>5</x:v>
      </x:c>
      <x:c r="S64" s="494" t="n">
        <x:v>2</x:v>
      </x:c>
    </x:row>
    <x:row r="65">
      <x:c r="A65" t="str">
        <x:v>WAVE_60</x:v>
      </x:c>
      <x:c r="B65" s="409" t="n">
        <x:v>591</x:v>
      </x:c>
      <x:c r="C65" t="n">
        <x:f>COUNTIF('StageSpawn'!$B$2:$B$3284,A65)</x:f>
        <x:v>124</x:v>
      </x:c>
      <x:c r="D65" t="n">
        <x:f>COUNTIFS('StageSpawn'!$B$2:$B$3284,A65,'StageSpawn'!$F$2:$F$3284,"GoblinMelee")+COUNTIFS('StageSpawn'!$B$2:$B$3284,A65,'StageSpawn'!$F$2:$F$3284,"FlyingEye")</x:f>
        <x:v>68</x:v>
      </x:c>
      <x:c r="E65" t="n">
        <x:f>COUNTIFS('StageSpawn'!$B$2:$B$3284,A65,'StageSpawn'!$F$2:$F$3284,"GoblinRanged")</x:f>
        <x:v>37</x:v>
      </x:c>
      <x:c r="F65" t="n">
        <x:f>COUNTIFS('StageSpawn'!$B$2:$B$3284,A65,'StageSpawn'!$F$2:$F$3284,"ShieldSkeleton")</x:f>
        <x:v>18</x:v>
      </x:c>
      <x:c r="G65" t="n">
        <x:f>COUNTIFS('StageSpawn'!$B$2:$B$3284,A65,'StageSpawn'!$F$2:$F$3284,"GoblinBoss")+COUNTIFS('StageSpawn'!$B$2:$B$3284,A65,'StageSpawn'!$F$2:$F$3284,"MushroomBoss")+COUNTIFS('StageSpawn'!$B$2:$B$3284,A65,'StageSpawn'!$F$2:$F$3284,"FlyingEyeBoss")+COUNTIFS('StageSpawn'!$B$2:$B$3284,A65,'StageSpawn'!$F$2:$F$3284,"SkeletonBoss")</x:f>
        <x:v>1</x:v>
      </x:c>
      <x:c r="H65" t="n">
        <x:f>COUNTIFS('StageSpawn'!$B$2:$B$3284,A65,'StageSpawn'!$F$2:$F$3284,"GoblinMelee")*'EnemyBalance'!$M$2+COUNTIFS('StageSpawn'!$B$2:$B$3284,A65,'StageSpawn'!$F$2:$F$3284,"GoblinRanged")*'EnemyBalance'!$M$3+COUNTIFS('StageSpawn'!$B$2:$B$3284,A65,'StageSpawn'!$F$2:$F$3284,"ShieldSkeleton")*'EnemyBalance'!$M$4+COUNTIFS('StageSpawn'!$B$2:$B$3284,A65,'StageSpawn'!$F$2:$F$3284,"GoblinBoss")*'EnemyBalance'!$M$5+COUNTIFS('StageSpawn'!$B$2:$B$3284,A65,'StageSpawn'!$F$2:$F$3284,"MushroomBoss")*'EnemyBalance'!$M$6+COUNTIFS('StageSpawn'!$B$2:$B$3284,A65,'StageSpawn'!$F$2:$F$3284,"FlyingEye")*'EnemyBalance'!$M$7+COUNTIFS('StageSpawn'!$B$2:$B$3284,A65,'StageSpawn'!$F$2:$F$3284,"FlyingEyeBoss")*'EnemyBalance'!$M$8+COUNTIFS('StageSpawn'!$B$2:$B$3284,A65,'StageSpawn'!$F$2:$F$3284,"SkeletonBoss")*'EnemyBalance'!$M$9</x:f>
        <x:v>164</x:v>
      </x:c>
      <x:c r="I65" t="n">
        <x:f>SUM($H$6:H65)</x:f>
        <x:v>3898</x:v>
      </x:c>
      <x:c r="J65" t="n">
        <x:v>50</x:v>
      </x:c>
      <x:c r="K65" t="n">
        <x:v>52</x:v>
      </x:c>
      <x:c r="L65" t="n">
        <x:v>52</x:v>
      </x:c>
      <x:c r="M65" s="412" t="n">
        <x:v>52</x:v>
      </x:c>
      <x:c r="N65" s="412" t="n">
        <x:v>2</x:v>
      </x:c>
      <x:c r="O65" s="489" t="n">
        <x:v>9.5</x:v>
      </x:c>
      <x:c r="P65" s="492" t="n">
        <x:v>160.29553456048353</x:v>
      </x:c>
      <x:c r="Q65" s="492" t="n">
        <x:v>669.6821382419341</x:v>
      </x:c>
      <x:c r="R65" s="497" t="n">
        <x:v>5</x:v>
      </x:c>
      <x:c r="S65" s="498" t="n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660606c874c46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7" hidden="0" customWidth="1"/>
    <x:col min="4" max="4" width="15" hidden="0" customWidth="1"/>
    <x:col min="5" max="5" width="18" hidden="0" customWidth="1"/>
    <x:col min="6" max="6" width="20" hidden="0" customWidth="1"/>
    <x:col min="7" max="7" width="17" hidden="0" customWidth="1"/>
    <x:col min="8" max="8" width="24" hidden="0" customWidth="1"/>
    <x:col min="9" max="9" width="19" hidden="0" customWidth="1"/>
    <x:col min="10" max="10" width="18" hidden="0" customWidth="1"/>
    <x:col min="11" max="11" width="17" hidden="0" customWidth="1"/>
    <x:col min="12" max="12" width="18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36" customHeight="1">
      <x:c r="A1" s="499" t="str">
        <x:v>카드 수식과 레벨별 효과</x:v>
      </x:c>
      <x:c r="B1" s="499"/>
      <x:c r="C1" s="499"/>
      <x:c r="D1" s="499"/>
      <x:c r="E1" s="499"/>
      <x:c r="F1" s="499"/>
      <x:c r="G1" s="499"/>
      <x:c r="H1" s="499"/>
      <x:c r="I1" s="499"/>
      <x:c r="J1" s="499"/>
      <x:c r="K1" s="499"/>
      <x:c r="L1" s="499"/>
      <x:c r="M1" s="514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506" t="str">
        <x:v>입력</x:v>
      </x:c>
      <x:c r="B3" s="464" t="str">
        <x:v>값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 ht="26" customHeight="1">
      <x:c r="A4" s="45" t="str">
        <x:v>정전기 피해 배율</x:v>
      </x:c>
      <x:c r="B4" s="51" t="n">
        <x:v>0.75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 ht="26" customHeight="1">
      <x:c r="A5" s="45" t="str">
        <x:v>절단 추가 피해 배율</x:v>
      </x:c>
      <x:c r="B5" s="51" t="n">
        <x:v>2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6" customHeight="1">
      <x:c r="A6" s="45" t="str">
        <x:v>흡혈 레벨당 회복량</x:v>
      </x:c>
      <x:c r="B6" s="51" t="n">
        <x:v>2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</x:row>
    <x:row r="7" ht="26" customHeight="1">
      <x:c r="A7" s="45" t="str">
        <x:v>회복 확률</x:v>
      </x:c>
      <x:c r="B7" s="55" t="n">
        <x:v>0.05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</x:row>
    <x:row r="8" ht="26" customHeight="1">
      <x:c r="A8" s="45" t="str">
        <x:v>방패 우회 레벨당 확률</x:v>
      </x:c>
      <x:c r="B8" s="55" t="n">
        <x:v>0.1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</x:row>
    <x:row r="9" ht="44" customHeight="1">
      <x:c r="A9" s="506" t="str">
        <x:v>카드 레벨</x:v>
      </x:c>
      <x:c r="B9" s="507" t="str">
        <x:v>추가 관통</x:v>
      </x:c>
      <x:c r="C9" s="507" t="str">
        <x:v>절단 추가 피해</x:v>
      </x:c>
      <x:c r="D9" s="507" t="str">
        <x:v>기본+절단</x:v>
      </x:c>
      <x:c r="E9" s="507" t="str">
        <x:v>정전기 주변 대상</x:v>
      </x:c>
      <x:c r="F9" s="507" t="str">
        <x:v>정전기 주 대상 총배율</x:v>
      </x:c>
      <x:c r="G9" s="507" t="str">
        <x:v>정전기 주변 피해</x:v>
      </x:c>
      <x:c r="H9" s="507" t="str">
        <x:v>흡혈 처치당 기대 회복(최대 3레벨)</x:v>
      </x:c>
      <x:c r="I9" s="507" t="str">
        <x:v>이동 참격 확률</x:v>
      </x:c>
      <x:c r="J9" s="507" t="str">
        <x:v>이동 참격 최대 적중</x:v>
      </x:c>
      <x:c r="K9" s="507" t="str">
        <x:v>이동 참격 크기</x:v>
      </x:c>
      <x:c r="L9" s="464" t="str">
        <x:v>이동 참격 후면 피해</x:v>
      </x:c>
      <x:c r="M9" s="515" t="str">
        <x:v>방패 우회 확률</x:v>
      </x:c>
      <x:c r="N9" t="str">
        <x:v>오물 틱 피해</x:v>
      </x:c>
      <x:c r="O9" t="str">
        <x:v>오물 반경</x:v>
      </x:c>
      <x:c r="P9" t="str">
        <x:v>오물 재사용</x:v>
      </x:c>
    </x:row>
    <x:row r="10" ht="28" customHeight="1">
      <x:c r="A10" s="516" t="n">
        <x:v>1</x:v>
      </x:c>
      <x:c r="B10" s="516" t="n">
        <x:f>A10</x:f>
        <x:v>1</x:v>
      </x:c>
      <x:c r="C10" s="517" t="n">
        <x:f>$B$5</x:f>
        <x:v>2</x:v>
      </x:c>
      <x:c r="D10" s="517" t="n">
        <x:f>1+C10</x:f>
        <x:v>3</x:v>
      </x:c>
      <x:c r="E10" s="516" t="n">
        <x:f>2*A10+1</x:f>
        <x:v>3</x:v>
      </x:c>
      <x:c r="F10" s="518" t="n">
        <x:f>1+$B$4</x:f>
        <x:v>1.75</x:v>
      </x:c>
      <x:c r="G10" s="518" t="n">
        <x:f>$B$4</x:f>
        <x:v>0.75</x:v>
      </x:c>
      <x:c r="H10" s="518" t="n">
        <x:f>MIN(3,A10)*$B$6*$B$7</x:f>
        <x:v>0.1</x:v>
      </x:c>
      <x:c r="I10" s="519" t="n">
        <x:f>10%+3%*(A10-1)</x:f>
        <x:v>0.1</x:v>
      </x:c>
      <x:c r="J10" s="516" t="n">
        <x:f>A10+1</x:f>
        <x:v>2</x:v>
      </x:c>
      <x:c r="K10" s="520" t="n">
        <x:f>100%+15%*(A10-1)</x:f>
        <x:v>1</x:v>
      </x:c>
      <x:c r="L10" s="517" t="n">
        <x:f>('LevelUpCard'!H10+0.35*(A10-1))*3</x:f>
        <x:v>5.4</x:v>
      </x:c>
      <x:c r="M10" s="521" t="n">
        <x:f>MIN(3,A10)*$B$8</x:f>
        <x:v>0.1</x:v>
      </x:c>
      <x:c r="N10" s="409" t="n">
        <x:f>'LevelUpCard'!$H$14+10%*(A10-1)</x:f>
        <x:v>0.35</x:v>
      </x:c>
      <x:c r="O10" s="409" t="n">
        <x:f>1.2+0.15*(A10-1)</x:f>
        <x:v>1.2</x:v>
      </x:c>
      <x:c r="P10" s="412" t="n">
        <x:f>6-0.5*(A10-1)</x:f>
        <x:v>6</x:v>
      </x:c>
    </x:row>
    <x:row r="11" ht="28" customHeight="1">
      <x:c r="A11" s="445" t="n">
        <x:v>2</x:v>
      </x:c>
      <x:c r="B11" s="445" t="n">
        <x:f>A11</x:f>
        <x:v>2</x:v>
      </x:c>
      <x:c r="C11" s="446" t="n">
        <x:f>$B$5</x:f>
        <x:v>2</x:v>
      </x:c>
      <x:c r="D11" s="446" t="n">
        <x:f>1+C11</x:f>
        <x:v>3</x:v>
      </x:c>
      <x:c r="E11" s="445" t="n">
        <x:f>2*A11+1</x:f>
        <x:v>5</x:v>
      </x:c>
      <x:c r="F11" s="447" t="n">
        <x:f>1+$B$4</x:f>
        <x:v>1.75</x:v>
      </x:c>
      <x:c r="G11" s="447" t="n">
        <x:f>$B$4</x:f>
        <x:v>0.75</x:v>
      </x:c>
      <x:c r="H11" s="447" t="n">
        <x:f>MIN(3,A11)*$B$6*$B$7</x:f>
        <x:v>0.2</x:v>
      </x:c>
      <x:c r="I11" s="448" t="n">
        <x:f>10%+3%*(A11-1)</x:f>
        <x:v>0.13</x:v>
      </x:c>
      <x:c r="J11" s="445" t="n">
        <x:f>A11+1</x:f>
        <x:v>3</x:v>
      </x:c>
      <x:c r="K11" s="449" t="n">
        <x:f>100%+15%*(A11-1)</x:f>
        <x:v>1.15</x:v>
      </x:c>
      <x:c r="L11" s="446" t="n">
        <x:f>('LevelUpCard'!H10+0.35*(A11-1))*3</x:f>
        <x:v>6.449999999999999</x:v>
      </x:c>
      <x:c r="M11" s="451" t="n">
        <x:f>MIN(3,A11)*$B$8</x:f>
        <x:v>0.2</x:v>
      </x:c>
      <x:c r="N11" s="409" t="n">
        <x:f>'LevelUpCard'!$H$14+10%*(A11-1)</x:f>
        <x:v>0.44999999999999996</x:v>
      </x:c>
      <x:c r="O11" s="409" t="n">
        <x:f>1.2+0.15*(A11-1)</x:f>
        <x:v>1.3499999999999999</x:v>
      </x:c>
      <x:c r="P11" s="412" t="n">
        <x:f>6-0.5*(A11-1)</x:f>
        <x:v>5.5</x:v>
      </x:c>
    </x:row>
    <x:row r="12" ht="28" customHeight="1">
      <x:c r="A12" s="516" t="n">
        <x:v>3</x:v>
      </x:c>
      <x:c r="B12" s="516" t="n">
        <x:f>A12</x:f>
        <x:v>3</x:v>
      </x:c>
      <x:c r="C12" s="517" t="n">
        <x:f>$B$5</x:f>
        <x:v>2</x:v>
      </x:c>
      <x:c r="D12" s="517" t="n">
        <x:f>1+C12</x:f>
        <x:v>3</x:v>
      </x:c>
      <x:c r="E12" s="516" t="n">
        <x:f>2*A12+1</x:f>
        <x:v>7</x:v>
      </x:c>
      <x:c r="F12" s="518" t="n">
        <x:f>1+$B$4</x:f>
        <x:v>1.75</x:v>
      </x:c>
      <x:c r="G12" s="518" t="n">
        <x:f>$B$4</x:f>
        <x:v>0.75</x:v>
      </x:c>
      <x:c r="H12" s="518" t="n">
        <x:f>MIN(3,A12)*$B$6*$B$7</x:f>
        <x:v>0.30000000000000004</x:v>
      </x:c>
      <x:c r="I12" s="519" t="n">
        <x:f>10%+3%*(A12-1)</x:f>
        <x:v>0.16</x:v>
      </x:c>
      <x:c r="J12" s="516" t="n">
        <x:f>A12+1</x:f>
        <x:v>4</x:v>
      </x:c>
      <x:c r="K12" s="520" t="n">
        <x:f>100%+15%*(A12-1)</x:f>
        <x:v>1.3</x:v>
      </x:c>
      <x:c r="L12" s="517" t="n">
        <x:f>('LevelUpCard'!H10+0.35*(A12-1))*3</x:f>
        <x:v>7.5</x:v>
      </x:c>
      <x:c r="M12" s="521" t="n">
        <x:f>MIN(3,A12)*$B$8</x:f>
        <x:v>0.30000000000000004</x:v>
      </x:c>
      <x:c r="N12" s="409" t="n">
        <x:f>'LevelUpCard'!$H$14+10%*(A12-1)</x:f>
        <x:v>0.55</x:v>
      </x:c>
      <x:c r="O12" s="409" t="n">
        <x:f>1.2+0.15*(A12-1)</x:f>
        <x:v>1.5</x:v>
      </x:c>
      <x:c r="P12" s="412" t="n">
        <x:f>6-0.5*(A12-1)</x:f>
        <x:v>5</x:v>
      </x:c>
    </x:row>
    <x:row r="13" ht="28" customHeight="1">
      <x:c r="A13" s="445" t="n">
        <x:v>4</x:v>
      </x:c>
      <x:c r="B13" s="445" t="n">
        <x:f>A13</x:f>
        <x:v>4</x:v>
      </x:c>
      <x:c r="C13" s="446" t="n">
        <x:f>$B$5</x:f>
        <x:v>2</x:v>
      </x:c>
      <x:c r="D13" s="446" t="n">
        <x:f>1+C13</x:f>
        <x:v>3</x:v>
      </x:c>
      <x:c r="E13" s="445" t="n">
        <x:f>2*A13+1</x:f>
        <x:v>9</x:v>
      </x:c>
      <x:c r="F13" s="447" t="n">
        <x:f>1+$B$4</x:f>
        <x:v>1.75</x:v>
      </x:c>
      <x:c r="G13" s="447" t="n">
        <x:f>$B$4</x:f>
        <x:v>0.75</x:v>
      </x:c>
      <x:c r="H13" s="447" t="n">
        <x:f>MIN(3,A13)*$B$6*$B$7</x:f>
        <x:v>0.30000000000000004</x:v>
      </x:c>
      <x:c r="I13" s="448" t="n">
        <x:f>10%+3%*(A13-1)</x:f>
        <x:v>0.19</x:v>
      </x:c>
      <x:c r="J13" s="445" t="n">
        <x:f>A13+1</x:f>
        <x:v>5</x:v>
      </x:c>
      <x:c r="K13" s="449" t="n">
        <x:f>100%+15%*(A13-1)</x:f>
        <x:v>1.45</x:v>
      </x:c>
      <x:c r="L13" s="446" t="n">
        <x:f>('LevelUpCard'!H10+0.35*(A13-1))*3</x:f>
        <x:v>8.549999999999999</x:v>
      </x:c>
      <x:c r="M13" s="451" t="n">
        <x:f>MIN(3,A13)*$B$8</x:f>
        <x:v>0.30000000000000004</x:v>
      </x:c>
      <x:c r="N13" s="409" t="n">
        <x:f>'LevelUpCard'!$H$14+10%*(A13-1)</x:f>
        <x:v>0.65</x:v>
      </x:c>
      <x:c r="O13" s="409" t="n">
        <x:f>1.2+0.15*(A13-1)</x:f>
        <x:v>1.65</x:v>
      </x:c>
      <x:c r="P13" s="412" t="n">
        <x:f>6-0.5*(A13-1)</x:f>
        <x:v>4.5</x:v>
      </x:c>
    </x:row>
    <x:row r="14" ht="28" customHeight="1">
      <x:c r="A14" s="516" t="n">
        <x:v>5</x:v>
      </x:c>
      <x:c r="B14" s="516" t="n">
        <x:f>A14</x:f>
        <x:v>5</x:v>
      </x:c>
      <x:c r="C14" s="517" t="n">
        <x:f>$B$5</x:f>
        <x:v>2</x:v>
      </x:c>
      <x:c r="D14" s="517" t="n">
        <x:f>1+C14</x:f>
        <x:v>3</x:v>
      </x:c>
      <x:c r="E14" s="516" t="n">
        <x:f>2*A14+1</x:f>
        <x:v>11</x:v>
      </x:c>
      <x:c r="F14" s="518" t="n">
        <x:f>1+$B$4</x:f>
        <x:v>1.75</x:v>
      </x:c>
      <x:c r="G14" s="518" t="n">
        <x:f>$B$4</x:f>
        <x:v>0.75</x:v>
      </x:c>
      <x:c r="H14" s="518" t="n">
        <x:f>MIN(3,A14)*$B$6*$B$7</x:f>
        <x:v>0.30000000000000004</x:v>
      </x:c>
      <x:c r="I14" s="519" t="n">
        <x:f>10%+3%*(A14-1)</x:f>
        <x:v>0.22</x:v>
      </x:c>
      <x:c r="J14" s="516" t="n">
        <x:f>A14+1</x:f>
        <x:v>6</x:v>
      </x:c>
      <x:c r="K14" s="520" t="n">
        <x:f>100%+15%*(A14-1)</x:f>
        <x:v>1.6</x:v>
      </x:c>
      <x:c r="L14" s="517" t="n">
        <x:f>('LevelUpCard'!H10+0.35*(A14-1))*3</x:f>
        <x:v>9.600000000000001</x:v>
      </x:c>
      <x:c r="M14" s="521" t="n">
        <x:f>MIN(3,A14)*$B$8</x:f>
        <x:v>0.30000000000000004</x:v>
      </x:c>
      <x:c r="N14" s="409" t="n">
        <x:f>'LevelUpCard'!$H$14+10%*(A14-1)</x:f>
        <x:v>0.75</x:v>
      </x:c>
      <x:c r="O14" s="409" t="n">
        <x:f>1.2+0.15*(A14-1)</x:f>
        <x:v>1.7999999999999998</x:v>
      </x:c>
      <x:c r="P14" s="412" t="n">
        <x:f>6-0.5*(A14-1)</x:f>
        <x:v>4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</x:row>
    <x:row r="16" ht="90" customHeight="1">
      <x:c r="A16" s="522" t="str">
        <x:v>관통: 0.4초 판정창에서 추가 관통 누적 C≤L. 절단: 실제 관통 0.3초 뒤 선분에 2A_side 피해. 흡혈: 처치 시 5%, 회복 2L. 이동 참격: p=10%+3%(L-1), H=L+1, S=1+15%(L-1), D=6+1.5(L-1), M=1.8+0.35(L-1). 방패 우회: 정면 반동에만 10%×L. 오물 투척: 틱 M=0.35+0.1(L-1), 반경 R=1.2+0.15(L-1), 재사용 C=6-0.5(L-1), 3초 동안 0.5초마다 총 6틱.</x:v>
      </x:c>
      <x:c r="B16" s="522"/>
      <x:c r="C16" s="522"/>
      <x:c r="D16" s="522"/>
      <x:c r="E16" s="522"/>
      <x:c r="F16" s="522"/>
      <x:c r="G16" s="522"/>
      <x:c r="H16" s="522"/>
      <x:c r="I16" s="522"/>
      <x:c r="J16" s="522"/>
      <x:c r="K16" s="522"/>
      <x:c r="L16" s="522"/>
      <x:c r="M16" s="523"/>
    </x:row>
    <x:row r="17" ht="22" customHeight="1">
      <x:c r="A17" s="411"/>
      <x:c r="B17" s="411"/>
      <x:c r="C17" s="411"/>
      <x:c r="D17" s="411"/>
      <x:c r="E17" s="411"/>
      <x:c r="F17" s="411"/>
      <x:c r="G17" s="411"/>
      <x:c r="H17" s="411"/>
      <x:c r="I17" s="411"/>
      <x:c r="J17" s="411"/>
      <x:c r="K17" s="411"/>
      <x:c r="L17" s="411"/>
      <x:c r="M17" s="411"/>
    </x:row>
    <x:row r="18" ht="22" customHeight="1">
      <x:c r="A18" s="411"/>
      <x:c r="B18" s="411"/>
      <x:c r="C18" s="411"/>
      <x:c r="D18" s="411"/>
      <x:c r="E18" s="411"/>
      <x:c r="F18" s="411"/>
      <x:c r="G18" s="411"/>
      <x:c r="H18" s="411"/>
      <x:c r="I18" s="411"/>
      <x:c r="J18" s="411"/>
      <x:c r="K18" s="411"/>
      <x:c r="L18" s="411"/>
      <x:c r="M18" s="411"/>
    </x:row>
  </x:sheetData>
  <x:mergeCells>
    <x:mergeCell ref="A1:P1"/>
    <x:mergeCell ref="A16:P16"/>
  </x:mergeCells>
  <x:pageMargins left="0.7" right="0.7" top="0.75" bottom="0.75" header="0.3" footer="0.3"/>
  <x:tableParts count="1">
    <x:tablePart xmlns:r="http://schemas.openxmlformats.org/officeDocument/2006/relationships" r:id="Rf53402e2451644f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8" hidden="0" customWidth="1"/>
    <x:col min="4" max="4" width="19" hidden="0" customWidth="1"/>
    <x:col min="5" max="5" width="5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6" customHeight="1">
      <x:c r="A1" s="499" t="str">
        <x:v>SimpleGame 10분 밸런스 요약</x:v>
      </x:c>
      <x:c r="B1" s="499"/>
      <x:c r="C1" s="499"/>
      <x:c r="D1" s="499"/>
      <x:c r="E1" s="499"/>
      <x:c r="F1" s="290"/>
      <x:c r="G1" s="290"/>
      <x:c r="H1" s="290"/>
      <x:c r="I1" s="290"/>
      <x:c r="J1" s="290"/>
      <x:c r="K1" s="290"/>
      <x:c r="L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326" t="str">
        <x:v>핵심 지표</x:v>
      </x:c>
      <x:c r="B3" s="328" t="str">
        <x:v>값</x:v>
      </x:c>
      <x:c r="C3" s="45"/>
      <x:c r="D3" s="326" t="str">
        <x:v>핵심 수학 모델</x:v>
      </x:c>
      <x:c r="E3" s="327"/>
      <x:c r="F3" s="327"/>
      <x:c r="G3" s="327" t="str">
        <x:v>3차 핵심 규칙</x:v>
      </x:c>
      <x:c r="H3" s="327" t="str">
        <x:v>설계값</x:v>
      </x:c>
      <x:c r="I3" s="327"/>
      <x:c r="J3" s="327"/>
      <x:c r="K3" s="327"/>
      <x:c r="L3" s="328"/>
    </x:row>
    <x:row r="4" ht="40" customHeight="1">
      <x:c r="A4" s="393" t="str">
        <x:v>플레이 시간(초)</x:v>
      </x:c>
      <x:c r="B4" s="394" t="n">
        <x:f>600</x:f>
        <x:v>600</x:v>
      </x:c>
      <x:c r="C4" s="45"/>
      <x:c r="D4" s="143" t="str">
        <x:v>플레이어 공격력</x:v>
      </x:c>
      <x:c r="E4" s="419" t="str">
        <x:v>A(P)=기본 공격력+성장률×(√(P-1)+0.18(P-1))</x:v>
      </x:c>
      <x:c r="F4" s="396"/>
      <x:c r="G4" s="396" t="str">
        <x:v>보스 순서</x:v>
      </x:c>
      <x:c r="H4" s="396" t="str">
        <x:v>고블린→머쉬룸→플라잉 아이→스켈레톤</x:v>
      </x:c>
      <x:c r="I4" s="396"/>
      <x:c r="J4" s="396"/>
      <x:c r="K4" s="396"/>
      <x:c r="L4" s="396"/>
    </x:row>
    <x:row r="5" ht="40" customHeight="1">
      <x:c r="A5" s="397" t="str">
        <x:v>총 스폰 수</x:v>
      </x:c>
      <x:c r="B5" s="398" t="n">
        <x:f>COUNTA('StageSpawn'!$A$2:$A$3284)</x:f>
        <x:v>3283</x:v>
      </x:c>
      <x:c r="C5" s="45"/>
      <x:c r="D5" s="143" t="str">
        <x:v>적 체력</x:v>
      </x:c>
      <x:c r="E5" s="419" t="str">
        <x:v>H(E,W)=[기본 체력+성장률×(√n+0.18n)]×G(W)</x:v>
      </x:c>
      <x:c r="F5" s="396"/>
      <x:c r="G5" s="396" t="str">
        <x:v>보스 패턴</x:v>
      </x:c>
      <x:c r="H5" s="396" t="str">
        <x:v>Attack1/Attack2 확정 교대</x:v>
      </x:c>
      <x:c r="I5" s="396"/>
      <x:c r="J5" s="396"/>
      <x:c r="K5" s="396"/>
      <x:c r="L5" s="396"/>
    </x:row>
    <x:row r="6" ht="40" customHeight="1">
      <x:c r="A6" s="397" t="str">
        <x:v>총 획득 가능 경험치</x:v>
      </x:c>
      <x:c r="B6" s="398" t="n">
        <x:f>MAX('WavePlan'!$I$6:$I$65)</x:f>
        <x:v>3898</x:v>
      </x:c>
      <x:c r="C6" s="45"/>
      <x:c r="D6" s="143" t="str">
        <x:v>적 공격력</x:v>
      </x:c>
      <x:c r="E6" s="419" t="str">
        <x:v>D(E)=min(8,ceil(기본 피해+0.45√(E-1)))</x:v>
      </x:c>
      <x:c r="F6" s="396"/>
      <x:c r="G6" s="396" t="str">
        <x:v>비행형 겹침</x:v>
      </x:c>
      <x:c r="H6" s="396" t="str">
        <x:v>Flying Eye 일반·보스 모두 허용</x:v>
      </x:c>
      <x:c r="I6" s="396"/>
      <x:c r="J6" s="396"/>
      <x:c r="K6" s="396"/>
      <x:c r="L6" s="396"/>
    </x:row>
    <x:row r="7" ht="40" customHeight="1">
      <x:c r="A7" s="397" t="str">
        <x:v>예상 최종 플레이어 레벨</x:v>
      </x:c>
      <x:c r="B7" s="398" t="n">
        <x:f>MAX('WavePlan'!$J$6:$J$65)</x:f>
        <x:v>50</x:v>
      </x:c>
      <x:c r="C7" s="45"/>
      <x:c r="D7" s="143" t="str">
        <x:v>필요 경험치</x:v>
      </x:c>
      <x:c r="E7" s="419" t="str">
        <x:v>R(L)=6+2L+floor(0.025(L-1)^2), 50레벨=0</x:v>
      </x:c>
      <x:c r="F7" s="396"/>
      <x:c r="G7" s="396" t="str">
        <x:v>오물 투척</x:v>
      </x:c>
      <x:c r="H7" s="396" t="str">
        <x:v>3초 / 0.5초 6틱 / 반경 1.2~1.8</x:v>
      </x:c>
      <x:c r="I7" s="396"/>
      <x:c r="J7" s="396"/>
      <x:c r="K7" s="396"/>
      <x:c r="L7" s="396"/>
    </x:row>
    <x:row r="8" ht="40" customHeight="1">
      <x:c r="A8" s="397" t="str">
        <x:v>획득 가능한 카드 레벨 합계</x:v>
      </x:c>
      <x:c r="B8" s="398" t="n">
        <x:f>43</x:f>
        <x:v>43</x:v>
      </x:c>
      <x:c r="C8" s="45"/>
      <x:c r="D8" s="143" t="str">
        <x:v>10분 적 수</x:v>
      </x:c>
      <x:c r="E8" s="419" t="str">
        <x:v>1~4웨이브 4·5·6·7, 이후 9+1.05n+0.018n²</x:v>
      </x:c>
      <x:c r="F8" s="396"/>
      <x:c r="G8" s="396"/>
      <x:c r="H8" s="396"/>
      <x:c r="I8" s="396"/>
      <x:c r="J8" s="396"/>
      <x:c r="K8" s="396"/>
      <x:c r="L8" s="396"/>
    </x:row>
    <x:row r="9" ht="28" customHeight="1">
      <x:c r="A9" s="397" t="str">
        <x:v>최대 평균 레벨 차이</x:v>
      </x:c>
      <x:c r="B9" s="399" t="n">
        <x:f>MAX('WavePlan'!$N$6:$N$65)</x:f>
        <x:v>2</x:v>
      </x:c>
      <x:c r="C9" s="45"/>
      <x:c r="D9" s="143" t="str">
        <x:v>관통</x:v>
      </x:c>
      <x:c r="E9" s="419" t="str">
        <x:v>0.4초 판정창 내 추가 관통 누적 C≤카드 레벨 L</x:v>
      </x:c>
      <x:c r="F9" s="396"/>
      <x:c r="G9" s="396"/>
      <x:c r="H9" s="396"/>
      <x:c r="I9" s="396"/>
      <x:c r="J9" s="396"/>
      <x:c r="K9" s="396"/>
      <x:c r="L9" s="396"/>
    </x:row>
    <x:row r="10" ht="28" customHeight="1">
      <x:c r="A10" s="397" t="str">
        <x:v>보스 수</x:v>
      </x:c>
      <x:c r="B10" s="398" t="n">
        <x:f>COUNTIF('StageSpawn'!$F$2:$F$3284,"GoblinBoss")+COUNTIF('StageSpawn'!$F$2:$F$3284,"MushroomBoss")+COUNTIF('StageSpawn'!$F$2:$F$3284,"FlyingEyeBoss")+COUNTIF('StageSpawn'!$F$2:$F$3284,"SkeletonBoss")</x:f>
        <x:v>4</x:v>
      </x:c>
      <x:c r="C10" s="45"/>
      <x:c r="D10" s="143" t="str">
        <x:v>정전기</x:v>
      </x:c>
      <x:c r="E10" s="419" t="str">
        <x:v>주 대상=기본+0.75A_side, 주변=0.75A_side, 수=2L+1</x:v>
      </x:c>
      <x:c r="F10" s="396"/>
      <x:c r="G10" s="396"/>
      <x:c r="H10" s="396"/>
      <x:c r="I10" s="396"/>
      <x:c r="J10" s="396"/>
      <x:c r="K10" s="396"/>
      <x:c r="L10" s="396"/>
    </x:row>
    <x:row r="11" ht="28" customHeight="1">
      <x:c r="A11" s="45"/>
      <x:c r="B11" s="45"/>
      <x:c r="C11" s="45"/>
      <x:c r="D11" s="143" t="str">
        <x:v>절단</x:v>
      </x:c>
      <x:c r="E11" s="419" t="str">
        <x:v>실제 관통당 1개·지연 0.3초·재사용 0.1초·cutting 검은 선분 피해 2A_side</x:v>
      </x:c>
      <x:c r="F11" s="396"/>
      <x:c r="G11" s="396"/>
      <x:c r="H11" s="396"/>
      <x:c r="I11" s="396"/>
      <x:c r="J11" s="396"/>
      <x:c r="K11" s="396"/>
      <x:c r="L11" s="396"/>
    </x:row>
    <x:row r="12">
      <x:c r="A12" s="45"/>
      <x:c r="B12" s="45"/>
      <x:c r="C12" s="45"/>
      <x:c r="D12" s="45" t="str">
        <x:v>방패 우회</x:v>
      </x:c>
      <x:c r="E12" s="80" t="str">
        <x:v>확률=min(30%,10%×L), 방패 반동에만 적용</x:v>
      </x:c>
      <x:c r="F12" s="45"/>
      <x:c r="G12" s="45"/>
      <x:c r="H12" s="45"/>
      <x:c r="I12" s="45"/>
      <x:c r="J12" s="45"/>
      <x:c r="K12" s="45"/>
      <x:c r="L12" s="45"/>
    </x:row>
    <x:row r="13">
      <x:c r="A13" s="326" t="str">
        <x:v>시간</x:v>
      </x:c>
      <x:c r="B13" s="327" t="str">
        <x:v>1분간 적 수</x:v>
      </x:c>
      <x:c r="C13" s="328" t="str">
        <x:v>구간 끝 평균 적 레벨</x:v>
      </x:c>
      <x:c r="D13" s="502" t="str">
        <x:v>체력 관문 시작</x:v>
      </x:c>
      <x:c r="E13" s="502" t="str">
        <x:v>관문 배율 G(W)</x:v>
      </x:c>
      <x:c r="F13" s="45"/>
      <x:c r="G13" s="45"/>
      <x:c r="H13" s="45"/>
      <x:c r="I13" s="45"/>
      <x:c r="J13" s="45"/>
      <x:c r="K13" s="45"/>
      <x:c r="L13" s="45"/>
    </x:row>
    <x:row r="14">
      <x:c r="A14" s="45" t="str">
        <x:v>1분</x:v>
      </x:c>
      <x:c r="B14" s="45" t="n">
        <x:f>COUNTIFS('StageSpawn'!$C$2:$C$3284,"&gt;=0",'StageSpawn'!$C$2:$C$3284,"&lt;60")</x:f>
        <x:v>43</x:v>
      </x:c>
      <x:c r="C14" s="53" t="n">
        <x:f>'WavePlan'!M11</x:f>
        <x:v>5.2</x:v>
      </x:c>
      <x:c r="D14" s="45" t="str">
        <x:v>WAVE_05</x:v>
      </x:c>
      <x:c r="E14" s="503" t="n">
        <x:v>1.2</x:v>
      </x:c>
      <x:c r="F14" s="45"/>
      <x:c r="G14" s="45"/>
      <x:c r="H14" s="45"/>
      <x:c r="I14" s="45"/>
      <x:c r="J14" s="45"/>
      <x:c r="K14" s="45"/>
      <x:c r="L14" s="45"/>
    </x:row>
    <x:row r="15">
      <x:c r="A15" s="45" t="str">
        <x:v>2분</x:v>
      </x:c>
      <x:c r="B15" s="45" t="n">
        <x:f>COUNTIFS('StageSpawn'!$C$2:$C$3284,"&gt;=60",'StageSpawn'!$C$2:$C$3284,"&lt;120")</x:f>
        <x:v>92</x:v>
      </x:c>
      <x:c r="C15" s="53" t="n">
        <x:f>'WavePlan'!M17</x:f>
        <x:v>10.4</x:v>
      </x:c>
      <x:c r="D15" s="45" t="str">
        <x:v>WAVE_08</x:v>
      </x:c>
      <x:c r="E15" s="503" t="n">
        <x:v>1.5</x:v>
      </x:c>
      <x:c r="F15" s="45"/>
      <x:c r="G15" s="45"/>
      <x:c r="H15" s="45"/>
      <x:c r="I15" s="45"/>
      <x:c r="J15" s="45"/>
      <x:c r="K15" s="45"/>
      <x:c r="L15" s="45"/>
    </x:row>
    <x:row r="16">
      <x:c r="A16" s="45" t="str">
        <x:v>3분</x:v>
      </x:c>
      <x:c r="B16" s="45" t="n">
        <x:f>COUNTIFS('StageSpawn'!$C$2:$C$3284,"&gt;=120",'StageSpawn'!$C$2:$C$3284,"&lt;180")</x:f>
        <x:v>141</x:v>
      </x:c>
      <x:c r="C16" s="53" t="n">
        <x:f>'WavePlan'!M23</x:f>
        <x:v>14.6</x:v>
      </x:c>
      <x:c r="D16" s="45" t="str">
        <x:v>WAVE_12</x:v>
      </x:c>
      <x:c r="E16" s="503" t="n">
        <x:v>1.9</x:v>
      </x:c>
      <x:c r="F16" s="45"/>
      <x:c r="G16" s="45"/>
      <x:c r="H16" s="45"/>
      <x:c r="I16" s="45"/>
      <x:c r="J16" s="45"/>
      <x:c r="K16" s="45"/>
      <x:c r="L16" s="45"/>
    </x:row>
    <x:row r="17">
      <x:c r="A17" s="45" t="str">
        <x:v>4분</x:v>
      </x:c>
      <x:c r="B17" s="45" t="n">
        <x:f>COUNTIFS('StageSpawn'!$C$2:$C$3284,"&gt;=180",'StageSpawn'!$C$2:$C$3284,"&lt;240")</x:f>
        <x:v>197</x:v>
      </x:c>
      <x:c r="C17" s="53" t="n">
        <x:f>'WavePlan'!M29</x:f>
        <x:v>19.8</x:v>
      </x:c>
      <x:c r="D17" s="45" t="str">
        <x:v>WAVE_16</x:v>
      </x:c>
      <x:c r="E17" s="503" t="n">
        <x:v>2.4</x:v>
      </x:c>
      <x:c r="F17" s="45"/>
      <x:c r="G17" s="45"/>
      <x:c r="H17" s="45"/>
      <x:c r="I17" s="45"/>
      <x:c r="J17" s="45"/>
      <x:c r="K17" s="45"/>
      <x:c r="L17" s="45"/>
    </x:row>
    <x:row r="18">
      <x:c r="A18" s="45" t="str">
        <x:v>5분</x:v>
      </x:c>
      <x:c r="B18" s="45" t="n">
        <x:f>COUNTIFS('StageSpawn'!$C$2:$C$3284,"&gt;=240",'StageSpawn'!$C$2:$C$3284,"&lt;300")</x:f>
        <x:v>263</x:v>
      </x:c>
      <x:c r="C18" s="53" t="n">
        <x:f>'WavePlan'!M35</x:f>
        <x:v>25</x:v>
      </x:c>
      <x:c r="D18" s="45" t="str">
        <x:v>WAVE_20</x:v>
      </x:c>
      <x:c r="E18" s="503" t="n">
        <x:v>3</x:v>
      </x:c>
      <x:c r="F18" s="45"/>
      <x:c r="G18" s="45"/>
      <x:c r="H18" s="45"/>
      <x:c r="I18" s="45"/>
      <x:c r="J18" s="45"/>
      <x:c r="K18" s="45"/>
      <x:c r="L18" s="45"/>
    </x:row>
    <x:row r="19">
      <x:c r="A19" s="45" t="str">
        <x:v>6분</x:v>
      </x:c>
      <x:c r="B19" s="45" t="n">
        <x:f>COUNTIFS('StageSpawn'!$C$2:$C$3284,"&gt;=300",'StageSpawn'!$C$2:$C$3284,"&lt;360")</x:f>
        <x:v>335</x:v>
      </x:c>
      <x:c r="C19" s="53" t="n">
        <x:f>'WavePlan'!M41</x:f>
        <x:v>30.2</x:v>
      </x:c>
      <x:c r="D19" s="45" t="str">
        <x:v>WAVE_24</x:v>
      </x:c>
      <x:c r="E19" s="503" t="n">
        <x:v>3.8</x:v>
      </x:c>
      <x:c r="F19" s="45"/>
      <x:c r="G19" s="45"/>
      <x:c r="H19" s="45"/>
      <x:c r="I19" s="45"/>
      <x:c r="J19" s="45"/>
      <x:c r="K19" s="45"/>
      <x:c r="L19" s="45"/>
    </x:row>
    <x:row r="20">
      <x:c r="A20" s="45" t="str">
        <x:v>7분</x:v>
      </x:c>
      <x:c r="B20" s="45" t="n">
        <x:f>COUNTIFS('StageSpawn'!$C$2:$C$3284,"&gt;=360",'StageSpawn'!$C$2:$C$3284,"&lt;420")</x:f>
        <x:v>414</x:v>
      </x:c>
      <x:c r="C20" s="53" t="n">
        <x:f>'WavePlan'!M47</x:f>
        <x:v>35.4</x:v>
      </x:c>
      <x:c r="D20" s="45" t="str">
        <x:v>WAVE_32</x:v>
      </x:c>
      <x:c r="E20" s="503" t="n">
        <x:v>4.8</x:v>
      </x:c>
      <x:c r="F20" s="45"/>
      <x:c r="G20" s="45"/>
      <x:c r="H20" s="45"/>
      <x:c r="I20" s="45"/>
      <x:c r="J20" s="45"/>
      <x:c r="K20" s="45"/>
      <x:c r="L20" s="45"/>
    </x:row>
    <x:row r="21">
      <x:c r="A21" s="45" t="str">
        <x:v>8분</x:v>
      </x:c>
      <x:c r="B21" s="45" t="n">
        <x:f>COUNTIFS('StageSpawn'!$C$2:$C$3284,"&gt;=420",'StageSpawn'!$C$2:$C$3284,"&lt;480")</x:f>
        <x:v>501</x:v>
      </x:c>
      <x:c r="C21" s="53" t="n">
        <x:f>'WavePlan'!M53</x:f>
        <x:v>40.6</x:v>
      </x:c>
      <x:c r="D21" s="45" t="str">
        <x:v>WAVE_40</x:v>
      </x:c>
      <x:c r="E21" s="503" t="n">
        <x:v>6</x:v>
      </x:c>
      <x:c r="F21" s="45"/>
      <x:c r="G21" s="45"/>
      <x:c r="H21" s="45"/>
      <x:c r="I21" s="45"/>
      <x:c r="J21" s="45"/>
      <x:c r="K21" s="45"/>
      <x:c r="L21" s="45"/>
    </x:row>
    <x:row r="22">
      <x:c r="A22" s="45" t="str">
        <x:v>9분</x:v>
      </x:c>
      <x:c r="B22" s="45" t="n">
        <x:f>COUNTIFS('StageSpawn'!$C$2:$C$3284,"&gt;=480",'StageSpawn'!$C$2:$C$3284,"&lt;540")</x:f>
        <x:v>598</x:v>
      </x:c>
      <x:c r="C22" s="53" t="n">
        <x:f>'WavePlan'!M59</x:f>
        <x:v>45.8</x:v>
      </x:c>
      <x:c r="D22" s="45" t="str">
        <x:v>WAVE_48</x:v>
      </x:c>
      <x:c r="E22" s="503" t="n">
        <x:v>7.5</x:v>
      </x:c>
      <x:c r="F22" s="45"/>
      <x:c r="G22" s="45"/>
      <x:c r="H22" s="45"/>
      <x:c r="I22" s="45"/>
      <x:c r="J22" s="45"/>
      <x:c r="K22" s="45"/>
      <x:c r="L22" s="45"/>
    </x:row>
    <x:row r="23">
      <x:c r="A23" s="45" t="str">
        <x:v>10분</x:v>
      </x:c>
      <x:c r="B23" s="45" t="n">
        <x:f>COUNTIFS('StageSpawn'!$C$2:$C$3284,"&gt;=540",'StageSpawn'!$C$2:$C$3284,"&lt;600")</x:f>
        <x:v>699</x:v>
      </x:c>
      <x:c r="C23" s="53" t="n">
        <x:f>'WavePlan'!M65</x:f>
        <x:v>52</x:v>
      </x:c>
      <x:c r="D23" s="45" t="str">
        <x:v>WAVE_56</x:v>
      </x:c>
      <x:c r="E23" s="503" t="n">
        <x:v>9.5</x:v>
      </x:c>
      <x:c r="F23" s="45"/>
      <x:c r="G23" s="45"/>
      <x:c r="H23" s="45"/>
      <x:c r="I23" s="45"/>
      <x:c r="J23" s="45"/>
      <x:c r="K23" s="45"/>
      <x:c r="L23" s="45"/>
    </x:row>
    <x:row r="24">
      <x:c r="A24" s="45"/>
      <x:c r="B24" s="45"/>
      <x:c r="C24" s="53"/>
      <x:c r="D24" s="45"/>
      <x:c r="E24" s="45"/>
      <x:c r="F24" s="45"/>
      <x:c r="G24" s="45"/>
      <x:c r="H24" s="45"/>
      <x:c r="I24" s="45"/>
      <x:c r="J24" s="45"/>
      <x:c r="K24" s="45"/>
      <x:c r="L24" s="45"/>
    </x:row>
    <x:row r="25">
      <x:c r="A25" s="45"/>
      <x:c r="B25" s="45"/>
      <x:c r="C25" s="53"/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</x:row>
    <x:row r="27" ht="64" customHeight="1">
      <x:c r="A27" s="420" t="str">
        <x:v>3차 규칙: 보스는 WAVE_12/24/36/60에 고블린·머쉬룸·플라잉 아이·스켈레톤 순으로 1회씩 등장하고 두 공격을 교대합니다. 스켈레톤 보스는 Boss AI를 유지하면서 정면 공격만 방패로 막습니다. Flying Eye 일반형은 WAVE_25부터 고블린 근접 일부를 대체하며 모든 적과 겹칠 수 있습니다. 오물 투척은 화면 안 무작위 지점에 3초 장판을 생성해 0.5초마다 0.35~0.75배 피해를 줍니다.</x:v>
      </x:c>
      <x:c r="B27" s="421"/>
      <x:c r="C27" s="421"/>
      <x:c r="D27" s="421"/>
      <x:c r="E27" s="421"/>
      <x:c r="F27" s="149"/>
      <x:c r="G27" s="149"/>
      <x:c r="H27" s="149"/>
      <x:c r="I27" s="149"/>
      <x:c r="J27" s="149"/>
      <x:c r="K27" s="149"/>
      <x:c r="L27" s="150"/>
    </x:row>
    <x:row r="28">
      <x:c r="A28" s="151"/>
      <x:c r="B28" s="417"/>
      <x:c r="C28" s="417"/>
      <x:c r="D28" s="417"/>
      <x:c r="E28" s="417"/>
      <x:c r="F28" s="417"/>
      <x:c r="G28" s="417"/>
      <x:c r="H28" s="417"/>
      <x:c r="I28" s="417"/>
      <x:c r="J28" s="417"/>
      <x:c r="K28" s="417"/>
      <x:c r="L28" s="153"/>
    </x:row>
    <x:row r="29">
      <x:c r="A29" s="154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6"/>
    </x:row>
  </x:sheetData>
  <x:mergeCells>
    <x:mergeCell ref="D3:L3"/>
    <x:mergeCell ref="A1:E1"/>
    <x:mergeCell ref="A27:L29"/>
  </x:mergeCells>
  <x:pageMargins left="0.7" right="0.7" top="0.75" bottom="0.75" header="0.3" footer="0.3"/>
  <x:drawing xmlns:r="http://schemas.openxmlformats.org/officeDocument/2006/relationships" r:id="R26ef49113d964554"/>
</x:worksheet>
</file>