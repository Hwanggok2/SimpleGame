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33d23c7dd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0c4cd250ca444e"/>
    <x:sheet xmlns:r="http://schemas.openxmlformats.org/officeDocument/2006/relationships" name="EnemyBalance" sheetId="3" r:id="R3449bab6f80645d3"/>
    <x:sheet xmlns:r="http://schemas.openxmlformats.org/officeDocument/2006/relationships" name="StageSpawn" sheetId="2" r:id="Rd68c69f7f2dc41e9"/>
    <x:sheet xmlns:r="http://schemas.openxmlformats.org/officeDocument/2006/relationships" name="PlayerBalance" sheetId="8" r:id="Rfc72700e13894d10"/>
    <x:sheet xmlns:r="http://schemas.openxmlformats.org/officeDocument/2006/relationships" name="PlayerLevelExp" sheetId="4" r:id="R942d5c34b2284874"/>
    <x:sheet xmlns:r="http://schemas.openxmlformats.org/officeDocument/2006/relationships" name="AccountLevelExp" sheetId="5" r:id="R4a3d57ad20c14adf"/>
    <x:sheet xmlns:r="http://schemas.openxmlformats.org/officeDocument/2006/relationships" name="GlobalBalance" sheetId="6" r:id="Rd791ed27f2a9477c"/>
    <x:sheet xmlns:r="http://schemas.openxmlformats.org/officeDocument/2006/relationships" name="LevelUpCard" sheetId="7" r:id="R24ba59211aa44cbf"/>
    <x:sheet xmlns:r="http://schemas.openxmlformats.org/officeDocument/2006/relationships" name="WavePlan" sheetId="9" r:id="R5b8907075da64aa0"/>
    <x:sheet xmlns:r="http://schemas.openxmlformats.org/officeDocument/2006/relationships" name="CardMath" sheetId="10" r:id="Rbb2d7d7ff6274f86"/>
    <x:sheet xmlns:r="http://schemas.openxmlformats.org/officeDocument/2006/relationships" name="BalanceSummary" sheetId="11" r:id="R4e7e77138c4d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5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3316ae55f451f" /><Relationship Type="http://schemas.openxmlformats.org/officeDocument/2006/relationships/theme" Target="/xl/theme/theme1.xml" Id="R236981caec41466c" /><Relationship Type="http://schemas.microsoft.com/office/2022/11/relationships/FeaturePropertyBag" Target="/xl/featurePropertyBag/featurePropertyBag.xml" Id="R782406e6aa984012" /><Relationship Type="http://schemas.openxmlformats.org/officeDocument/2006/relationships/sharedStrings" Target="/xl/sharedStrings.xml" Id="Ra60774f3a9f44364" /><Relationship Type="http://schemas.openxmlformats.org/officeDocument/2006/relationships/worksheet" Target="/xl/worksheets/sheet1.xml" Id="Re60c4cd250ca444e" /><Relationship Type="http://schemas.openxmlformats.org/officeDocument/2006/relationships/worksheet" Target="/xl/worksheets/sheet2.xml" Id="R3449bab6f80645d3" /><Relationship Type="http://schemas.openxmlformats.org/officeDocument/2006/relationships/worksheet" Target="/xl/worksheets/sheet3.xml" Id="Rd68c69f7f2dc41e9" /><Relationship Type="http://schemas.openxmlformats.org/officeDocument/2006/relationships/worksheet" Target="/xl/worksheets/sheet4.xml" Id="Rfc72700e13894d10" /><Relationship Type="http://schemas.openxmlformats.org/officeDocument/2006/relationships/worksheet" Target="/xl/worksheets/sheet5.xml" Id="R942d5c34b2284874" /><Relationship Type="http://schemas.openxmlformats.org/officeDocument/2006/relationships/worksheet" Target="/xl/worksheets/sheet6.xml" Id="R4a3d57ad20c14adf" /><Relationship Type="http://schemas.openxmlformats.org/officeDocument/2006/relationships/worksheet" Target="/xl/worksheets/sheet7.xml" Id="Rd791ed27f2a9477c" /><Relationship Type="http://schemas.openxmlformats.org/officeDocument/2006/relationships/worksheet" Target="/xl/worksheets/sheet8.xml" Id="R24ba59211aa44cbf" /><Relationship Type="http://schemas.openxmlformats.org/officeDocument/2006/relationships/worksheet" Target="/xl/worksheets/sheet9.xml" Id="R5b8907075da64aa0" /><Relationship Type="http://schemas.openxmlformats.org/officeDocument/2006/relationships/worksheet" Target="/xl/worksheets/sheet10.xml" Id="Rbb2d7d7ff6274f86" /><Relationship Type="http://schemas.openxmlformats.org/officeDocument/2006/relationships/worksheet" Target="/xl/worksheets/sheet11.xml" Id="R4e7e77138c4d4f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397dae7c340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397dae7c3403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9" name="EnemyBalanceTable" displayName="EnemyBalanceTable" ref="A1:U5" headerRowCount="1" totalsRowCount="0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1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3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1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위치 규칙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2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550f46c3db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cf295d843a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314409307b4a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8d1077c94647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acb99ea30843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bf5dd8f2a243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2e25e9dd0842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f4bea007b94e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d021ebc9dc4c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a64cb70e8246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12종 / 한국어 이름·설명 / 이기어검 타격 수 선행 조건</x:v>
      </x:c>
      <x:c r="D16" s="80" t="str">
        <x:v>예</x:v>
      </x:c>
      <x:c r="E16" s="80" t="str">
        <x:v>예</x:v>
      </x:c>
      <x:c r="F16" s="80" t="str">
        <x:v>12행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511" t="str">
        <x:v>초반에는 스킬이 거의 없으므로 체력 관문을 5웨이브 1.2배, 8웨이브 1.5배로 약하게 시작합니다. 후반에는 누적된 카드 화력을 고려해 관문 증가폭을 점점 확대하고, 56웨이브부터 9.5배를 적용합니다. 적 수·경험치·공격력 상한 8은 기존 설계를 유지합니다.</x:v>
      </x:c>
      <x:c r="B21" s="512"/>
      <x:c r="C21" s="512"/>
      <x:c r="D21" s="512"/>
      <x:c r="E21" s="512"/>
      <x:c r="F21" s="513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1" t="n">
        <x:v>0.85</x:v>
      </x:c>
      <x:c r="Q2" s="45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1" t="n">
        <x:v>0.85</x:v>
      </x:c>
      <x:c r="Q3" s="45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1" t="n">
        <x:v>0.85</x:v>
      </x:c>
      <x:c r="Q4" s="45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1" t="n">
        <x:v>3.4</x:v>
      </x:c>
      <x:c r="Q5" s="45" t="n">
        <x:v>0</x:v>
      </x:c>
      <x:c r="R5" s="45" t="str">
        <x:v>Boss</x:v>
      </x:c>
      <x:c r="S5" s="46" t="b">
        <x:v>1</x:v>
      </x:c>
      <x:c r="T5" s="45"/>
      <x:c r="U5" s="45"/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550f46c3db48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GoblinBoss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cf295d843a41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5f314409307b4a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d1077c94647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acb99ea30843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fbf5dd8f2a243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0.5초 뒤 관통 시작 위치부터 현재 위치까지 검은 절단선을 만듭니다. 선은 0.1초 동안 사라지며 재사용 대기시간은 0.15초,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적에게 피해를 줄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참격을 생성합니다. 레벨마다 확률 3%, 관통 1명, 크기 10%가 증가합니다.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1.5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22e25e9dd0842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</x:f>
        <x:v>0</x:v>
      </x:c>
      <x:c r="H6" s="54" t="n">
        <x:f>D6*'EnemyBalance'!$M$2+E6*'EnemyBalance'!$M$3+F6*'EnemyBalance'!$M$4+G6*'EnemyBalance'!$M$5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</x:f>
        <x:v>0</x:v>
      </x:c>
      <x:c r="H7" s="54" t="n">
        <x:f>D7*'EnemyBalance'!$M$2+E7*'EnemyBalance'!$M$3+F7*'EnemyBalance'!$M$4+G7*'EnemyBalance'!$M$5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</x:f>
        <x:v>0</x:v>
      </x:c>
      <x:c r="H8" s="54" t="n">
        <x:f>D8*'EnemyBalance'!$M$2+E8*'EnemyBalance'!$M$3+F8*'EnemyBalance'!$M$4+G8*'EnemyBalance'!$M$5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</x:f>
        <x:v>0</x:v>
      </x:c>
      <x:c r="H9" s="54" t="n">
        <x:f>D9*'EnemyBalance'!$M$2+E9*'EnemyBalance'!$M$3+F9*'EnemyBalance'!$M$4+G9*'EnemyBalance'!$M$5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</x:f>
        <x:v>0</x:v>
      </x:c>
      <x:c r="H10" s="54" t="n">
        <x:f>D10*'EnemyBalance'!$M$2+E10*'EnemyBalance'!$M$3+F10*'EnemyBalance'!$M$4+G10*'EnemyBalance'!$M$5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</x:f>
        <x:v>0</x:v>
      </x:c>
      <x:c r="H11" s="54" t="n">
        <x:f>D11*'EnemyBalance'!$M$2+E11*'EnemyBalance'!$M$3+F11*'EnemyBalance'!$M$4+G11*'EnemyBalance'!$M$5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</x:f>
        <x:v>0</x:v>
      </x:c>
      <x:c r="H12" s="54" t="n">
        <x:f>D12*'EnemyBalance'!$M$2+E12*'EnemyBalance'!$M$3+F12*'EnemyBalance'!$M$4+G12*'EnemyBalance'!$M$5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</x:f>
        <x:v>0</x:v>
      </x:c>
      <x:c r="H13" s="54" t="n">
        <x:f>D13*'EnemyBalance'!$M$2+E13*'EnemyBalance'!$M$3+F13*'EnemyBalance'!$M$4+G13*'EnemyBalance'!$M$5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</x:f>
        <x:v>0</x:v>
      </x:c>
      <x:c r="H14" s="54" t="n">
        <x:f>D14*'EnemyBalance'!$M$2+E14*'EnemyBalance'!$M$3+F14*'EnemyBalance'!$M$4+G14*'EnemyBalance'!$M$5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</x:f>
        <x:v>0</x:v>
      </x:c>
      <x:c r="H15" s="54" t="n">
        <x:f>D15*'EnemyBalance'!$M$2+E15*'EnemyBalance'!$M$3+F15*'EnemyBalance'!$M$4+G15*'EnemyBalance'!$M$5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</x:f>
        <x:v>0</x:v>
      </x:c>
      <x:c r="H16" s="54" t="n">
        <x:f>D16*'EnemyBalance'!$M$2+E16*'EnemyBalance'!$M$3+F16*'EnemyBalance'!$M$4+G16*'EnemyBalance'!$M$5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</x:f>
        <x:v>1</x:v>
      </x:c>
      <x:c r="H17" s="54" t="n">
        <x:f>D17*'EnemyBalance'!$M$2+E17*'EnemyBalance'!$M$3+F17*'EnemyBalance'!$M$4+G17*'EnemyBalance'!$M$5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</x:f>
        <x:v>0</x:v>
      </x:c>
      <x:c r="H18" t="n">
        <x:f>D18*'EnemyBalance'!$M$2+E18*'EnemyBalance'!$M$3+F18*'EnemyBalance'!$M$4+G18*'EnemyBalance'!$M$5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</x:f>
        <x:v>0</x:v>
      </x:c>
      <x:c r="H19" t="n">
        <x:f>D19*'EnemyBalance'!$M$2+E19*'EnemyBalance'!$M$3+F19*'EnemyBalance'!$M$4+G19*'EnemyBalance'!$M$5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</x:f>
        <x:v>0</x:v>
      </x:c>
      <x:c r="H20" t="n">
        <x:f>D20*'EnemyBalance'!$M$2+E20*'EnemyBalance'!$M$3+F20*'EnemyBalance'!$M$4+G20*'EnemyBalance'!$M$5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</x:f>
        <x:v>0</x:v>
      </x:c>
      <x:c r="H21" t="n">
        <x:f>D21*'EnemyBalance'!$M$2+E21*'EnemyBalance'!$M$3+F21*'EnemyBalance'!$M$4+G21*'EnemyBalance'!$M$5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</x:f>
        <x:v>0</x:v>
      </x:c>
      <x:c r="H22" t="n">
        <x:f>D22*'EnemyBalance'!$M$2+E22*'EnemyBalance'!$M$3+F22*'EnemyBalance'!$M$4+G22*'EnemyBalance'!$M$5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</x:f>
        <x:v>0</x:v>
      </x:c>
      <x:c r="H23" t="n">
        <x:f>D23*'EnemyBalance'!$M$2+E23*'EnemyBalance'!$M$3+F23*'EnemyBalance'!$M$4+G23*'EnemyBalance'!$M$5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</x:f>
        <x:v>0</x:v>
      </x:c>
      <x:c r="H24" t="n">
        <x:f>D24*'EnemyBalance'!$M$2+E24*'EnemyBalance'!$M$3+F24*'EnemyBalance'!$M$4+G24*'EnemyBalance'!$M$5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</x:f>
        <x:v>0</x:v>
      </x:c>
      <x:c r="H25" t="n">
        <x:f>D25*'EnemyBalance'!$M$2+E25*'EnemyBalance'!$M$3+F25*'EnemyBalance'!$M$4+G25*'EnemyBalance'!$M$5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</x:f>
        <x:v>0</x:v>
      </x:c>
      <x:c r="H26" t="n">
        <x:f>D26*'EnemyBalance'!$M$2+E26*'EnemyBalance'!$M$3+F26*'EnemyBalance'!$M$4+G26*'EnemyBalance'!$M$5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</x:f>
        <x:v>0</x:v>
      </x:c>
      <x:c r="H27" t="n">
        <x:f>D27*'EnemyBalance'!$M$2+E27*'EnemyBalance'!$M$3+F27*'EnemyBalance'!$M$4+G27*'EnemyBalance'!$M$5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</x:f>
        <x:v>0</x:v>
      </x:c>
      <x:c r="H28" t="n">
        <x:f>D28*'EnemyBalance'!$M$2+E28*'EnemyBalance'!$M$3+F28*'EnemyBalance'!$M$4+G28*'EnemyBalance'!$M$5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</x:f>
        <x:v>1</x:v>
      </x:c>
      <x:c r="H29" t="n">
        <x:f>D29*'EnemyBalance'!$M$2+E29*'EnemyBalance'!$M$3+F29*'EnemyBalance'!$M$4+G29*'EnemyBalance'!$M$5</x:f>
        <x:v>47</x:v>
      </x:c>
      <x:c r="I29" t="n">
        <x:f>SUM($H$6:H29)</x:f>
        <x:v>522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</x:f>
        <x:v>0</x:v>
      </x:c>
      <x:c r="H30" t="n">
        <x:f>D30*'EnemyBalance'!$M$2+E30*'EnemyBalance'!$M$3+F30*'EnemyBalance'!$M$4+G30*'EnemyBalance'!$M$5</x:f>
        <x:v>43</x:v>
      </x:c>
      <x:c r="I30" t="n">
        <x:f>SUM($H$6:H30)</x:f>
        <x:v>565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</x:f>
        <x:v>0</x:v>
      </x:c>
      <x:c r="H31" t="n">
        <x:f>D31*'EnemyBalance'!$M$2+E31*'EnemyBalance'!$M$3+F31*'EnemyBalance'!$M$4+G31*'EnemyBalance'!$M$5</x:f>
        <x:v>45</x:v>
      </x:c>
      <x:c r="I31" t="n">
        <x:f>SUM($H$6:H31)</x:f>
        <x:v>610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</x:f>
        <x:v>0</x:v>
      </x:c>
      <x:c r="H32" t="n">
        <x:f>D32*'EnemyBalance'!$M$2+E32*'EnemyBalance'!$M$3+F32*'EnemyBalance'!$M$4+G32*'EnemyBalance'!$M$5</x:f>
        <x:v>47</x:v>
      </x:c>
      <x:c r="I32" t="n">
        <x:f>SUM($H$6:H32)</x:f>
        <x:v>657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</x:f>
        <x:v>0</x:v>
      </x:c>
      <x:c r="H33" t="n">
        <x:f>D33*'EnemyBalance'!$M$2+E33*'EnemyBalance'!$M$3+F33*'EnemyBalance'!$M$4+G33*'EnemyBalance'!$M$5</x:f>
        <x:v>49</x:v>
      </x:c>
      <x:c r="I33" t="n">
        <x:f>SUM($H$6:H33)</x:f>
        <x:v>706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</x:f>
        <x:v>0</x:v>
      </x:c>
      <x:c r="H34" t="n">
        <x:f>D34*'EnemyBalance'!$M$2+E34*'EnemyBalance'!$M$3+F34*'EnemyBalance'!$M$4+G34*'EnemyBalance'!$M$5</x:f>
        <x:v>52</x:v>
      </x:c>
      <x:c r="I34" t="n">
        <x:f>SUM($H$6:H34)</x:f>
        <x:v>758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</x:f>
        <x:v>0</x:v>
      </x:c>
      <x:c r="H35" t="n">
        <x:f>D35*'EnemyBalance'!$M$2+E35*'EnemyBalance'!$M$3+F35*'EnemyBalance'!$M$4+G35*'EnemyBalance'!$M$5</x:f>
        <x:v>53</x:v>
      </x:c>
      <x:c r="I35" t="n">
        <x:f>SUM($H$6:H35)</x:f>
        <x:v>811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866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</x:f>
        <x:v>0</x:v>
      </x:c>
      <x:c r="H37" t="n">
        <x:f>D37*'EnemyBalance'!$M$2+E37*'EnemyBalance'!$M$3+F37*'EnemyBalance'!$M$4+G37*'EnemyBalance'!$M$5</x:f>
        <x:v>58</x:v>
      </x:c>
      <x:c r="I37" t="n">
        <x:f>SUM($H$6:H37)</x:f>
        <x:v>924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</x:f>
        <x:v>0</x:v>
      </x:c>
      <x:c r="H38" t="n">
        <x:f>D38*'EnemyBalance'!$M$2+E38*'EnemyBalance'!$M$3+F38*'EnemyBalance'!$M$4+G38*'EnemyBalance'!$M$5</x:f>
        <x:v>61</x:v>
      </x:c>
      <x:c r="I38" t="n">
        <x:f>SUM($H$6:H38)</x:f>
        <x:v>985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</x:f>
        <x:v>0</x:v>
      </x:c>
      <x:c r="H39" t="n">
        <x:f>D39*'EnemyBalance'!$M$2+E39*'EnemyBalance'!$M$3+F39*'EnemyBalance'!$M$4+G39*'EnemyBalance'!$M$5</x:f>
        <x:v>63</x:v>
      </x:c>
      <x:c r="I39" t="n">
        <x:f>SUM($H$6:H39)</x:f>
        <x:v>1048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</x:f>
        <x:v>0</x:v>
      </x:c>
      <x:c r="H40" t="n">
        <x:f>D40*'EnemyBalance'!$M$2+E40*'EnemyBalance'!$M$3+F40*'EnemyBalance'!$M$4+G40*'EnemyBalance'!$M$5</x:f>
        <x:v>65</x:v>
      </x:c>
      <x:c r="I40" t="n">
        <x:f>SUM($H$6:H40)</x:f>
        <x:v>1113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</x:f>
        <x:v>1</x:v>
      </x:c>
      <x:c r="H41" t="n">
        <x:f>D41*'EnemyBalance'!$M$2+E41*'EnemyBalance'!$M$3+F41*'EnemyBalance'!$M$4+G41*'EnemyBalance'!$M$5</x:f>
        <x:v>75</x:v>
      </x:c>
      <x:c r="I41" t="n">
        <x:f>SUM($H$6:H41)</x:f>
        <x:v>1188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</x:f>
        <x:v>0</x:v>
      </x:c>
      <x:c r="H42" t="n">
        <x:f>D42*'EnemyBalance'!$M$2+E42*'EnemyBalance'!$M$3+F42*'EnemyBalance'!$M$4+G42*'EnemyBalance'!$M$5</x:f>
        <x:v>70</x:v>
      </x:c>
      <x:c r="I42" t="n">
        <x:f>SUM($H$6:H42)</x:f>
        <x:v>1258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</x:f>
        <x:v>0</x:v>
      </x:c>
      <x:c r="H43" t="n">
        <x:f>D43*'EnemyBalance'!$M$2+E43*'EnemyBalance'!$M$3+F43*'EnemyBalance'!$M$4+G43*'EnemyBalance'!$M$5</x:f>
        <x:v>73</x:v>
      </x:c>
      <x:c r="I43" t="n">
        <x:f>SUM($H$6:H43)</x:f>
        <x:v>1331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</x:f>
        <x:v>0</x:v>
      </x:c>
      <x:c r="H44" t="n">
        <x:f>D44*'EnemyBalance'!$M$2+E44*'EnemyBalance'!$M$3+F44*'EnemyBalance'!$M$4+G44*'EnemyBalance'!$M$5</x:f>
        <x:v>76</x:v>
      </x:c>
      <x:c r="I44" t="n">
        <x:f>SUM($H$6:H44)</x:f>
        <x:v>1407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</x:f>
        <x:v>0</x:v>
      </x:c>
      <x:c r="H45" t="n">
        <x:f>D45*'EnemyBalance'!$M$2+E45*'EnemyBalance'!$M$3+F45*'EnemyBalance'!$M$4+G45*'EnemyBalance'!$M$5</x:f>
        <x:v>78</x:v>
      </x:c>
      <x:c r="I45" t="n">
        <x:f>SUM($H$6:H45)</x:f>
        <x:v>1485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</x:f>
        <x:v>0</x:v>
      </x:c>
      <x:c r="H46" t="n">
        <x:f>D46*'EnemyBalance'!$M$2+E46*'EnemyBalance'!$M$3+F46*'EnemyBalance'!$M$4+G46*'EnemyBalance'!$M$5</x:f>
        <x:v>80</x:v>
      </x:c>
      <x:c r="I46" t="n">
        <x:f>SUM($H$6:H46)</x:f>
        <x:v>1565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</x:f>
        <x:v>0</x:v>
      </x:c>
      <x:c r="H47" t="n">
        <x:f>D47*'EnemyBalance'!$M$2+E47*'EnemyBalance'!$M$3+F47*'EnemyBalance'!$M$4+G47*'EnemyBalance'!$M$5</x:f>
        <x:v>84</x:v>
      </x:c>
      <x:c r="I47" t="n">
        <x:f>SUM($H$6:H47)</x:f>
        <x:v>1649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</x:f>
        <x:v>0</x:v>
      </x:c>
      <x:c r="H48" t="n">
        <x:f>D48*'EnemyBalance'!$M$2+E48*'EnemyBalance'!$M$3+F48*'EnemyBalance'!$M$4+G48*'EnemyBalance'!$M$5</x:f>
        <x:v>86</x:v>
      </x:c>
      <x:c r="I48" t="n">
        <x:f>SUM($H$6:H48)</x:f>
        <x:v>1735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</x:f>
        <x:v>0</x:v>
      </x:c>
      <x:c r="H49" t="n">
        <x:f>D49*'EnemyBalance'!$M$2+E49*'EnemyBalance'!$M$3+F49*'EnemyBalance'!$M$4+G49*'EnemyBalance'!$M$5</x:f>
        <x:v>90</x:v>
      </x:c>
      <x:c r="I49" t="n">
        <x:f>SUM($H$6:H49)</x:f>
        <x:v>1825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</x:f>
        <x:v>0</x:v>
      </x:c>
      <x:c r="H50" t="n">
        <x:f>D50*'EnemyBalance'!$M$2+E50*'EnemyBalance'!$M$3+F50*'EnemyBalance'!$M$4+G50*'EnemyBalance'!$M$5</x:f>
        <x:v>92</x:v>
      </x:c>
      <x:c r="I50" t="n">
        <x:f>SUM($H$6:H50)</x:f>
        <x:v>1917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</x:f>
        <x:v>0</x:v>
      </x:c>
      <x:c r="H51" t="n">
        <x:f>D51*'EnemyBalance'!$M$2+E51*'EnemyBalance'!$M$3+F51*'EnemyBalance'!$M$4+G51*'EnemyBalance'!$M$5</x:f>
        <x:v>96</x:v>
      </x:c>
      <x:c r="I51" t="n">
        <x:f>SUM($H$6:H51)</x:f>
        <x:v>2013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</x:f>
        <x:v>0</x:v>
      </x:c>
      <x:c r="H52" t="n">
        <x:f>D52*'EnemyBalance'!$M$2+E52*'EnemyBalance'!$M$3+F52*'EnemyBalance'!$M$4+G52*'EnemyBalance'!$M$5</x:f>
        <x:v>98</x:v>
      </x:c>
      <x:c r="I52" t="n">
        <x:f>SUM($H$6:H52)</x:f>
        <x:v>2111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</x:f>
        <x:v>1</x:v>
      </x:c>
      <x:c r="H53" t="n">
        <x:f>D53*'EnemyBalance'!$M$2+E53*'EnemyBalance'!$M$3+F53*'EnemyBalance'!$M$4+G53*'EnemyBalance'!$M$5</x:f>
        <x:v>109</x:v>
      </x:c>
      <x:c r="I53" t="n">
        <x:f>SUM($H$6:H53)</x:f>
        <x:v>2220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</x:f>
        <x:v>0</x:v>
      </x:c>
      <x:c r="H54" t="n">
        <x:f>D54*'EnemyBalance'!$M$2+E54*'EnemyBalance'!$M$3+F54*'EnemyBalance'!$M$4+G54*'EnemyBalance'!$M$5</x:f>
        <x:v>105</x:v>
      </x:c>
      <x:c r="I54" t="n">
        <x:f>SUM($H$6:H54)</x:f>
        <x:v>2325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</x:f>
        <x:v>0</x:v>
      </x:c>
      <x:c r="H55" t="n">
        <x:f>D55*'EnemyBalance'!$M$2+E55*'EnemyBalance'!$M$3+F55*'EnemyBalance'!$M$4+G55*'EnemyBalance'!$M$5</x:f>
        <x:v>108</x:v>
      </x:c>
      <x:c r="I55" t="n">
        <x:f>SUM($H$6:H55)</x:f>
        <x:v>2433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</x:f>
        <x:v>0</x:v>
      </x:c>
      <x:c r="H56" t="n">
        <x:f>D56*'EnemyBalance'!$M$2+E56*'EnemyBalance'!$M$3+F56*'EnemyBalance'!$M$4+G56*'EnemyBalance'!$M$5</x:f>
        <x:v>111</x:v>
      </x:c>
      <x:c r="I56" t="n">
        <x:f>SUM($H$6:H56)</x:f>
        <x:v>2544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</x:f>
        <x:v>0</x:v>
      </x:c>
      <x:c r="H57" t="n">
        <x:f>D57*'EnemyBalance'!$M$2+E57*'EnemyBalance'!$M$3+F57*'EnemyBalance'!$M$4+G57*'EnemyBalance'!$M$5</x:f>
        <x:v>115</x:v>
      </x:c>
      <x:c r="I57" t="n">
        <x:f>SUM($H$6:H57)</x:f>
        <x:v>2659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</x:f>
        <x:v>0</x:v>
      </x:c>
      <x:c r="H58" t="n">
        <x:f>D58*'EnemyBalance'!$M$2+E58*'EnemyBalance'!$M$3+F58*'EnemyBalance'!$M$4+G58*'EnemyBalance'!$M$5</x:f>
        <x:v>118</x:v>
      </x:c>
      <x:c r="I58" t="n">
        <x:f>SUM($H$6:H58)</x:f>
        <x:v>2777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</x:f>
        <x:v>0</x:v>
      </x:c>
      <x:c r="H59" t="n">
        <x:f>D59*'EnemyBalance'!$M$2+E59*'EnemyBalance'!$M$3+F59*'EnemyBalance'!$M$4+G59*'EnemyBalance'!$M$5</x:f>
        <x:v>122</x:v>
      </x:c>
      <x:c r="I59" t="n">
        <x:f>SUM($H$6:H59)</x:f>
        <x:v>2899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</x:f>
        <x:v>0</x:v>
      </x:c>
      <x:c r="H60" t="n">
        <x:f>D60*'EnemyBalance'!$M$2+E60*'EnemyBalance'!$M$3+F60*'EnemyBalance'!$M$4+G60*'EnemyBalance'!$M$5</x:f>
        <x:v>124</x:v>
      </x:c>
      <x:c r="I60" t="n">
        <x:f>SUM($H$6:H60)</x:f>
        <x:v>3023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</x:f>
        <x:v>0</x:v>
      </x:c>
      <x:c r="H61" t="n">
        <x:f>D61*'EnemyBalance'!$M$2+E61*'EnemyBalance'!$M$3+F61*'EnemyBalance'!$M$4+G61*'EnemyBalance'!$M$5</x:f>
        <x:v>128</x:v>
      </x:c>
      <x:c r="I61" t="n">
        <x:f>SUM($H$6:H61)</x:f>
        <x:v>3151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</x:f>
        <x:v>0</x:v>
      </x:c>
      <x:c r="H62" t="n">
        <x:f>D62*'EnemyBalance'!$M$2+E62*'EnemyBalance'!$M$3+F62*'EnemyBalance'!$M$4+G62*'EnemyBalance'!$M$5</x:f>
        <x:v>132</x:v>
      </x:c>
      <x:c r="I62" t="n">
        <x:f>SUM($H$6:H62)</x:f>
        <x:v>3283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</x:f>
        <x:v>0</x:v>
      </x:c>
      <x:c r="H63" t="n">
        <x:f>D63*'EnemyBalance'!$M$2+E63*'EnemyBalance'!$M$3+F63*'EnemyBalance'!$M$4+G63*'EnemyBalance'!$M$5</x:f>
        <x:v>135</x:v>
      </x:c>
      <x:c r="I63" t="n">
        <x:f>SUM($H$6:H63)</x:f>
        <x:v>3418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</x:f>
        <x:v>0</x:v>
      </x:c>
      <x:c r="H64" t="n">
        <x:f>D64*'EnemyBalance'!$M$2+E64*'EnemyBalance'!$M$3+F64*'EnemyBalance'!$M$4+G64*'EnemyBalance'!$M$5</x:f>
        <x:v>139</x:v>
      </x:c>
      <x:c r="I64" t="n">
        <x:f>SUM($H$6:H64)</x:f>
        <x:v>3557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</x:f>
        <x:v>1</x:v>
      </x:c>
      <x:c r="H65" t="n">
        <x:f>D65*'EnemyBalance'!$M$2+E65*'EnemyBalance'!$M$3+F65*'EnemyBalance'!$M$4+G65*'EnemyBalance'!$M$5</x:f>
        <x:v>149</x:v>
      </x:c>
      <x:c r="I65" t="n">
        <x:f>SUM($H$6:H65)</x:f>
        <x:v>3706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ff4bea007b94e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</x:f>
        <x:v>1</x:v>
      </x:c>
      <x:c r="K10" s="520" t="n">
        <x:f>100%+10%*(A10-1)</x:f>
        <x:v>1</x:v>
      </x:c>
      <x:c r="L10" s="517" t="n">
        <x:f>1.5*3</x:f>
        <x:v>4.5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</x:f>
        <x:v>2</x:v>
      </x:c>
      <x:c r="K11" s="449" t="n">
        <x:f>100%+10%*(A11-1)</x:f>
        <x:v>1.1</x:v>
      </x:c>
      <x:c r="L11" s="446" t="n">
        <x:f>1.5*3</x:f>
        <x:v>4.5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</x:f>
        <x:v>3</x:v>
      </x:c>
      <x:c r="K12" s="520" t="n">
        <x:f>100%+10%*(A12-1)</x:f>
        <x:v>1.2</x:v>
      </x:c>
      <x:c r="L12" s="517" t="n">
        <x:f>1.5*3</x:f>
        <x:v>4.5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</x:f>
        <x:v>4</x:v>
      </x:c>
      <x:c r="K13" s="449" t="n">
        <x:f>100%+10%*(A13-1)</x:f>
        <x:v>1.3</x:v>
      </x:c>
      <x:c r="L13" s="446" t="n">
        <x:f>1.5*3</x:f>
        <x:v>4.5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</x:f>
        <x:v>5</x:v>
      </x:c>
      <x:c r="K14" s="520" t="n">
        <x:f>100%+10%*(A14-1)</x:f>
        <x:v>1.4</x:v>
      </x:c>
      <x:c r="L14" s="517" t="n">
        <x:f>1.5*3</x:f>
        <x:v>4.5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C는 C≤L을 만족합니다. 반복 클릭은 창을 초기화하지 않으며 0.4초 뒤에만 예산 L이 복구됩니다.
절단: 실제 관통 1회당 최대 1개, 재사용 0.15초입니다. 0.5초 뒤 관통 시작점 p₀부터 현재 위치까지 검은 선분 S를 만들고 0.1초 동안 선형 페이드하며 겹친 적에게 2A_side 피해를 줍니다.
흡혈: 확률은 5%로 고정하고 카드 레벨 L≤3에서 회복량은 2L, 타격당 기대 회복량은 0.1L HP입니다.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48d021ebc9dc4cf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3706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0.5초·재사용 0.15초·검은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504" t="str">
        <x:v>체력 관문 의도: 1~4웨이브는 1.0배, 5웨이브는 1.2배, 8웨이브는 1.5배로 약하게 시작합니다. 이후 스킬 카드가 누적될수록 관문 증가폭을 크게 하여 56웨이브부터 9.5배를 적용하며, 관문 사이에서는 레벨 곡선만으로 완만하게 성장합니다.
전투 판정 의도: 레벨은 처형에 사용하지 않고 체력·공격력 계산에만 사용합니다. 체력 관문은 HP에만 적용되며 적 공격력 상한 8에는 영향을 주지 않습니다.</x:v>
      </x:c>
      <x:c r="B27" s="505"/>
      <x:c r="C27" s="505"/>
      <x:c r="D27" s="505"/>
      <x:c r="E27" s="505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E27"/>
  </x:mergeCells>
  <x:pageMargins left="0.7" right="0.7" top="0.75" bottom="0.75" header="0.3" footer="0.3"/>
  <x:drawing xmlns:r="http://schemas.openxmlformats.org/officeDocument/2006/relationships" r:id="Rc9a64cb70e8246b6"/>
</x:worksheet>
</file>