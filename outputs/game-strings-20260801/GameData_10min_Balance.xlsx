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ac532ca40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fa49dffb044654"/>
    <x:sheet xmlns:r="http://schemas.openxmlformats.org/officeDocument/2006/relationships" name="EnemyBalance" sheetId="3" r:id="Rd3fb0560622147f5"/>
    <x:sheet xmlns:r="http://schemas.openxmlformats.org/officeDocument/2006/relationships" name="StageSpawn" sheetId="2" r:id="R38fc069b288d467b"/>
    <x:sheet xmlns:r="http://schemas.openxmlformats.org/officeDocument/2006/relationships" name="PlayerBalance" sheetId="8" r:id="Rc67d9dee1c8e443f"/>
    <x:sheet xmlns:r="http://schemas.openxmlformats.org/officeDocument/2006/relationships" name="PlayerLevelExp" sheetId="4" r:id="Rde454ee3c56449ed"/>
    <x:sheet xmlns:r="http://schemas.openxmlformats.org/officeDocument/2006/relationships" name="AccountLevelExp" sheetId="5" r:id="Rd1dcde3f38f34722"/>
    <x:sheet xmlns:r="http://schemas.openxmlformats.org/officeDocument/2006/relationships" name="GlobalBalance" sheetId="6" r:id="R941a20ce70aa41c6"/>
    <x:sheet xmlns:r="http://schemas.openxmlformats.org/officeDocument/2006/relationships" name="LevelUpCard" sheetId="7" r:id="Rb1819dcfec8e4bb5"/>
    <x:sheet xmlns:r="http://schemas.openxmlformats.org/officeDocument/2006/relationships" name="WavePlan" sheetId="9" r:id="R41a6447e2a634aee"/>
    <x:sheet xmlns:r="http://schemas.openxmlformats.org/officeDocument/2006/relationships" name="CardMath" sheetId="10" r:id="Rf1d9758fc778499a"/>
    <x:sheet xmlns:r="http://schemas.openxmlformats.org/officeDocument/2006/relationships" name="BalanceSummary" sheetId="11" r:id="R263628ef05ec4273"/>
    <x:sheet xmlns:r="http://schemas.openxmlformats.org/officeDocument/2006/relationships" name="StageSpawnEasy" sheetId="12" r:id="R4000a317539946f8"/>
    <x:sheet xmlns:r="http://schemas.openxmlformats.org/officeDocument/2006/relationships" name="GameString" sheetId="13" r:id="R0b87cce66066467d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<x:sst xmlns:x="http://schemas.openxmlformats.org/spreadsheetml/2006/main">
  <x:si>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</x:si>
  <x:si>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</x:si>
  <x:si>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</x:si>
  <x:si>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</x:si>
  <x:si>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</x:si>
  <x:si>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</x:si>
  <x:si>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</x:si>
  <x:si>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</x:si>
  <x:si>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</x:si>
  <x:si>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</x:si>
  <x:si>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</x:si>
  <x:si>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</x:si>
  <x:si>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</x:si>
  <x:si>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</x:si>
  <x:si>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</x:si>
  <x:si>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</x:si>
  <x:si>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</x:si>
  <x:si>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</x:si>
  <x:si>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</x:si>
  <x:si>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</x:si>
  <x:si>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</x:si>
  <x:si>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</x:si>
  <x:si>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</x:si>
  <x:si>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</x:si>
  <x:si>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</x:si>
  <x:si>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</x:si>
  <x:si>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</x:si>
  <x:si>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</x:si>
  <x:si>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</x:si>
  <x:si>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</x:si>
  <x:si>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</x:si>
  <x:si>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</x:si>
  <x:si>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</x:si>
  <x:si>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</x:si>
  <x:si>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</x:si>
  <x:si>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</x:si>
  <x:si>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</x:si>
  <x:si>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</x:si>
  <x:si>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</x:si>
  <x:si>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</x:si>
  <x:si>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</x:si>
  <x:si>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</x:si>
  <x:si>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</x:si>
  <x:si>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</x:si>
  <x:si>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</x:si>
  <x:si>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</x:si>
  <x:si>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</x:si>
  <x:si>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</x:si>
  <x:si>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</x:si>
  <x:si>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</x:si>
  <x:si>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</x:si>
  <x:si>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</x:si>
  <x:si>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</x:si>
  <x:si>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</x:si>
  <x:si>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</x:si>
  <x:si>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</x:si>
  <x:si>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</x:si>
  <x:si>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</x:si>
  <x:si>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</x:si>
  <x:si>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</x:si>
  <x:si>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</x:si>
  <x:si>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</x:si>
  <x:si>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</x:si>
  <x:si>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</x:si>
  <x:si>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</x:si>
  <x:si>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</x:si>
  <x:si>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</x:si>
  <x:si>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</x:si>
  <x:si>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</x:si>
  <x:si>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</x:si>
  <x:si>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</x:si>
  <x:si>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</x:si>
  <x:si>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</x:si>
  <x:si>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</x:si>
  <x:si>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</x:si>
  <x:si>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</x:si>
  <x:si>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</x:si>
  <x:si>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</x:si>
  <x:si>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</x:si>
  <x:si>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</x:si>
  <x:si>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</x:si>
  <x:si>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</x:si>
  <x:si>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</x:si>
  <x:si>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</x:si>
  <x:si>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</x:si>
  <x:si>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</x:si>
  <x:si>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</x:si>
  <x:si>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</x:si>
  <x:si>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</x:si>
  <x:si>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</x:si>
  <x:si>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</x:si>
  <x:si>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</x:si>
  <x:si>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</x:si>
  <x:si>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</x:si>
  <x:si>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</x:si>
  <x:si>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</x:si>
  <x:si>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</x:si>
  <x:si>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</x:si>
  <x:si>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</x:si>
  <x:si>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</x:si>
  <x:si>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</x:si>
  <x:si>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</x:si>
  <x:si>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</x:si>
  <x:si>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</x:si>
  <x:si>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</x:si>
  <x:si>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</x:si>
  <x:si>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</x:si>
  <x:si>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</x:si>
  <x:si>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</x:si>
  <x:si>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</x:si>
  <x:si>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</x:si>
  <x:si>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</x:si>
  <x:si>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</x:si>
  <x:si>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</x:si>
  <x:si>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</x:si>
  <x:si>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</x:si>
  <x:si>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</x:si>
  <x:si>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</x:si>
  <x:si>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</x:si>
  <x:si>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</x:si>
  <x:si>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</x:si>
  <x:si>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</x:si>
  <x:si>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</x:si>
  <x:si>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</x:si>
  <x:si>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</x:si>
  <x:si>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</x:si>
  <x:si>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</x:si>
  <x:si>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</x:si>
  <x:si>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</x:si>
  <x:si>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</x:si>
  <x:si>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</x:si>
  <x:si>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</x:si>
  <x:si>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</x:si>
  <x:si>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</x:si>
  <x:si>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</x:si>
  <x:si>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</x:si>
  <x:si>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</x:si>
  <x:si>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</x:si>
  <x:si>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</x:si>
  <x:si>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</x:si>
  <x:si>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</x:si>
  <x:si>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</x:si>
  <x:si>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</x:si>
  <x:si>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</x:si>
  <x:si>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</x:si>
  <x:si>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</x:si>
  <x:si>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</x:si>
  <x:si>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</x:si>
  <x:si>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</x:si>
  <x:si>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</x:si>
  <x:si>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</x:si>
  <x:si>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</x:si>
  <x:si>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</x:si>
  <x:si>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</x:si>
  <x:si>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</x:si>
  <x:si>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</x:si>
  <x:si>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</x:si>
  <x:si>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</x:si>
  <x:si>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</x:si>
  <x:si>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</x:si>
  <x:si>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</x:si>
  <x:si>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</x:si>
  <x:si>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</x:si>
  <x:si>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</x:si>
  <x:si>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</x:si>
  <x:si>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</x:si>
  <x:si>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</x:si>
  <x:si>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</x:si>
  <x:si>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</x:si>
  <x:si>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</x:si>
  <x:si>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</x:si>
  <x:si>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</x:si>
  <x:si>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</x:si>
  <x:si>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</x:si>
  <x:si>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</x:si>
  <x:si>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</x:si>
  <x:si>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</x:si>
  <x:si>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</x:si>
  <x:si>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</x:si>
  <x:si>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</x:si>
  <x:si>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</x:si>
  <x:si>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</x:si>
  <x:si>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</x:si>
  <x:si>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</x:si>
  <x:si>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</x:si>
  <x:si>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</x:si>
  <x:si>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</x:si>
  <x:si>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</x:si>
  <x:si>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</x:si>
  <x:si>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</x:si>
  <x:si>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</x:si>
  <x:si>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</x:si>
  <x:si>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</x:si>
  <x:si>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</x:si>
  <x:si>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</x:si>
  <x:si>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</x:si>
  <x:si>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</x:si>
  <x:si>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</x:si>
  <x:si>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</x:si>
  <x:si>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</x:si>
  <x:si>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</x:si>
  <x:si>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</x:si>
  <x:si>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</x:si>
  <x:si>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</x:si>
  <x:si>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</x:si>
  <x:si>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</x:si>
  <x:si>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</x:si>
  <x:si>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</x:si>
  <x:si>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</x:si>
  <x:si>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</x:si>
  <x:si>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</x:si>
  <x:si>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</x:si>
  <x:si>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</x:si>
  <x:si>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</x:si>
  <x:si>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</x:si>
  <x:si>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</x:si>
  <x:si>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</x:si>
  <x:si>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</x:si>
  <x:si>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</x:si>
  <x:si>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</x:si>
  <x:si>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</x:si>
  <x:si>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</x:si>
  <x:si>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</x:si>
  <x:si>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</x:si>
  <x:si>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</x:si>
  <x:si>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</x:si>
  <x:si>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</x:si>
  <x:si>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</x:si>
  <x:si>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</x:si>
  <x:si>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</x:si>
  <x:si>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</x:si>
  <x:si>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</x:si>
  <x:si>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</x:si>
  <x:si>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</x:si>
  <x:si>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</x:si>
  <x:si>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</x:si>
  <x:si>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</x:si>
  <x:si>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</x:si>
  <x:si>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</x:si>
  <x:si>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</x:si>
  <x:si>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</x:si>
  <x:si>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</x:si>
  <x:si>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</x:si>
  <x:si>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</x:si>
  <x:si>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</x:si>
  <x:si>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</x:si>
  <x:si>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</x:si>
  <x:si>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</x:si>
  <x:si>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</x:si>
  <x:si>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</x:si>
  <x:si>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</x:si>
  <x:si>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</x:si>
  <x:si>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</x:si>
  <x:si>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</x:si>
  <x:si>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</x:si>
  <x:si>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</x:si>
  <x:si>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</x:si>
  <x:si>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</x:si>
  <x:si>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</x:si>
  <x:si>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</x:si>
  <x:si>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이동 참격 확률</x:t>
  </x:si>
  <x:si>
    <x:t xml:space="preserve">이동 참격 최대 적중</x:t>
  </x:si>
  <x:si>
    <x:t xml:space="preserve">이동 참격 크기</x:t>
  </x:si>
  <x:si>
    <x:t xml:space="preserve">이동 참격 후면 피해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</x:si>
  <x:si>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</x:si>
  <x:si>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</x:si>
  <x:si>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</x:si>
  <x:si>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</x:si>
  <x:si>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</x:si>
  <x:si>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</x:si>
  <x:si>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</x:si>
  <x:si>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</x:si>
  <x:si>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</x:si>
  <x:si>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</x:si>
  <x:si>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</x:si>
  <x:si>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</x:si>
  <x:si>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</x:si>
  <x:si>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</x:si>
  <x:si>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</x:si>
  <x:si>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</x:si>
  <x:si>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</x:si>
  <x:si>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</x:si>
  <x:si>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</x:si>
  <x:si>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</x:si>
  <x:si>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</x:si>
  <x:si>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</x:si>
  <x:si>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</x:si>
  <x:si>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</x:si>
  <x:si>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</x:si>
  <x:si>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</x:si>
  <x:si>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</x:si>
  <x:si>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</x:si>
  <x:si>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</x:si>
  <x:si>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</x:si>
  <x:si>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</x:si>
  <x:si>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</x:si>
  <x:si>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</x:si>
  <x:si>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</x:si>
  <x:si>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</x:si>
  <x:si>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0.4초 판정창 내 추가 관통 누적 C≤카드 레벨 L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</x:si>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</x:sst>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</x:fills>
  <x:borders count="31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</x:borders>
  <x:cellStyleXfs count="2">
    <x:xf numFmtId="0" fontId="0" fillId="0" borderId="0"/>
    <x:xf numFmtId="0" fontId="2" fillId="0" borderId="0"/>
  </x:cellStyleXfs>
  <x:cellXfs count="1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0af26f2ad4cdb" /><Relationship Type="http://schemas.openxmlformats.org/officeDocument/2006/relationships/theme" Target="/xl/theme/theme1.xml" Id="Rb9dd69ac73074819" /><Relationship Type="http://schemas.microsoft.com/office/2022/11/relationships/FeaturePropertyBag" Target="/xl/featurePropertyBag/featurePropertyBag.xml" Id="R046522f7a82644b8" /><Relationship Type="http://schemas.openxmlformats.org/officeDocument/2006/relationships/sharedStrings" Target="/xl/sharedStrings.xml" Id="Rbb2841a630e74dbe" /><Relationship Type="http://schemas.openxmlformats.org/officeDocument/2006/relationships/worksheet" Target="/xl/worksheets/sheet1.xml" Id="Re4fa49dffb044654" /><Relationship Type="http://schemas.openxmlformats.org/officeDocument/2006/relationships/worksheet" Target="/xl/worksheets/sheet2.xml" Id="Rd3fb0560622147f5" /><Relationship Type="http://schemas.openxmlformats.org/officeDocument/2006/relationships/worksheet" Target="/xl/worksheets/sheet3.xml" Id="R38fc069b288d467b" /><Relationship Type="http://schemas.openxmlformats.org/officeDocument/2006/relationships/worksheet" Target="/xl/worksheets/sheet4.xml" Id="Rc67d9dee1c8e443f" /><Relationship Type="http://schemas.openxmlformats.org/officeDocument/2006/relationships/worksheet" Target="/xl/worksheets/sheet5.xml" Id="Rde454ee3c56449ed" /><Relationship Type="http://schemas.openxmlformats.org/officeDocument/2006/relationships/worksheet" Target="/xl/worksheets/sheet6.xml" Id="Rd1dcde3f38f34722" /><Relationship Type="http://schemas.openxmlformats.org/officeDocument/2006/relationships/worksheet" Target="/xl/worksheets/sheet7.xml" Id="R941a20ce70aa41c6" /><Relationship Type="http://schemas.openxmlformats.org/officeDocument/2006/relationships/worksheet" Target="/xl/worksheets/sheet8.xml" Id="Rb1819dcfec8e4bb5" /><Relationship Type="http://schemas.openxmlformats.org/officeDocument/2006/relationships/worksheet" Target="/xl/worksheets/sheet9.xml" Id="R41a6447e2a634aee" /><Relationship Type="http://schemas.openxmlformats.org/officeDocument/2006/relationships/worksheet" Target="/xl/worksheets/sheet10.xml" Id="Rf1d9758fc778499a" /><Relationship Type="http://schemas.openxmlformats.org/officeDocument/2006/relationships/worksheet" Target="/xl/worksheets/sheet11.xml" Id="R263628ef05ec4273" /><Relationship Type="http://schemas.openxmlformats.org/officeDocument/2006/relationships/worksheet" Target="/xl/worksheets/sheet12.xml" Id="R4000a317539946f8" /><Relationship Type="http://schemas.openxmlformats.org/officeDocument/2006/relationships/worksheet" Target="/xl/worksheets/sheet13.xml" Id="R0b87cce6606646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6f7f6e259f42d7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overlay val="1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6f7f6e259f42d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15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ead725d0ff44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68cc1d5f5a4c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89eb2af8e346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e54354c4b945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31675a95ff4a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07b91d5d8846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2d69ba66a54e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9fdb0e361b4d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3a771020c8044a1" /><Relationship Type="http://schemas.openxmlformats.org/officeDocument/2006/relationships/table" Target="/xl/tables/table10.xml" Id="R04369b2e346b49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3f7793c4eb4a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bbab20fa2c845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38" customWidth="1"/>
    <x:col min="3" max="3" width="34" customWidth="1"/>
    <x:col min="4" max="4" width="11" customWidth="1"/>
    <x:col min="5" max="5" width="39" customWidth="1"/>
    <x:col min="6" max="6" width="31" customWidth="1"/>
  </x:cols>
  <x:sheetData>
    <x:row r="1" ht="36" customHeight="1">
      <x:c r="A1" s="77" t="s">
        <x:v>0</x:v>
      </x:c>
      <x:c r="B1" s="77"/>
      <x:c r="C1" s="77"/>
      <x:c r="D1" s="77"/>
      <x:c r="E1" s="77"/>
      <x:c r="F1" s="77"/>
    </x:row>
    <x:row r="2">
      <x:c r="A2" s="2"/>
      <x:c r="B2" s="2"/>
      <x:c r="C2" s="2"/>
      <x:c r="D2" s="2"/>
      <x:c r="E2" s="2"/>
      <x:c r="F2" s="2"/>
    </x:row>
    <x:row r="3" ht="28" customHeight="1">
      <x:c r="A3" s="63" t="s">
        <x:v>1</x:v>
      </x:c>
      <x:c r="B3" s="64" t="s">
        <x:v>2</x:v>
      </x:c>
      <x:c r="C3" s="64" t="s">
        <x:v>3</x:v>
      </x:c>
      <x:c r="D3" s="64" t="s">
        <x:v>4</x:v>
      </x:c>
      <x:c r="E3" s="64" t="s">
        <x:v>5</x:v>
      </x:c>
      <x:c r="F3" s="43" t="s">
        <x:v>6</x:v>
      </x:c>
    </x:row>
    <x:row r="4" ht="38" customHeight="1">
      <x:c r="A4" s="11">
        <x:v>1</x:v>
      </x:c>
      <x:c r="B4" s="11" t="s">
        <x:v>7</x:v>
      </x:c>
      <x:c r="C4" s="11" t="s">
        <x:v>8</x:v>
      </x:c>
      <x:c r="D4" s="11" t="s">
        <x:v>9</x:v>
      </x:c>
      <x:c r="E4" s="11" t="s">
        <x:v>10</x:v>
      </x:c>
      <x:c r="F4" s="11" t="s">
        <x:v>11</x:v>
      </x:c>
    </x:row>
    <x:row r="5" ht="38" customHeight="1">
      <x:c r="A5" s="11">
        <x:v>2</x:v>
      </x:c>
      <x:c r="B5" s="11" t="s">
        <x:v>12</x:v>
      </x:c>
      <x:c r="C5" s="11" t="str">
        <x:v>보통 3,283개 + 쉬움 2487개</x:v>
      </x:c>
      <x:c r="D5" s="11" t="s">
        <x:v>9</x:v>
      </x:c>
      <x:c r="E5" s="11" t="s">
        <x:v>13</x:v>
      </x:c>
      <x:c r="F5" s="11" t="s">
        <x:v>14</x:v>
      </x:c>
    </x:row>
    <x:row r="6" ht="38" customHeight="1">
      <x:c r="A6" s="11">
        <x:v>3</x:v>
      </x:c>
      <x:c r="B6" s="11" t="s">
        <x:v>15</x:v>
      </x:c>
      <x:c r="C6" s="11" t="s">
        <x:v>16</x:v>
      </x:c>
      <x:c r="D6" s="11" t="s">
        <x:v>9</x:v>
      </x:c>
      <x:c r="E6" s="11" t="s">
        <x:v>17</x:v>
      </x:c>
      <x:c r="F6" s="11" t="s">
        <x:v>18</x:v>
      </x:c>
    </x:row>
    <x:row r="7" ht="38" customHeight="1">
      <x:c r="A7" s="11">
        <x:v>4</x:v>
      </x:c>
      <x:c r="B7" s="11" t="s">
        <x:v>19</x:v>
      </x:c>
      <x:c r="C7" s="11" t="s">
        <x:v>20</x:v>
      </x:c>
      <x:c r="D7" s="11" t="s">
        <x:v>9</x:v>
      </x:c>
      <x:c r="E7" s="11" t="s">
        <x:v>21</x:v>
      </x:c>
      <x:c r="F7" s="11" t="str">
        <x:v>보통 3,283마리 / 쉬움 2487마리</x:v>
      </x:c>
    </x:row>
    <x:row r="8">
      <x:c r="A8" s="2"/>
      <x:c r="B8" s="2"/>
      <x:c r="C8" s="2"/>
      <x:c r="D8" s="2"/>
      <x:c r="E8" s="2"/>
      <x:c r="F8" s="2"/>
    </x:row>
    <x:row r="9" ht="28" customHeight="1">
      <x:c r="A9" s="63" t="s">
        <x:v>22</x:v>
      </x:c>
      <x:c r="B9" s="64" t="s">
        <x:v>23</x:v>
      </x:c>
      <x:c r="C9" s="64" t="s">
        <x:v>24</x:v>
      </x:c>
      <x:c r="D9" s="64" t="s">
        <x:v>25</x:v>
      </x:c>
      <x:c r="E9" s="64" t="s">
        <x:v>26</x:v>
      </x:c>
      <x:c r="F9" s="43" t="s">
        <x:v>27</x:v>
      </x:c>
    </x:row>
    <x:row r="10" ht="30" customHeight="1">
      <x:c r="A10" s="11" t="s">
        <x:v>28</x:v>
      </x:c>
      <x:c r="B10" s="11" t="s">
        <x:v>29</x:v>
      </x:c>
      <x:c r="C10" s="11" t="s">
        <x:v>30</x:v>
      </x:c>
      <x:c r="D10" s="11" t="s">
        <x:v>9</x:v>
      </x:c>
      <x:c r="E10" s="11" t="s">
        <x:v>9</x:v>
      </x:c>
      <x:c r="F10" s="11" t="s">
        <x:v>31</x:v>
      </x:c>
    </x:row>
    <x:row r="11" ht="30" customHeight="1">
      <x:c r="A11" s="11" t="s">
        <x:v>32</x:v>
      </x:c>
      <x:c r="B11" s="11" t="s">
        <x:v>33</x:v>
      </x:c>
      <x:c r="C11" s="11" t="s">
        <x:v>34</x:v>
      </x:c>
      <x:c r="D11" s="11" t="s">
        <x:v>9</x:v>
      </x:c>
      <x:c r="E11" s="11" t="s">
        <x:v>9</x:v>
      </x:c>
      <x:c r="F11" s="11" t="s">
        <x:v>35</x:v>
      </x:c>
    </x:row>
    <x:row r="12" ht="30" customHeight="1">
      <x:c r="A12" s="11" t="s">
        <x:v>36</x:v>
      </x:c>
      <x:c r="B12" s="11" t="s">
        <x:v>37</x:v>
      </x:c>
      <x:c r="C12" s="11" t="s">
        <x:v>38</x:v>
      </x:c>
      <x:c r="D12" s="11" t="s">
        <x:v>9</x:v>
      </x:c>
      <x:c r="E12" s="11" t="s">
        <x:v>9</x:v>
      </x:c>
      <x:c r="F12" s="11" t="s">
        <x:v>39</x:v>
      </x:c>
    </x:row>
    <x:row r="13" ht="30" customHeight="1">
      <x:c r="A13" s="11" t="s">
        <x:v>40</x:v>
      </x:c>
      <x:c r="B13" s="11" t="s">
        <x:v>41</x:v>
      </x:c>
      <x:c r="C13" s="11" t="s">
        <x:v>42</x:v>
      </x:c>
      <x:c r="D13" s="11" t="s">
        <x:v>9</x:v>
      </x:c>
      <x:c r="E13" s="11" t="s">
        <x:v>9</x:v>
      </x:c>
      <x:c r="F13" s="11" t="s">
        <x:v>43</x:v>
      </x:c>
    </x:row>
    <x:row r="14" ht="30" customHeight="1">
      <x:c r="A14" s="11" t="s">
        <x:v>44</x:v>
      </x:c>
      <x:c r="B14" s="11" t="s">
        <x:v>45</x:v>
      </x:c>
      <x:c r="C14" s="11" t="s">
        <x:v>46</x:v>
      </x:c>
      <x:c r="D14" s="11" t="s">
        <x:v>9</x:v>
      </x:c>
      <x:c r="E14" s="11" t="s">
        <x:v>9</x:v>
      </x:c>
      <x:c r="F14" s="11" t="s">
        <x:v>47</x:v>
      </x:c>
    </x:row>
    <x:row r="15" ht="30" customHeight="1">
      <x:c r="A15" s="11" t="s">
        <x:v>48</x:v>
      </x:c>
      <x:c r="B15" s="11" t="s">
        <x:v>49</x:v>
      </x:c>
      <x:c r="C15" s="11" t="s">
        <x:v>50</x:v>
      </x:c>
      <x:c r="D15" s="11" t="s">
        <x:v>9</x:v>
      </x:c>
      <x:c r="E15" s="11" t="s">
        <x:v>9</x:v>
      </x:c>
      <x:c r="F15" s="11" t="s">
        <x:v>51</x:v>
      </x:c>
    </x:row>
    <x:row r="16" ht="30" customHeight="1">
      <x:c r="A16" s="11" t="s">
        <x:v>52</x:v>
      </x:c>
      <x:c r="B16" s="11" t="s">
        <x:v>53</x:v>
      </x:c>
      <x:c r="C16" s="11" t="str">
        <x:v>16종 / 일반·희귀·에픽·레전더리 / 융합 재료·초기화 규칙</x:v>
      </x:c>
      <x:c r="D16" s="11" t="s">
        <x:v>9</x:v>
      </x:c>
      <x:c r="E16" s="11" t="s">
        <x:v>9</x:v>
      </x:c>
      <x:c r="F16" s="11" t="str">
        <x:v>16행</x:v>
      </x:c>
    </x:row>
    <x:row r="17" ht="30" customHeight="1">
      <x:c r="A17" s="11" t="s">
        <x:v>54</x:v>
      </x:c>
      <x:c r="B17" s="11" t="s">
        <x:v>55</x:v>
      </x:c>
      <x:c r="C17" s="11" t="s">
        <x:v>56</x:v>
      </x:c>
      <x:c r="D17" s="11" t="s">
        <x:v>57</x:v>
      </x:c>
      <x:c r="E17" s="11" t="s">
        <x:v>57</x:v>
      </x:c>
      <x:c r="F17" s="11" t="s">
        <x:v>58</x:v>
      </x:c>
    </x:row>
    <x:row r="18" ht="30" customHeight="1">
      <x:c r="A18" s="11" t="s">
        <x:v>59</x:v>
      </x:c>
      <x:c r="B18" s="11" t="s">
        <x:v>60</x:v>
      </x:c>
      <x:c r="C18" s="11" t="s">
        <x:v>61</x:v>
      </x:c>
      <x:c r="D18" s="11" t="s">
        <x:v>57</x:v>
      </x:c>
      <x:c r="E18" s="11" t="s">
        <x:v>57</x:v>
      </x:c>
      <x:c r="F18" s="11" t="s">
        <x:v>62</x:v>
      </x:c>
    </x:row>
    <x:row r="19" ht="30" customHeight="1">
      <x:c r="A19" s="11" t="s">
        <x:v>63</x:v>
      </x:c>
      <x:c r="B19" s="11" t="s">
        <x:v>64</x:v>
      </x:c>
      <x:c r="C19" s="11" t="s">
        <x:v>65</x:v>
      </x:c>
      <x:c r="D19" s="11" t="s">
        <x:v>57</x:v>
      </x:c>
      <x:c r="E19" s="11" t="s">
        <x:v>57</x:v>
      </x:c>
      <x:c r="F19" s="11" t="s">
        <x:v>58</x:v>
      </x:c>
    </x:row>
    <x:row r="20" ht="26" customHeight="1">
      <x:c r="A20" s="78" t="str">
        <x:v>StageSpawnEasy</x:v>
      </x:c>
      <x:c r="B20" s="79" t="str">
        <x:v>쉬움 개별 스폰 명세</x:v>
      </x:c>
      <x:c r="C20" s="79" t="str">
        <x:v>보통 대비 일반 적 75%·적 레벨 80%</x:v>
      </x:c>
      <x:c r="D20" s="79" t="str">
        <x:v>예</x:v>
      </x:c>
      <x:c r="E20" s="79" t="str">
        <x:v>예</x:v>
      </x:c>
      <x:c r="F20" s="8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114행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ead725d0ff44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68cc1d5f5a4c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889eb2af8e346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e54354c4b945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31675a95ff4a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c07b91d5d8846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712d69ba66a54e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29fdb0e361b4d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">
        <x:v>260</x:v>
      </x:c>
      <x:c r="J9" s="64" t="s">
        <x:v>261</x:v>
      </x:c>
      <x:c r="K9" s="64" t="s">
        <x:v>262</x:v>
      </x:c>
      <x:c r="L9" s="43" t="s">
        <x:v>263</x:v>
      </x:c>
      <x:c r="M9" s="65" t="s">
        <x:v>264</x:v>
      </x:c>
      <x:c r="N9" t="s">
        <x:v>265</x:v>
      </x:c>
      <x:c r="O9" t="s">
        <x:v>266</x:v>
      </x:c>
      <x:c r="P9" t="s">
        <x:v>267</x:v>
      </x:c>
      <x:c r="Q9" s="73" t="s">
        <x:v>268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10%+3%*(A10-1)</x:f>
        <x:v>0.1</x:v>
      </x:c>
      <x:c r="J10" s="66" t="n">
        <x:f>A10+1</x:f>
        <x:v>2</x:v>
      </x:c>
      <x:c r="K10" s="70" t="n">
        <x:f>100%+15%*(A10-1)</x:f>
        <x:v>1</x:v>
      </x:c>
      <x:c r="L10" s="67" t="n">
        <x:f>(LevelUpCard!H10+0.35*(A10-1))*3</x:f>
        <x:v>15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10%+3%*(A11-1)</x:f>
        <x:v>0.13</x:v>
      </x:c>
      <x:c r="J11" s="37" t="n">
        <x:f>A11+1</x:f>
        <x:v>3</x:v>
      </x:c>
      <x:c r="K11" s="41" t="n">
        <x:f>100%+15%*(A11-1)</x:f>
        <x:v>1.15</x:v>
      </x:c>
      <x:c r="L11" s="38" t="n">
        <x:f>(LevelUpCard!H10+0.35*(A11-1))*3</x:f>
        <x:v>16.049999999999997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10%+3%*(A12-1)</x:f>
        <x:v>0.16</x:v>
      </x:c>
      <x:c r="J12" s="66" t="n">
        <x:f>A12+1</x:f>
        <x:v>4</x:v>
      </x:c>
      <x:c r="K12" s="70" t="n">
        <x:f>100%+15%*(A12-1)</x:f>
        <x:v>1.3</x:v>
      </x:c>
      <x:c r="L12" s="67" t="n">
        <x:f>(LevelUpCard!H10+0.35*(A12-1))*3</x:f>
        <x:v>17.1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10%+3%*(A13-1)</x:f>
        <x:v>0.19</x:v>
      </x:c>
      <x:c r="J13" s="37" t="n">
        <x:f>A13+1</x:f>
        <x:v>5</x:v>
      </x:c>
      <x:c r="K13" s="41" t="n">
        <x:f>100%+15%*(A13-1)</x:f>
        <x:v>1.45</x:v>
      </x:c>
      <x:c r="L13" s="38" t="n">
        <x:f>(LevelUpCard!H10+0.35*(A13-1))*3</x:f>
        <x:v>18.15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10%+3%*(A14-1)</x:f>
        <x:v>0.22</x:v>
      </x:c>
      <x:c r="J14" s="66" t="n">
        <x:f>A14+1</x:f>
        <x:v>6</x:v>
      </x:c>
      <x:c r="K14" s="70" t="n">
        <x:f>100%+15%*(A14-1)</x:f>
        <x:v>1.6</x:v>
      </x:c>
      <x:c r="L14" s="67" t="n">
        <x:f>(LevelUpCard!H10+0.35*(A14-1))*3</x:f>
        <x:v>19.200000000000003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0.4초 판정창에서 추가 관통 누적 C≤L. 절단: 실제 관통 0.3초 뒤 선분에 2A_side 피해. 흡혈: 처치 시 5%, 회복 2L. 이동 참격: p=10%+3%(L-1),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13a771020c8044a1"/>
    <x:tablePart xmlns:r="http://schemas.openxmlformats.org/officeDocument/2006/relationships" r:id="R04369b2e346b49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269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270</x:v>
      </x:c>
      <x:c r="B3" s="25" t="s">
        <x:v>246</x:v>
      </x:c>
      <x:c r="C3" s="2"/>
      <x:c r="D3" s="93" t="s">
        <x:v>271</x:v>
      </x:c>
      <x:c r="E3" s="94"/>
      <x:c r="F3" s="94"/>
      <x:c r="G3" s="94" t="s">
        <x:v>272</x:v>
      </x:c>
      <x:c r="H3" s="94" t="s">
        <x:v>273</x:v>
      </x:c>
      <x:c r="I3" s="94"/>
      <x:c r="J3" s="94"/>
      <x:c r="K3" s="94"/>
      <x:c r="L3" s="95"/>
    </x:row>
    <x:row r="4" ht="40" customHeight="1">
      <x:c r="A4" s="26" t="s">
        <x:v>274</x:v>
      </x:c>
      <x:c r="B4" s="27" t="n">
        <x:f>600</x:f>
        <x:v>600</x:v>
      </x:c>
      <x:c r="C4" s="2"/>
      <x:c r="D4" s="12" t="s">
        <x:v>275</x:v>
      </x:c>
      <x:c r="E4" s="36" t="s">
        <x:v>276</x:v>
      </x:c>
      <x:c r="F4" s="28"/>
      <x:c r="G4" s="28" t="s">
        <x:v>277</x:v>
      </x:c>
      <x:c r="H4" s="28" t="s">
        <x:v>278</x:v>
      </x:c>
      <x:c r="I4" s="28"/>
      <x:c r="J4" s="28"/>
      <x:c r="K4" s="28"/>
      <x:c r="L4" s="28"/>
    </x:row>
    <x:row r="5" ht="40" customHeight="1">
      <x:c r="A5" s="29" t="s">
        <x:v>279</x:v>
      </x:c>
      <x:c r="B5" s="30" t="n">
        <x:f>COUNTA(StageSpawn!$A$2:$A$3284)</x:f>
        <x:v>3283</x:v>
      </x:c>
      <x:c r="C5" s="2"/>
      <x:c r="D5" s="12" t="s">
        <x:v>280</x:v>
      </x:c>
      <x:c r="E5" s="36" t="s">
        <x:v>281</x:v>
      </x:c>
      <x:c r="F5" s="28"/>
      <x:c r="G5" s="28" t="s">
        <x:v>282</x:v>
      </x:c>
      <x:c r="H5" s="28" t="s">
        <x:v>283</x:v>
      </x:c>
      <x:c r="I5" s="28"/>
      <x:c r="J5" s="28"/>
      <x:c r="K5" s="28"/>
      <x:c r="L5" s="28"/>
    </x:row>
    <x:row r="6" ht="40" customHeight="1">
      <x:c r="A6" s="29" t="s">
        <x:v>284</x:v>
      </x:c>
      <x:c r="B6" s="30" t="n">
        <x:f>MAX(WavePlan!$I$6:$I$65)</x:f>
        <x:v>3898</x:v>
      </x:c>
      <x:c r="C6" s="2"/>
      <x:c r="D6" s="12" t="s">
        <x:v>285</x:v>
      </x:c>
      <x:c r="E6" s="36" t="s">
        <x:v>286</x:v>
      </x:c>
      <x:c r="F6" s="28"/>
      <x:c r="G6" s="28" t="s">
        <x:v>287</x:v>
      </x:c>
      <x:c r="H6" s="28" t="s">
        <x:v>288</x:v>
      </x:c>
      <x:c r="I6" s="28"/>
      <x:c r="J6" s="28"/>
      <x:c r="K6" s="28"/>
      <x:c r="L6" s="28"/>
    </x:row>
    <x:row r="7" ht="40" customHeight="1">
      <x:c r="A7" s="29" t="s">
        <x:v>289</x:v>
      </x:c>
      <x:c r="B7" s="30" t="n">
        <x:f>MAX(WavePlan!$J$6:$J$65)</x:f>
        <x:v>50</x:v>
      </x:c>
      <x:c r="C7" s="2"/>
      <x:c r="D7" s="12" t="s">
        <x:v>290</x:v>
      </x:c>
      <x:c r="E7" s="36" t="s">
        <x:v>291</x:v>
      </x:c>
      <x:c r="F7" s="28"/>
      <x:c r="G7" s="28" t="s">
        <x:v>292</x:v>
      </x:c>
      <x:c r="H7" s="28" t="s">
        <x:v>293</x:v>
      </x:c>
      <x:c r="I7" s="28"/>
      <x:c r="J7" s="28"/>
      <x:c r="K7" s="28"/>
      <x:c r="L7" s="28"/>
    </x:row>
    <x:row r="8" ht="40" customHeight="1">
      <x:c r="A8" s="29" t="s">
        <x:v>294</x:v>
      </x:c>
      <x:c r="B8" s="30" t="n">
        <x:f>43</x:f>
        <x:v>43</x:v>
      </x:c>
      <x:c r="C8" s="2"/>
      <x:c r="D8" s="12" t="s">
        <x:v>295</x:v>
      </x:c>
      <x:c r="E8" s="36" t="s">
        <x:v>296</x:v>
      </x:c>
      <x:c r="F8" s="28"/>
      <x:c r="G8" s="28"/>
      <x:c r="H8" s="28"/>
      <x:c r="I8" s="28"/>
      <x:c r="J8" s="28"/>
      <x:c r="K8" s="28"/>
      <x:c r="L8" s="28"/>
    </x:row>
    <x:row r="9" ht="28" customHeight="1">
      <x:c r="A9" s="29" t="s">
        <x:v>297</x:v>
      </x:c>
      <x:c r="B9" s="31" t="n">
        <x:f>MAX(WavePlan!$N$6:$N$65)</x:f>
        <x:v>2</x:v>
      </x:c>
      <x:c r="C9" s="2"/>
      <x:c r="D9" s="12" t="s">
        <x:v>298</x:v>
      </x:c>
      <x:c r="E9" s="36" t="s">
        <x:v>299</x:v>
      </x:c>
      <x:c r="F9" s="28"/>
      <x:c r="G9" s="28"/>
      <x:c r="H9" s="28"/>
      <x:c r="I9" s="28"/>
      <x:c r="J9" s="28"/>
      <x:c r="K9" s="28"/>
      <x:c r="L9" s="28"/>
    </x:row>
    <x:row r="10" ht="28" customHeight="1">
      <x:c r="A10" s="29" t="s">
        <x:v>300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301</x:v>
      </x:c>
      <x:c r="E10" s="36" t="s">
        <x:v>302</x:v>
      </x:c>
      <x:c r="F10" s="28"/>
      <x:c r="G10" s="28"/>
      <x:c r="H10" s="28"/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303</x:v>
      </x:c>
      <x:c r="E11" s="36" t="s">
        <x:v>304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305</x:v>
      </x:c>
      <x:c r="E12" s="11" t="s">
        <x:v>306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307</x:v>
      </x:c>
      <x:c r="B13" s="24" t="s">
        <x:v>308</x:v>
      </x:c>
      <x:c r="C13" s="25" t="s">
        <x:v>309</x:v>
      </x:c>
      <x:c r="D13" s="61" t="s">
        <x:v>310</x:v>
      </x:c>
      <x:c r="E13" s="61" t="s">
        <x:v>311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312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313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314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315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316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317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318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319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320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321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322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b63f7793c4eb4a0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88" hidden="0" customWidth="1"/>
    <x:col min="4" max="4" width="18" hidden="0" customWidth="1"/>
    <x:col min="5" max="5" width="70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26.399999618530273" hidden="0" customHeight="1">
      <x:c r="A11" s="112" t="str">
        <x:v>CARD_PIERCING_DESCRIPTION</x:v>
      </x:c>
      <x:c r="B11" s="112" t="str">
        <x:v>Card</x:v>
      </x:c>
      <x:c r="C11" s="112" t="str">
        <x:v>0.4초 판정창 동안 적 1명을 추가로 관통합니다. 반복 공격해도 판정창이 끝날 때까지 카드 레벨만큼만 추가 관통하며, 최대 5명입니다.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26.399999618530273" hidden="0" customHeight="1">
      <x:c r="A19" s="112" t="str">
        <x:v>CARD_MOVING_SLASH_DESCRIPTION</x:v>
      </x:c>
      <x:c r="B19" s="112" t="str">
        <x:v>Card</x:v>
      </x:c>
      <x:c r="C19" s="112" t="str">
        <x:v>이동 시 초승달 검기를 생성합니다. 레벨마다 피해·크기·사거리·최대 타격 수가 증가합니다. 1~5레벨: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</x:sheetData>
  <x:pageMargins left="0.7" right="0.7" top="0.75" bottom="0.75" header="0.3" footer="0.3"/>
  <x:tableParts count="1">
    <x:tablePart xmlns:r="http://schemas.openxmlformats.org/officeDocument/2006/relationships" r:id="R1bbab20fa2c845e0"/>
  </x:tableParts>
</x:worksheet>
</file>