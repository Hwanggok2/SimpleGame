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923893d66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4d7aa08a2d04c15"/>
    <x:sheet xmlns:r="http://schemas.openxmlformats.org/officeDocument/2006/relationships" name="EnemyBalance" sheetId="3" r:id="Rbcf601328b694001"/>
    <x:sheet xmlns:r="http://schemas.openxmlformats.org/officeDocument/2006/relationships" name="StageSpawn" sheetId="2" r:id="R1b31499cab2046b0"/>
    <x:sheet xmlns:r="http://schemas.openxmlformats.org/officeDocument/2006/relationships" name="PlayerBalance" sheetId="8" r:id="R063809182fa24742"/>
    <x:sheet xmlns:r="http://schemas.openxmlformats.org/officeDocument/2006/relationships" name="PlayerLevelExp" sheetId="4" r:id="Rb14a46338fe44c5a"/>
    <x:sheet xmlns:r="http://schemas.openxmlformats.org/officeDocument/2006/relationships" name="AccountLevelExp" sheetId="5" r:id="R66c525871a2a4e49"/>
    <x:sheet xmlns:r="http://schemas.openxmlformats.org/officeDocument/2006/relationships" name="GlobalBalance" sheetId="6" r:id="Rf22955329d4d4df2"/>
    <x:sheet xmlns:r="http://schemas.openxmlformats.org/officeDocument/2006/relationships" name="LevelUpCard" sheetId="7" r:id="Rae68332dc6eb46bb"/>
    <x:sheet xmlns:r="http://schemas.openxmlformats.org/officeDocument/2006/relationships" name="WavePlan" sheetId="9" r:id="R31083e62583f4570"/>
    <x:sheet xmlns:r="http://schemas.openxmlformats.org/officeDocument/2006/relationships" name="CardMath" sheetId="10" r:id="R8f829cbef4474627"/>
    <x:sheet xmlns:r="http://schemas.openxmlformats.org/officeDocument/2006/relationships" name="BalanceSummary" sheetId="11" r:id="R662dce5726e245ea"/>
    <x:sheet xmlns:r="http://schemas.openxmlformats.org/officeDocument/2006/relationships" name="StageSpawnEasy" sheetId="12" r:id="R95bc09e8a14449a7"/>
    <x:sheet xmlns:r="http://schemas.openxmlformats.org/officeDocument/2006/relationships" name="GameString" sheetId="13" r:id="Reae993ca9fff49ac"/>
    <x:sheet xmlns:r="http://schemas.openxmlformats.org/officeDocument/2006/relationships" name="ImageData" sheetId="14" r:id="R4452aefcc8744e34"/>
    <x:sheet xmlns:r="http://schemas.openxmlformats.org/officeDocument/2006/relationships" name="LobbyDifficulty" sheetId="15" r:id="Rdcf5fbb216d2411d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<x:sst xmlns:x="http://schemas.openxmlformats.org/spreadsheetml/2006/main">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</x:sst>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32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2" fillId="0" borderId="0"/>
  </x:cellStyleXfs>
  <x:cellXfs count="15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  <x:xf numFmtId="0" fontId="0" fillId="0" borderId="31" xfId="0" applyNumberFormat="1" applyFont="1" applyFill="1" applyBorder="1"/>
    <x:xf numFmtId="0" fontId="0" fillId="0" borderId="3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4" borderId="0" xfId="0" applyNumberFormat="1" applyFont="1" applyFill="1" applyBorder="1" applyAlignment="1">
      <x:alignment horizontal="left"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0" fillId="29" borderId="0" xfId="0" applyNumberFormat="1" applyFont="1" applyFill="1" applyBorder="1"/>
    <x:xf numFmtId="200" fontId="0" fillId="0" borderId="0" xfId="0" applyNumberFormat="1" applyFont="1" applyFill="1" applyBorder="1"/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c04ae1b694da4" /><Relationship Type="http://schemas.openxmlformats.org/officeDocument/2006/relationships/theme" Target="/xl/theme/theme1.xml" Id="R49c5ac6f849844f3" /><Relationship Type="http://schemas.microsoft.com/office/2022/11/relationships/FeaturePropertyBag" Target="/xl/featurePropertyBag/featurePropertyBag.xml" Id="Rd54228034c004f31" /><Relationship Type="http://schemas.openxmlformats.org/officeDocument/2006/relationships/sharedStrings" Target="/xl/sharedStrings.xml" Id="Red531d5ed8574adb" /><Relationship Type="http://schemas.openxmlformats.org/officeDocument/2006/relationships/worksheet" Target="/xl/worksheets/sheet1.xml" Id="R94d7aa08a2d04c15" /><Relationship Type="http://schemas.openxmlformats.org/officeDocument/2006/relationships/worksheet" Target="/xl/worksheets/sheet2.xml" Id="Rbcf601328b694001" /><Relationship Type="http://schemas.openxmlformats.org/officeDocument/2006/relationships/worksheet" Target="/xl/worksheets/sheet3.xml" Id="R1b31499cab2046b0" /><Relationship Type="http://schemas.openxmlformats.org/officeDocument/2006/relationships/worksheet" Target="/xl/worksheets/sheet4.xml" Id="R063809182fa24742" /><Relationship Type="http://schemas.openxmlformats.org/officeDocument/2006/relationships/worksheet" Target="/xl/worksheets/sheet5.xml" Id="Rb14a46338fe44c5a" /><Relationship Type="http://schemas.openxmlformats.org/officeDocument/2006/relationships/worksheet" Target="/xl/worksheets/sheet6.xml" Id="R66c525871a2a4e49" /><Relationship Type="http://schemas.openxmlformats.org/officeDocument/2006/relationships/worksheet" Target="/xl/worksheets/sheet7.xml" Id="Rf22955329d4d4df2" /><Relationship Type="http://schemas.openxmlformats.org/officeDocument/2006/relationships/worksheet" Target="/xl/worksheets/sheet8.xml" Id="Rae68332dc6eb46bb" /><Relationship Type="http://schemas.openxmlformats.org/officeDocument/2006/relationships/worksheet" Target="/xl/worksheets/sheet9.xml" Id="R31083e62583f4570" /><Relationship Type="http://schemas.openxmlformats.org/officeDocument/2006/relationships/worksheet" Target="/xl/worksheets/sheet10.xml" Id="R8f829cbef4474627" /><Relationship Type="http://schemas.openxmlformats.org/officeDocument/2006/relationships/worksheet" Target="/xl/worksheets/sheet11.xml" Id="R662dce5726e245ea" /><Relationship Type="http://schemas.openxmlformats.org/officeDocument/2006/relationships/worksheet" Target="/xl/worksheets/sheet12.xml" Id="R95bc09e8a14449a7" /><Relationship Type="http://schemas.openxmlformats.org/officeDocument/2006/relationships/worksheet" Target="/xl/worksheets/sheet13.xml" Id="Reae993ca9fff49ac" /><Relationship Type="http://schemas.openxmlformats.org/officeDocument/2006/relationships/worksheet" Target="/xl/worksheets/sheet14.xml" Id="R4452aefcc8744e34" /><Relationship Type="http://schemas.openxmlformats.org/officeDocument/2006/relationships/worksheet" Target="/xl/worksheets/sheet15.xml" Id="Rdcf5fbb216d241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1cdabc1a004ec5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1cdabc1a004ec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38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65" name="ImageDataTable" displayName="ImageDataTable" ref="A1:B4" headerRowCount="1" totalsRowCount="0" totalsRowShown="0">
  <x:tableColumns count="2">
    <x:tableColumn id="1" name="Id"/>
    <x:tableColumn id="2" name="FileName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66" name="LobbyDifficultyTable" displayName="LobbyDifficultyTable" ref="A1:M4" headerRowCount="1" totalsRowCount="0" totalsRowShown="0">
  <x:tableColumns count="13">
    <x:tableColumn id="1" name="Id"/>
    <x:tableColumn id="2" name="SortOrder"/>
    <x:tableColumn id="3" name="RuntimeDifficulty"/>
    <x:tableColumn id="4" name="StageId"/>
    <x:tableColumn id="5" name="DurationMinutes"/>
    <x:tableColumn id="6" name="EnemyCountReductionPercent"/>
    <x:tableColumn id="7" name="EnemyLevelReductionPercent"/>
    <x:tableColumn id="8" name="ImageId"/>
    <x:tableColumn id="9" name="NameKey"/>
    <x:tableColumn id="10" name="ButtonDescriptionKey"/>
    <x:tableColumn id="11" name="ObjectiveKey"/>
    <x:tableColumn id="12" name="EffectDescriptionKey"/>
    <x:tableColumn id="13" name="IsAvailab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b75ba4671b41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0a07c3d3074c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6ac04d08df4a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4f9382ff144c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c273c0239f4e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29d27118f944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b6ff4ab1e249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bcc40226ac46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269f311405b4edc" /><Relationship Type="http://schemas.openxmlformats.org/officeDocument/2006/relationships/table" Target="/xl/tables/table10.xml" Id="R65a3111830b04f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3801e800f84e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d2601903f2745c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ee65eb1eb374ba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a6e23cc8dd6f42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6.1300048828125" hidden="0" customWidth="1"/>
    <x:col min="2" max="2" width="42" hidden="0" customWidth="1"/>
    <x:col min="3" max="3" width="48" hidden="0" customWidth="1"/>
    <x:col min="4" max="4" width="7.630000114440918" hidden="0" customWidth="1"/>
    <x:col min="5" max="5" width="30.1299991607666" hidden="0" customWidth="1"/>
    <x:col min="6" max="6" width="46" hidden="0" customWidth="1"/>
  </x:cols>
  <x:sheetData>
    <x:row r="1" ht="36" customHeight="1">
      <x:c r="A1" s="144" t="s">
        <x:v>0</x:v>
      </x:c>
      <x:c r="B1" s="144"/>
      <x:c r="C1" s="144"/>
      <x:c r="D1" s="144"/>
      <x:c r="E1" s="144"/>
      <x:c r="F1" s="144"/>
    </x:row>
    <x:row r="2">
      <x:c r="A2" s="111"/>
      <x:c r="B2" s="111"/>
      <x:c r="C2" s="111"/>
      <x:c r="D2" s="111"/>
      <x:c r="E2" s="111"/>
      <x:c r="F2" s="111"/>
    </x:row>
    <x:row r="3" ht="28" customHeight="1">
      <x:c r="A3" s="145" t="s">
        <x:v>1</x:v>
      </x:c>
      <x:c r="B3" s="146" t="s">
        <x:v>2</x:v>
      </x:c>
      <x:c r="C3" s="146" t="s">
        <x:v>3</x:v>
      </x:c>
      <x:c r="D3" s="146" t="s">
        <x:v>4</x:v>
      </x:c>
      <x:c r="E3" s="146" t="s">
        <x:v>5</x:v>
      </x:c>
      <x:c r="F3" s="147" t="s">
        <x:v>6</x:v>
      </x:c>
    </x:row>
    <x:row r="4" ht="38" customHeight="1">
      <x:c r="A4" s="111">
        <x:v>1</x:v>
      </x:c>
      <x:c r="B4" s="111" t="s">
        <x:v>7</x:v>
      </x:c>
      <x:c r="C4" s="111" t="s">
        <x:v>8</x:v>
      </x:c>
      <x:c r="D4" s="111" t="s">
        <x:v>9</x:v>
      </x:c>
      <x:c r="E4" s="111" t="s">
        <x:v>10</x:v>
      </x:c>
      <x:c r="F4" s="111" t="s">
        <x:v>11</x:v>
      </x:c>
    </x:row>
    <x:row r="5" ht="38" customHeight="1">
      <x:c r="A5" s="111">
        <x:v>2</x:v>
      </x:c>
      <x:c r="B5" s="111" t="s">
        <x:v>12</x:v>
      </x:c>
      <x:c r="C5" s="111" t="str">
        <x:v>보통 3,283개 + 쉬움 2487개</x:v>
      </x:c>
      <x:c r="D5" s="111" t="s">
        <x:v>9</x:v>
      </x:c>
      <x:c r="E5" s="111" t="s">
        <x:v>13</x:v>
      </x:c>
      <x:c r="F5" s="111" t="s">
        <x:v>14</x:v>
      </x:c>
    </x:row>
    <x:row r="6" ht="38" customHeight="1">
      <x:c r="A6" s="111">
        <x:v>3</x:v>
      </x:c>
      <x:c r="B6" s="111" t="s">
        <x:v>15</x:v>
      </x:c>
      <x:c r="C6" s="111" t="s">
        <x:v>16</x:v>
      </x:c>
      <x:c r="D6" s="111" t="s">
        <x:v>9</x:v>
      </x:c>
      <x:c r="E6" s="111" t="s">
        <x:v>17</x:v>
      </x:c>
      <x:c r="F6" s="111" t="s">
        <x:v>18</x:v>
      </x:c>
    </x:row>
    <x:row r="7" ht="38" customHeight="1">
      <x:c r="A7" s="111">
        <x:v>4</x:v>
      </x:c>
      <x:c r="B7" s="111" t="s">
        <x:v>19</x:v>
      </x:c>
      <x:c r="C7" s="111" t="s">
        <x:v>20</x:v>
      </x:c>
      <x:c r="D7" s="111" t="s">
        <x:v>9</x:v>
      </x:c>
      <x:c r="E7" s="111" t="s">
        <x:v>21</x:v>
      </x:c>
      <x:c r="F7" s="111" t="str">
        <x:v>보통 3,283마리 / 쉬움 2487마리</x:v>
      </x:c>
    </x:row>
    <x:row r="8">
      <x:c r="A8" s="111"/>
      <x:c r="B8" s="111"/>
      <x:c r="C8" s="111"/>
      <x:c r="D8" s="111"/>
      <x:c r="E8" s="111"/>
      <x:c r="F8" s="111"/>
    </x:row>
    <x:row r="9" ht="28" customHeight="1">
      <x:c r="A9" s="145" t="s">
        <x:v>22</x:v>
      </x:c>
      <x:c r="B9" s="146" t="s">
        <x:v>23</x:v>
      </x:c>
      <x:c r="C9" s="146" t="s">
        <x:v>24</x:v>
      </x:c>
      <x:c r="D9" s="146" t="s">
        <x:v>25</x:v>
      </x:c>
      <x:c r="E9" s="146" t="s">
        <x:v>26</x:v>
      </x:c>
      <x:c r="F9" s="147" t="s">
        <x:v>27</x:v>
      </x:c>
    </x:row>
    <x:row r="10" ht="30" customHeight="1">
      <x:c r="A10" s="111" t="s">
        <x:v>28</x:v>
      </x:c>
      <x:c r="B10" s="111" t="s">
        <x:v>29</x:v>
      </x:c>
      <x:c r="C10" s="111" t="s">
        <x:v>30</x:v>
      </x:c>
      <x:c r="D10" s="111" t="s">
        <x:v>9</x:v>
      </x:c>
      <x:c r="E10" s="111" t="s">
        <x:v>9</x:v>
      </x:c>
      <x:c r="F10" s="111" t="s">
        <x:v>31</x:v>
      </x:c>
    </x:row>
    <x:row r="11" ht="30" customHeight="1">
      <x:c r="A11" s="111" t="s">
        <x:v>32</x:v>
      </x:c>
      <x:c r="B11" s="111" t="s">
        <x:v>33</x:v>
      </x:c>
      <x:c r="C11" s="111" t="s">
        <x:v>34</x:v>
      </x:c>
      <x:c r="D11" s="111" t="s">
        <x:v>9</x:v>
      </x:c>
      <x:c r="E11" s="111" t="s">
        <x:v>9</x:v>
      </x:c>
      <x:c r="F11" s="111" t="s">
        <x:v>35</x:v>
      </x:c>
    </x:row>
    <x:row r="12" ht="30" customHeight="1">
      <x:c r="A12" s="111" t="s">
        <x:v>36</x:v>
      </x:c>
      <x:c r="B12" s="111" t="s">
        <x:v>37</x:v>
      </x:c>
      <x:c r="C12" s="111" t="s">
        <x:v>38</x:v>
      </x:c>
      <x:c r="D12" s="111" t="s">
        <x:v>9</x:v>
      </x:c>
      <x:c r="E12" s="111" t="s">
        <x:v>9</x:v>
      </x:c>
      <x:c r="F12" s="111" t="s">
        <x:v>39</x:v>
      </x:c>
    </x:row>
    <x:row r="13" ht="30" customHeight="1">
      <x:c r="A13" s="111" t="s">
        <x:v>40</x:v>
      </x:c>
      <x:c r="B13" s="111" t="s">
        <x:v>41</x:v>
      </x:c>
      <x:c r="C13" s="111" t="s">
        <x:v>42</x:v>
      </x:c>
      <x:c r="D13" s="111" t="s">
        <x:v>9</x:v>
      </x:c>
      <x:c r="E13" s="111" t="s">
        <x:v>9</x:v>
      </x:c>
      <x:c r="F13" s="111" t="s">
        <x:v>43</x:v>
      </x:c>
    </x:row>
    <x:row r="14" ht="30" customHeight="1">
      <x:c r="A14" s="111" t="s">
        <x:v>44</x:v>
      </x:c>
      <x:c r="B14" s="111" t="s">
        <x:v>45</x:v>
      </x:c>
      <x:c r="C14" s="111" t="s">
        <x:v>46</x:v>
      </x:c>
      <x:c r="D14" s="111" t="s">
        <x:v>9</x:v>
      </x:c>
      <x:c r="E14" s="111" t="s">
        <x:v>9</x:v>
      </x:c>
      <x:c r="F14" s="111" t="s">
        <x:v>47</x:v>
      </x:c>
    </x:row>
    <x:row r="15" ht="30" customHeight="1">
      <x:c r="A15" s="111" t="s">
        <x:v>48</x:v>
      </x:c>
      <x:c r="B15" s="111" t="s">
        <x:v>49</x:v>
      </x:c>
      <x:c r="C15" s="111" t="s">
        <x:v>50</x:v>
      </x:c>
      <x:c r="D15" s="111" t="s">
        <x:v>9</x:v>
      </x:c>
      <x:c r="E15" s="111" t="s">
        <x:v>9</x:v>
      </x:c>
      <x:c r="F15" s="111" t="s">
        <x:v>51</x:v>
      </x:c>
    </x:row>
    <x:row r="16" ht="30" customHeight="1">
      <x:c r="A16" s="111" t="s">
        <x:v>52</x:v>
      </x:c>
      <x:c r="B16" s="111" t="s">
        <x:v>53</x:v>
      </x:c>
      <x:c r="C16" s="111" t="str">
        <x:v>16종 / 일반·희귀·에픽·레전더리 / 융합 재료·초기화 규칙</x:v>
      </x:c>
      <x:c r="D16" s="111" t="s">
        <x:v>9</x:v>
      </x:c>
      <x:c r="E16" s="111" t="s">
        <x:v>9</x:v>
      </x:c>
      <x:c r="F16" s="111" t="str">
        <x:v>16행</x:v>
      </x:c>
    </x:row>
    <x:row r="17" ht="30" customHeight="1">
      <x:c r="A17" s="111" t="s">
        <x:v>54</x:v>
      </x:c>
      <x:c r="B17" s="111" t="s">
        <x:v>55</x:v>
      </x:c>
      <x:c r="C17" s="111" t="s">
        <x:v>56</x:v>
      </x:c>
      <x:c r="D17" s="111" t="s">
        <x:v>57</x:v>
      </x:c>
      <x:c r="E17" s="111" t="s">
        <x:v>57</x:v>
      </x:c>
      <x:c r="F17" s="111" t="s">
        <x:v>58</x:v>
      </x:c>
    </x:row>
    <x:row r="18" ht="30" customHeight="1">
      <x:c r="A18" s="111" t="s">
        <x:v>59</x:v>
      </x:c>
      <x:c r="B18" s="111" t="s">
        <x:v>60</x:v>
      </x:c>
      <x:c r="C18" s="111" t="s">
        <x:v>61</x:v>
      </x:c>
      <x:c r="D18" s="111" t="s">
        <x:v>57</x:v>
      </x:c>
      <x:c r="E18" s="111" t="s">
        <x:v>57</x:v>
      </x:c>
      <x:c r="F18" s="111" t="s">
        <x:v>62</x:v>
      </x:c>
    </x:row>
    <x:row r="19" ht="30" customHeight="1">
      <x:c r="A19" s="111" t="s">
        <x:v>63</x:v>
      </x:c>
      <x:c r="B19" s="111" t="s">
        <x:v>64</x:v>
      </x:c>
      <x:c r="C19" s="111" t="s">
        <x:v>65</x:v>
      </x:c>
      <x:c r="D19" s="111" t="s">
        <x:v>57</x:v>
      </x:c>
      <x:c r="E19" s="111" t="s">
        <x:v>57</x:v>
      </x:c>
      <x:c r="F19" s="111" t="s">
        <x:v>58</x:v>
      </x:c>
    </x:row>
    <x:row r="20" ht="26" customHeight="1">
      <x:c r="A20" s="148" t="str">
        <x:v>StageSpawnEasy</x:v>
      </x:c>
      <x:c r="B20" s="149" t="str">
        <x:v>쉬움 개별 스폰 명세</x:v>
      </x:c>
      <x:c r="C20" s="149" t="str">
        <x:v>보통 대비 일반 적 75%·적 레벨 80%</x:v>
      </x:c>
      <x:c r="D20" s="149" t="str">
        <x:v>예</x:v>
      </x:c>
      <x:c r="E20" s="149" t="str">
        <x:v>예</x:v>
      </x:c>
      <x:c r="F20" s="15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137행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  <x:row r="24">
      <x:c r="A24" s="112"/>
      <x:c r="B24" s="112"/>
      <x:c r="C24" s="112"/>
      <x:c r="D24" s="112"/>
      <x:c r="E24" s="112"/>
      <x:c r="F24" s="112"/>
    </x:row>
    <x:row r="25">
      <x:c r="A25" s="112" t="str">
        <x:v>ImageData</x:v>
      </x:c>
      <x:c r="B25" s="112" t="str">
        <x:v>로비 대표 이미지 연결</x:v>
      </x:c>
      <x:c r="C25" s="112" t="str">
        <x:v>Id·FileName</x:v>
      </x:c>
      <x:c r="D25" s="112" t="str">
        <x:v>예</x:v>
      </x:c>
      <x:c r="E25" s="112" t="str">
        <x:v>예</x:v>
      </x:c>
      <x:c r="F25" s="112" t="str">
        <x:v>Assets/Image 고정 경로</x:v>
      </x:c>
    </x:row>
    <x:row r="26">
      <x:c r="A26" s="112" t="str">
        <x:v>LobbyDifficulty</x:v>
      </x:c>
      <x:c r="B26" s="112" t="str">
        <x:v>로비 난이도 표시·입장 매핑</x:v>
      </x:c>
      <x:c r="C26" s="112" t="str">
        <x:v>쉬움·보통·어려움 UI</x:v>
      </x:c>
      <x:c r="D26" s="112" t="str">
        <x:v>예</x:v>
      </x:c>
      <x:c r="E26" s="112" t="str">
        <x:v>예</x:v>
      </x:c>
      <x:c r="F26" s="112" t="str">
        <x:v>어려움은 UI 전용</x:v>
      </x:c>
    </x:row>
    <x:row r="27">
      <x:c r="A27" s="112"/>
      <x:c r="B27" s="112"/>
      <x:c r="C27" s="112"/>
      <x:c r="D27" s="112"/>
      <x:c r="E27" s="112"/>
      <x:c r="F27" s="112"/>
    </x:row>
    <x:row r="28">
      <x:c r="A28" s="112" t="str">
        <x:v>8차 반영: Lobby UI용 난이도 표시 데이터, 대표 이미지 파일명, 문구를 시트 기반으로 분리했습니다. 쉬움 표시 시간은 5분이지만 현재 StageSpawnEasy 실제 데이터는 10분이며, 스폰 조정은 후속 작업입니다.</x:v>
      </x:c>
      <x:c r="B28" s="112"/>
      <x:c r="C28" s="112"/>
      <x:c r="D28" s="112"/>
      <x:c r="E28" s="112"/>
      <x:c r="F28" s="112"/>
    </x:row>
    <x:row r="29">
      <x:c r="A29" s="112"/>
      <x:c r="B29" s="112"/>
      <x:c r="C29" s="112"/>
      <x:c r="D29" s="112"/>
      <x:c r="E29" s="112"/>
      <x:c r="F29" s="112"/>
    </x:row>
    <x:row r="30">
      <x:c r="A30" s="112"/>
      <x:c r="B30" s="112"/>
      <x:c r="C30" s="112"/>
      <x:c r="D30" s="112"/>
      <x:c r="E30" s="112"/>
      <x:c r="F30" s="112"/>
    </x:row>
    <x:row r="31">
      <x:c r="A31" s="112"/>
      <x:c r="B31" s="112"/>
      <x:c r="C31" s="112"/>
      <x:c r="D31" s="112"/>
      <x:c r="E31" s="112"/>
      <x:c r="F31" s="112"/>
    </x:row>
    <x:row r="32">
      <x:c r="A32" s="112"/>
      <x:c r="B32" s="112"/>
      <x:c r="C32" s="112"/>
      <x:c r="D32" s="112"/>
      <x:c r="E32" s="112"/>
      <x:c r="F32" s="112"/>
    </x:row>
    <x:row r="33">
      <x:c r="A33" s="112"/>
      <x:c r="B33" s="112"/>
      <x:c r="C33" s="112"/>
      <x:c r="D33" s="112"/>
      <x:c r="E33" s="112"/>
      <x:c r="F33" s="112"/>
    </x:row>
    <x:row r="34">
      <x:c r="A34" s="112"/>
      <x:c r="B34" s="112"/>
      <x:c r="C34" s="112"/>
      <x:c r="D34" s="112"/>
      <x:c r="E34" s="112"/>
      <x:c r="F34" s="112"/>
    </x:row>
    <x:row r="35">
      <x:c r="A35" s="112"/>
      <x:c r="B35" s="112"/>
      <x:c r="C35" s="112"/>
      <x:c r="D35" s="112"/>
      <x:c r="E35" s="112"/>
      <x:c r="F35" s="112"/>
    </x:row>
    <x:row r="36">
      <x:c r="A36" s="112"/>
      <x:c r="B36" s="112"/>
      <x:c r="C36" s="112"/>
      <x:c r="D36" s="112"/>
      <x:c r="E36" s="112"/>
      <x:c r="F36" s="112"/>
    </x:row>
    <x:row r="37">
      <x:c r="A37" s="112"/>
      <x:c r="B37" s="112"/>
      <x:c r="C37" s="112"/>
      <x:c r="D37" s="112"/>
      <x:c r="E37" s="112"/>
      <x:c r="F37" s="112"/>
    </x:row>
    <x:row r="38">
      <x:c r="A38" s="112"/>
      <x:c r="B38" s="112"/>
      <x:c r="C38" s="112"/>
      <x:c r="D38" s="112"/>
      <x:c r="E38" s="112"/>
      <x:c r="F38" s="112"/>
    </x:row>
    <x:row r="39">
      <x:c r="A39" s="112"/>
      <x:c r="B39" s="112"/>
      <x:c r="C39" s="112"/>
      <x:c r="D39" s="112"/>
      <x:c r="E39" s="112"/>
      <x:c r="F39" s="112"/>
    </x:row>
    <x:row r="40">
      <x:c r="A40" s="112"/>
      <x:c r="B40" s="112"/>
      <x:c r="C40" s="112"/>
      <x:c r="D40" s="112"/>
      <x:c r="E40" s="112"/>
      <x:c r="F40" s="112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b75ba4671b41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0a07c3d3074c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a6ac04d08df4a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4f9382ff144c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c273c0239f4e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c29d27118f944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f5b6ff4ab1e249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fbcc40226ac46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tr">
        <x:v>참격 발동 확률</x:v>
      </x:c>
      <x:c r="J9" s="64" t="str">
        <x:v>참격 최대 적중</x:v>
      </x:c>
      <x:c r="K9" s="64" t="str">
        <x:v>참격 크기</x:v>
      </x:c>
      <x:c r="L9" s="43" t="str">
        <x:v>참격 후면 피해</x:v>
      </x:c>
      <x:c r="M9" s="65" t="s">
        <x:v>260</x:v>
      </x:c>
      <x:c r="N9" t="s">
        <x:v>261</x:v>
      </x:c>
      <x:c r="O9" t="s">
        <x:v>262</x:v>
      </x:c>
      <x:c r="P9" t="s">
        <x:v>263</x:v>
      </x:c>
      <x:c r="Q9" s="73" t="s">
        <x:v>264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(10%+3%*(A10-1))*1.5</x:f>
        <x:v>0.15000000000000002</x:v>
      </x:c>
      <x:c r="J10" s="66" t="n">
        <x:f>A10+1</x:f>
        <x:v>2</x:v>
      </x:c>
      <x:c r="K10" s="70" t="n">
        <x:f>100%+15%*(A10-1)</x:f>
        <x:v>1</x:v>
      </x:c>
      <x:c r="L10" s="67" t="n">
        <x:f>(LevelUpCard!$G$10+0.35*(A10-1))*3</x:f>
        <x:v>5.4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(10%+3%*(A11-1))*1.5</x:f>
        <x:v>0.195</x:v>
      </x:c>
      <x:c r="J11" s="37" t="n">
        <x:f>A11+1</x:f>
        <x:v>3</x:v>
      </x:c>
      <x:c r="K11" s="41" t="n">
        <x:f>100%+15%*(A11-1)</x:f>
        <x:v>1.15</x:v>
      </x:c>
      <x:c r="L11" s="38" t="n">
        <x:f>(LevelUpCard!$G$10+0.35*(A11-1))*3</x:f>
        <x:v>6.449999999999999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(10%+3%*(A12-1))*1.5</x:f>
        <x:v>0.24</x:v>
      </x:c>
      <x:c r="J12" s="66" t="n">
        <x:f>A12+1</x:f>
        <x:v>4</x:v>
      </x:c>
      <x:c r="K12" s="70" t="n">
        <x:f>100%+15%*(A12-1)</x:f>
        <x:v>1.3</x:v>
      </x:c>
      <x:c r="L12" s="67" t="n">
        <x:f>(LevelUpCard!$G$10+0.35*(A12-1))*3</x:f>
        <x:v>7.5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(10%+3%*(A13-1))*1.5</x:f>
        <x:v>0.28500000000000003</x:v>
      </x:c>
      <x:c r="J13" s="37" t="n">
        <x:f>A13+1</x:f>
        <x:v>5</x:v>
      </x:c>
      <x:c r="K13" s="41" t="n">
        <x:f>100%+15%*(A13-1)</x:f>
        <x:v>1.45</x:v>
      </x:c>
      <x:c r="L13" s="38" t="n">
        <x:f>(LevelUpCard!$G$10+0.35*(A13-1))*3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(10%+3%*(A14-1))*1.5</x:f>
        <x:v>0.33</x:v>
      </x:c>
      <x:c r="J14" s="66" t="n">
        <x:f>A14+1</x:f>
        <x:v>6</x:v>
      </x:c>
      <x:c r="K14" s="70" t="n">
        <x:f>100%+15%*(A14-1)</x:f>
        <x:v>1.6</x:v>
      </x:c>
      <x:c r="L14" s="67" t="n">
        <x:f>(LevelUpCard!$G$10+0.35*(A14-1))*3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8269f311405b4edc"/>
    <x:tablePart xmlns:r="http://schemas.openxmlformats.org/officeDocument/2006/relationships" r:id="R65a3111830b04fb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265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266</x:v>
      </x:c>
      <x:c r="B3" s="25" t="s">
        <x:v>246</x:v>
      </x:c>
      <x:c r="C3" s="2"/>
      <x:c r="D3" s="93" t="s">
        <x:v>267</x:v>
      </x:c>
      <x:c r="E3" s="94"/>
      <x:c r="F3" s="94"/>
      <x:c r="G3" s="94" t="s">
        <x:v>268</x:v>
      </x:c>
      <x:c r="H3" s="94" t="s">
        <x:v>269</x:v>
      </x:c>
      <x:c r="I3" s="94"/>
      <x:c r="J3" s="94"/>
      <x:c r="K3" s="94"/>
      <x:c r="L3" s="95"/>
    </x:row>
    <x:row r="4" ht="40" customHeight="1">
      <x:c r="A4" s="26" t="s">
        <x:v>270</x:v>
      </x:c>
      <x:c r="B4" s="27" t="n">
        <x:f>600</x:f>
        <x:v>600</x:v>
      </x:c>
      <x:c r="C4" s="2"/>
      <x:c r="D4" s="12" t="s">
        <x:v>271</x:v>
      </x:c>
      <x:c r="E4" s="36" t="s">
        <x:v>272</x:v>
      </x:c>
      <x:c r="F4" s="28"/>
      <x:c r="G4" s="28" t="s">
        <x:v>273</x:v>
      </x:c>
      <x:c r="H4" s="28" t="s">
        <x:v>274</x:v>
      </x:c>
      <x:c r="I4" s="28"/>
      <x:c r="J4" s="28"/>
      <x:c r="K4" s="28"/>
      <x:c r="L4" s="28"/>
    </x:row>
    <x:row r="5" ht="40" customHeight="1">
      <x:c r="A5" s="29" t="s">
        <x:v>275</x:v>
      </x:c>
      <x:c r="B5" s="30" t="n">
        <x:f>COUNTA(StageSpawn!$A$2:$A$3284)</x:f>
        <x:v>3283</x:v>
      </x:c>
      <x:c r="C5" s="2"/>
      <x:c r="D5" s="12" t="s">
        <x:v>276</x:v>
      </x:c>
      <x:c r="E5" s="36" t="s">
        <x:v>277</x:v>
      </x:c>
      <x:c r="F5" s="28"/>
      <x:c r="G5" s="28" t="s">
        <x:v>278</x:v>
      </x:c>
      <x:c r="H5" s="28" t="s">
        <x:v>279</x:v>
      </x:c>
      <x:c r="I5" s="28"/>
      <x:c r="J5" s="28"/>
      <x:c r="K5" s="28"/>
      <x:c r="L5" s="28"/>
    </x:row>
    <x:row r="6" ht="40" customHeight="1">
      <x:c r="A6" s="29" t="s">
        <x:v>280</x:v>
      </x:c>
      <x:c r="B6" s="30" t="n">
        <x:f>MAX(WavePlan!$I$6:$I$65)</x:f>
        <x:v>3898</x:v>
      </x:c>
      <x:c r="C6" s="2"/>
      <x:c r="D6" s="12" t="s">
        <x:v>281</x:v>
      </x:c>
      <x:c r="E6" s="36" t="s">
        <x:v>282</x:v>
      </x:c>
      <x:c r="F6" s="28"/>
      <x:c r="G6" s="28" t="s">
        <x:v>283</x:v>
      </x:c>
      <x:c r="H6" s="28" t="s">
        <x:v>284</x:v>
      </x:c>
      <x:c r="I6" s="28"/>
      <x:c r="J6" s="28"/>
      <x:c r="K6" s="28"/>
      <x:c r="L6" s="28"/>
    </x:row>
    <x:row r="7" ht="40" customHeight="1">
      <x:c r="A7" s="29" t="s">
        <x:v>285</x:v>
      </x:c>
      <x:c r="B7" s="30" t="n">
        <x:f>MAX(WavePlan!$J$6:$J$65)</x:f>
        <x:v>50</x:v>
      </x:c>
      <x:c r="C7" s="2"/>
      <x:c r="D7" s="12" t="s">
        <x:v>286</x:v>
      </x:c>
      <x:c r="E7" s="36" t="s">
        <x:v>287</x:v>
      </x:c>
      <x:c r="F7" s="28"/>
      <x:c r="G7" s="28" t="s">
        <x:v>288</x:v>
      </x:c>
      <x:c r="H7" s="28" t="s">
        <x:v>289</x:v>
      </x:c>
      <x:c r="I7" s="28"/>
      <x:c r="J7" s="28"/>
      <x:c r="K7" s="28"/>
      <x:c r="L7" s="28"/>
    </x:row>
    <x:row r="8" ht="40" customHeight="1">
      <x:c r="A8" s="29" t="s">
        <x:v>290</x:v>
      </x:c>
      <x:c r="B8" s="30" t="n">
        <x:f>43</x:f>
        <x:v>43</x:v>
      </x:c>
      <x:c r="C8" s="2"/>
      <x:c r="D8" s="12" t="s">
        <x:v>291</x:v>
      </x:c>
      <x:c r="E8" s="36" t="s">
        <x:v>292</x:v>
      </x:c>
      <x:c r="F8" s="28"/>
      <x:c r="G8" s="28"/>
      <x:c r="H8" s="28"/>
      <x:c r="I8" s="28"/>
      <x:c r="J8" s="28"/>
      <x:c r="K8" s="28"/>
      <x:c r="L8" s="28"/>
    </x:row>
    <x:row r="9" ht="60" hidden="0" customHeight="1">
      <x:c r="A9" s="29" t="s">
        <x:v>293</x:v>
      </x:c>
      <x:c r="B9" s="31" t="n">
        <x:f>MAX(WavePlan!$N$6:$N$65)</x:f>
        <x:v>2</x:v>
      </x:c>
      <x:c r="C9" s="2"/>
      <x:c r="D9" s="12" t="s">
        <x:v>294</x:v>
      </x:c>
      <x:c r="E9" s="36" t="str">
        <x:v>일반 공격: 0.4초 판정창 추가 타깃 누적 C≤L / 이동: 연속 입력마다 별도 L회</x:v>
      </x:c>
      <x:c r="F9" s="28"/>
      <x:c r="G9" s="28" t="str">
        <x:v>참격</x:v>
      </x:c>
      <x:c r="H9" s="28" t="str">
        <x:v>기본 공격마다 p=1.5×[10%+3%(L-1)], 쿨다운·연속 발동 제한 없음</x:v>
      </x:c>
      <x:c r="I9" s="28"/>
      <x:c r="J9" s="28"/>
      <x:c r="K9" s="28"/>
      <x:c r="L9" s="28"/>
    </x:row>
    <x:row r="10" ht="48" hidden="0" customHeight="1">
      <x:c r="A10" s="29" t="s">
        <x:v>295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296</x:v>
      </x:c>
      <x:c r="E10" s="36" t="s">
        <x:v>297</x:v>
      </x:c>
      <x:c r="F10" s="28"/>
      <x:c r="G10" s="28" t="str">
        <x:v>모드 1</x:v>
      </x:c>
      <x:c r="H10" s="28" t="str">
        <x:v>마지막 기본 공격 대상 유지·0.3초 공격·비관통 시 사거리 원주 이동</x:v>
      </x:c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298</x:v>
      </x:c>
      <x:c r="E11" s="36" t="s">
        <x:v>299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300</x:v>
      </x:c>
      <x:c r="E12" s="11" t="s">
        <x:v>301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302</x:v>
      </x:c>
      <x:c r="B13" s="24" t="s">
        <x:v>303</x:v>
      </x:c>
      <x:c r="C13" s="25" t="s">
        <x:v>304</x:v>
      </x:c>
      <x:c r="D13" s="61" t="s">
        <x:v>305</x:v>
      </x:c>
      <x:c r="E13" s="61" t="s">
        <x:v>306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307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308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309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310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311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312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313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314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315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316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317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d63801e800f84e55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.880000114440918" hidden="0" customWidth="1"/>
    <x:col min="3" max="3" width="70" hidden="0" customWidth="1"/>
    <x:col min="4" max="4" width="15.75" hidden="0" customWidth="1"/>
    <x:col min="5" max="5" width="42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39.599998474121094" hidden="0" customHeight="1">
      <x:c r="A11" s="112" t="str">
        <x:v>CARD_PIERCING_DESCRIPTION</x:v>
      </x:c>
      <x:c r="B11" s="112" t="str">
        <x:v>Card</x:v>
      </x:c>
      <x:c r="C11" s="112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이동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39.599998474121094" hidden="0" customHeight="1">
      <x:c r="A19" s="112" t="str">
        <x:v>CARD_MOVING_SLASH_DESCRIPTION</x:v>
      </x:c>
      <x:c r="B19" s="112" t="str">
        <x:v>Card</x:v>
      </x:c>
      <x:c r="C19" s="112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 s="112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 s="112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 s="112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 s="112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 s="112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 s="112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 s="112"/>
    </x:row>
    <x:row r="123">
      <x:c r="A123" s="112" t="str">
        <x:v>UI_LOBBY_TRAITS_BUTTON</x:v>
      </x:c>
      <x:c r="B123" s="112" t="str">
        <x:v>Lobby</x:v>
      </x:c>
      <x:c r="C123" s="112" t="str">
        <x:v>특성</x:v>
      </x:c>
      <x:c r="D123" s="112" t="n">
        <x:v>0</x:v>
      </x:c>
      <x:c r="E123" s="112" t="str">
        <x:v>로비 상단 임시 버튼</x:v>
      </x:c>
    </x:row>
    <x:row r="124">
      <x:c r="A124" s="112" t="str">
        <x:v>UI_LOBBY_COLLECTION_BUTTON</x:v>
      </x:c>
      <x:c r="B124" s="112" t="str">
        <x:v>Lobby</x:v>
      </x:c>
      <x:c r="C124" s="112" t="str">
        <x:v>도감</x:v>
      </x:c>
      <x:c r="D124" s="112" t="n">
        <x:v>0</x:v>
      </x:c>
      <x:c r="E124" s="112" t="str">
        <x:v>로비 상단 임시 버튼</x:v>
      </x:c>
    </x:row>
    <x:row r="125">
      <x:c r="A125" s="112" t="str">
        <x:v>UI_LOBBY_ENTER_BUTTON</x:v>
      </x:c>
      <x:c r="B125" s="112" t="str">
        <x:v>Lobby</x:v>
      </x:c>
      <x:c r="C125" s="112" t="str">
        <x:v>입장하기</x:v>
      </x:c>
      <x:c r="D125" s="112" t="n">
        <x:v>0</x:v>
      </x:c>
      <x:c r="E125" s="112" t="str">
        <x:v>선택한 난이도로 Battle 씬 진입</x:v>
      </x:c>
    </x:row>
    <x:row r="126">
      <x:c r="A126" s="112" t="str">
        <x:v>UI_LOBBY_SELECT_PROMPT</x:v>
      </x:c>
      <x:c r="B126" s="112" t="str">
        <x:v>Lobby</x:v>
      </x:c>
      <x:c r="C126" s="112" t="str">
        <x:v>난이도를 선택해 주세요.</x:v>
      </x:c>
      <x:c r="D126" s="112" t="n">
        <x:v>0</x:v>
      </x:c>
      <x:c r="E126" s="112" t="str">
        <x:v>최초 접속 미선택 상태 안내</x:v>
      </x:c>
    </x:row>
    <x:row r="127">
      <x:c r="A127" s="112" t="str">
        <x:v>UI_LOBBY_UNAVAILABLE</x:v>
      </x:c>
      <x:c r="B127" s="112" t="str">
        <x:v>Lobby</x:v>
      </x:c>
      <x:c r="C127" s="112" t="str">
        <x:v>준비 중</x:v>
      </x:c>
      <x:c r="D127" s="112" t="n">
        <x:v>0</x:v>
      </x:c>
      <x:c r="E127" s="112" t="str">
        <x:v>아직 플레이할 수 없는 난이도</x:v>
      </x:c>
    </x:row>
    <x:row r="128">
      <x:c r="A128" s="112" t="str">
        <x:v>UI_LOBBY_DIFFICULTY_LABEL_FORMAT</x:v>
      </x:c>
      <x:c r="B128" s="112" t="str">
        <x:v>Lobby</x:v>
      </x:c>
      <x:c r="C128" s="112" t="str">
        <x:v>{0} - {1}분</x:v>
      </x:c>
      <x:c r="D128" s="112" t="n">
        <x:v>2</x:v>
      </x:c>
      <x:c r="E128" s="112" t="str">
        <x:v>난이도명, 제한 시간</x:v>
      </x:c>
    </x:row>
    <x:row r="129">
      <x:c r="A129" s="112" t="str">
        <x:v>DIFFICULTY_HARD_NAME</x:v>
      </x:c>
      <x:c r="B129" s="112" t="str">
        <x:v>Difficulty</x:v>
      </x:c>
      <x:c r="C129" s="112" t="str">
        <x:v>어려움</x:v>
      </x:c>
      <x:c r="D129" s="112" t="n">
        <x:v>0</x:v>
      </x:c>
      <x:c r="E129" s="112" t="str">
        <x:v>UI 전용, 런타임 데이터 추후</x:v>
      </x:c>
    </x:row>
    <x:row r="130">
      <x:c r="A130" s="112" t="str">
        <x:v>LOBBY_DIFFICULTY_EASY_BUTTON_DESCRIPTION</x:v>
      </x:c>
      <x:c r="B130" s="112" t="str">
        <x:v>Lobby</x:v>
      </x:c>
      <x:c r="C130" s="112" t="str">
        <x:v>적이 더 적고, 약하게 생성됩니다.</x:v>
      </x:c>
      <x:c r="D130" s="112" t="n">
        <x:v>0</x:v>
      </x:c>
      <x:c r="E130" s="112" t="str">
        <x:v>쉬움 선택 버튼 설명</x:v>
      </x:c>
    </x:row>
    <x:row r="131">
      <x:c r="A131" s="112" t="str">
        <x:v>LOBBY_DIFFICULTY_NORMAL_BUTTON_DESCRIPTION</x:v>
      </x:c>
      <x:c r="B131" s="112" t="str">
        <x:v>Lobby</x:v>
      </x:c>
      <x:c r="C131" s="112" t="str">
        <x:v>이 게임의 기본 난이도입니다.</x:v>
      </x:c>
      <x:c r="D131" s="112" t="n">
        <x:v>0</x:v>
      </x:c>
      <x:c r="E131" s="112" t="str">
        <x:v>보통 선택 버튼 설명</x:v>
      </x:c>
    </x:row>
    <x:row r="132">
      <x:c r="A132" s="112" t="str">
        <x:v>LOBBY_DIFFICULTY_HARD_BUTTON_DESCRIPTION</x:v>
      </x:c>
      <x:c r="B132" s="112" t="str">
        <x:v>Lobby</x:v>
      </x:c>
      <x:c r="C132" s="112" t="str">
        <x:v>더 강하고 많은 적이 출현하며, 히든 보스 몬스터가 추가됩니다.</x:v>
      </x:c>
      <x:c r="D132" s="112" t="n">
        <x:v>0</x:v>
      </x:c>
      <x:c r="E132" s="112" t="str">
        <x:v>어려움 선택 버튼 설명</x:v>
      </x:c>
    </x:row>
    <x:row r="133">
      <x:c r="A133" s="112" t="str">
        <x:v>LOBBY_DIFFICULTY_EASY_OBJECTIVE</x:v>
      </x:c>
      <x:c r="B133" s="112" t="str">
        <x:v>Lobby</x:v>
      </x:c>
      <x:c r="C133" s="112" t="str">
        <x:v>{0}분 동안 생성되는 적을 처치하며
{0}분을 버티면 나타나는 고블린 보스를 처치하라</x:v>
      </x:c>
      <x:c r="D133" s="112" t="n">
        <x:v>1</x:v>
      </x:c>
      <x:c r="E133" s="112" t="str">
        <x:v>제한 시간</x:v>
      </x:c>
    </x:row>
    <x:row r="134">
      <x:c r="A134" s="112" t="str">
        <x:v>LOBBY_DIFFICULTY_NORMAL_OBJECTIVE</x:v>
      </x:c>
      <x:c r="B134" s="112" t="str">
        <x:v>Lobby</x:v>
      </x:c>
      <x:c r="C134" s="112" t="str">
        <x:v>{0}분 동안 생성되는 적을 처치하며
{0}분을 버티면 나타나는 최종 보스를 처치하라</x:v>
      </x:c>
      <x:c r="D134" s="112" t="n">
        <x:v>1</x:v>
      </x:c>
      <x:c r="E134" s="112" t="str">
        <x:v>제한 시간</x:v>
      </x:c>
    </x:row>
    <x:row r="135">
      <x:c r="A135" s="112" t="str">
        <x:v>LOBBY_DIFFICULTY_HARD_OBJECTIVE</x:v>
      </x:c>
      <x:c r="B135" s="112" t="str">
        <x:v>Lobby</x:v>
      </x:c>
      <x:c r="C135" s="112" t="str">
        <x:v>{0}분 동안 생성되는 적을 처치하며
{0}분을 버티면 나타나는 히든 보스를 처치하라</x:v>
      </x:c>
      <x:c r="D135" s="112" t="n">
        <x:v>1</x:v>
      </x:c>
      <x:c r="E135" s="112" t="str">
        <x:v>제한 시간</x:v>
      </x:c>
    </x:row>
    <x:row r="136">
      <x:c r="A136" s="112" t="str">
        <x:v>LOBBY_DIFFICULTY_EASY_EFFECT</x:v>
      </x:c>
      <x:c r="B136" s="112" t="str">
        <x:v>Lobby</x:v>
      </x:c>
      <x:c r="C136" s="112" t="str">
        <x:v>보통 난이도보다 {0}% 적게 생성되며,
생성되는 몬스터의 평균 레벨이 {1}% 낮습니다.</x:v>
      </x:c>
      <x:c r="D136" s="112" t="n">
        <x:v>2</x:v>
      </x:c>
      <x:c r="E136" s="112" t="str">
        <x:v>적 수 감소율, 평균 레벨 감소율</x:v>
      </x:c>
    </x:row>
    <x:row r="137">
      <x:c r="A137" s="112" t="str">
        <x:v>LOBBY_DIFFICULTY_NORMAL_EFFECT</x:v>
      </x:c>
      <x:c r="B137" s="112" t="str">
        <x:v>Lobby</x:v>
      </x:c>
      <x:c r="C137" s="112" t="str">
        <x:v>이 게임의 기준이 되는 적 수와 레벨로 진행됩니다.</x:v>
      </x:c>
      <x:c r="D137" s="112" t="n">
        <x:v>0</x:v>
      </x:c>
      <x:c r="E137" s="112" t="str">
        <x:v>보통 난이도 효과</x:v>
      </x:c>
    </x:row>
    <x:row r="138">
      <x:c r="A138" s="112" t="str">
        <x:v>LOBBY_DIFFICULTY_HARD_EFFECT</x:v>
      </x:c>
      <x:c r="B138" s="112" t="str">
        <x:v>Lobby</x:v>
      </x:c>
      <x:c r="C138" s="112" t="str">
        <x:v>보통 난이도보다 더 많고 강한 적이 생성되며,
히든 보스 몬스터가 추가됩니다.</x:v>
      </x:c>
      <x:c r="D138" s="112" t="n">
        <x:v>0</x:v>
      </x:c>
      <x:c r="E138" s="112" t="str">
        <x:v>어려움 UI 전용 설명</x:v>
      </x:c>
    </x:row>
    <x:row r="139" ht="15" hidden="0" customHeight="1">
      <x:c r="A139" s="112" t="str">
        <x:v>UI_CODEX_ENEMY_TAB</x:v>
      </x:c>
      <x:c r="B139" s="112" t="str">
        <x:v>Codex</x:v>
      </x:c>
      <x:c r="C139" s="112" t="str">
        <x:v>적</x:v>
      </x:c>
      <x:c r="D139" s="112" t="n">
        <x:v>0</x:v>
      </x:c>
      <x:c r="E139" s="112" t="str">
        <x:v>도감 내부 적 탭</x:v>
      </x:c>
    </x:row>
    <x:row r="140" ht="15" hidden="0" customHeight="1">
      <x:c r="A140" s="112" t="str">
        <x:v>UI_CODEX_CONTROLS_TAB</x:v>
      </x:c>
      <x:c r="B140" s="112" t="str">
        <x:v>Codex</x:v>
      </x:c>
      <x:c r="C140" s="112" t="str">
        <x:v>조작</x:v>
      </x:c>
      <x:c r="D140" s="112" t="n">
        <x:v>0</x:v>
      </x:c>
      <x:c r="E140" s="112" t="str">
        <x:v>도감 내부 조작 탭</x:v>
      </x:c>
    </x:row>
    <x:row r="141" ht="15" hidden="0" customHeight="1">
      <x:c r="A141" s="112" t="str">
        <x:v>UI_CODEX_SKILL_TAB</x:v>
      </x:c>
      <x:c r="B141" s="112" t="str">
        <x:v>Codex</x:v>
      </x:c>
      <x:c r="C141" s="112" t="str">
        <x:v>스킬</x:v>
      </x:c>
      <x:c r="D141" s="112" t="n">
        <x:v>0</x:v>
      </x:c>
      <x:c r="E141" s="112" t="str">
        <x:v>도감 내부 스킬 탭</x:v>
      </x:c>
    </x:row>
    <x:row r="142" ht="15" hidden="0" customHeight="1">
      <x:c r="A142" s="112" t="str">
        <x:v>UI_CODEX_TRAITS_TAB</x:v>
      </x:c>
      <x:c r="B142" s="112" t="str">
        <x:v>Codex</x:v>
      </x:c>
      <x:c r="C142" s="112" t="str">
        <x:v>특성</x:v>
      </x:c>
      <x:c r="D142" s="112" t="n">
        <x:v>0</x:v>
      </x:c>
      <x:c r="E142" s="112" t="str">
        <x:v>도감 내부 특성 탭</x:v>
      </x:c>
    </x:row>
    <x:row r="143" ht="15" hidden="0" customHeight="1">
      <x:c r="A143" s="112" t="str">
        <x:v>UI_CODEX_PAGE_FORMAT</x:v>
      </x:c>
      <x:c r="B143" s="112" t="str">
        <x:v>Codex</x:v>
      </x:c>
      <x:c r="C143" s="112" t="str">
        <x:v>{0} / {1}</x:v>
      </x:c>
      <x:c r="D143" s="112" t="n">
        <x:v>2</x:v>
      </x:c>
      <x:c r="E143" s="112" t="str">
        <x:v>현재 페이지, 전체 페이지</x:v>
      </x:c>
    </x:row>
    <x:row r="144" ht="15" hidden="0" customHeight="1">
      <x:c r="A144" s="112" t="str">
        <x:v>UI_CODEX_TRAITS_PLACEHOLDER</x:v>
      </x:c>
      <x:c r="B144" s="112" t="str">
        <x:v>Codex</x:v>
      </x:c>
      <x:c r="C144" s="112" t="str">
        <x:v>특성 콘텐츠 준비 중입니다.</x:v>
      </x:c>
      <x:c r="D144" s="112" t="n">
        <x:v>0</x:v>
      </x:c>
      <x:c r="E144" s="112" t="str">
        <x:v>특성 UI 임시 안내</x:v>
      </x:c>
    </x:row>
    <x:row r="145" ht="15" hidden="0" customHeight="1">
      <x:c r="A145" s="112" t="str">
        <x:v>CODEX_SKILL_FLYING_SWORD_NAME</x:v>
      </x:c>
      <x:c r="B145" s="112" t="str">
        <x:v>Codex</x:v>
      </x:c>
      <x:c r="C145" s="112" t="str">
        <x:v>이기어검</x:v>
      </x:c>
      <x:c r="D145" s="112" t="n">
        <x:v>0</x:v>
      </x:c>
      <x:c r="E145" s="112" t="str">
        <x:v>도감용 통합 스킬명</x:v>
      </x:c>
    </x:row>
    <x:row r="146" ht="39.599998474121094" hidden="0" customHeight="1">
      <x:c r="A146" s="112" t="str">
        <x:v>CODEX_SKILL_FLYING_SWORD_DESCRIPTION</x:v>
      </x:c>
      <x:c r="B146" s="112" t="str">
        <x:v>Codex</x:v>
      </x:c>
      <x:c r="C146" s="112" t="str">
        <x:v>플레이어가 적에게 피해를 주면 준비된 이기어검이 무작위 적의 생성 위치에서 날아갑니다. 수 증가와 타격 수 증가 카드를 통해 활성 검 개수와 한 자루의 최대 타격 수를 강화할 수 있습니다.</x:v>
      </x:c>
      <x:c r="D146" s="112" t="n">
        <x:v>0</x:v>
      </x:c>
      <x:c r="E146" s="112" t="str">
        <x:v>이기어검 두 성장 카드 통합 설명</x:v>
      </x:c>
    </x:row>
    <x:row r="147" ht="26.399999618530273" hidden="0" customHeight="1">
      <x:c r="A147" s="112" t="str">
        <x:v>ENEMY_GOBLIN_MELEE_DESCRIPTION</x:v>
      </x:c>
      <x:c r="B147" s="112" t="str">
        <x:v>Codex</x:v>
      </x:c>
      <x:c r="C147" s="112" t="str">
        <x:v>일반 등급 근접 몬스터입니다. 플레이어에게 접근한 뒤 가까운 거리에서 공격하며, 전투 중 가장 자주 마주칩니다.</x:v>
      </x:c>
      <x:c r="D147" s="112" t="n">
        <x:v>0</x:v>
      </x:c>
      <x:c r="E147" s="112" t="str">
        <x:v>근접 고블린 도감 설명</x:v>
      </x:c>
    </x:row>
    <x:row r="148" ht="26.399999618530273" hidden="0" customHeight="1">
      <x:c r="A148" s="112" t="str">
        <x:v>ENEMY_GOBLIN_RANGED_DESCRIPTION</x:v>
      </x:c>
      <x:c r="B148" s="112" t="str">
        <x:v>Codex</x:v>
      </x:c>
      <x:c r="C148" s="112" t="str">
        <x:v>일반 등급 원거리 몬스터입니다. 플레이어와 거리를 두고 투사체를 발사하므로 이동 경로와 접근 방향을 함께 확인해야 합니다.</x:v>
      </x:c>
      <x:c r="D148" s="112" t="n">
        <x:v>0</x:v>
      </x:c>
      <x:c r="E148" s="112" t="str">
        <x:v>원거리 고블린 도감 설명</x:v>
      </x:c>
    </x:row>
    <x:row r="149" ht="26.399999618530273" hidden="0" customHeight="1">
      <x:c r="A149" s="112" t="str">
        <x:v>ENEMY_SHIELD_SKELETON_DESCRIPTION</x:v>
      </x:c>
      <x:c r="B149" s="112" t="str">
        <x:v>Codex</x:v>
      </x:c>
      <x:c r="C149" s="112" t="str">
        <x:v>정면 공격을 방패로 막는 방어형 몬스터입니다. 뒤쪽에서 공격하거나 방패 우회 효과를 활용하면 안정적으로 피해를 줄 수 있습니다.</x:v>
      </x:c>
      <x:c r="D149" s="112" t="n">
        <x:v>0</x:v>
      </x:c>
      <x:c r="E149" s="112" t="str">
        <x:v>방패병 도감 설명</x:v>
      </x:c>
    </x:row>
    <x:row r="150" ht="26.399999618530273" hidden="0" customHeight="1">
      <x:c r="A150" s="112" t="str">
        <x:v>ENEMY_GOBLIN_BOSS_DESCRIPTION</x:v>
      </x:c>
      <x:c r="B150" s="112" t="str">
        <x:v>Codex</x:v>
      </x:c>
      <x:c r="C150" s="112" t="str">
        <x:v>고블린 계열의 보스 몬스터입니다. 일반 고블린보다 체력과 공격력이 높으며, 생존 구간의 주요 목표로 등장합니다.</x:v>
      </x:c>
      <x:c r="D150" s="112" t="n">
        <x:v>0</x:v>
      </x:c>
      <x:c r="E150" s="112" t="str">
        <x:v>고블린 보스 도감 설명</x:v>
      </x:c>
    </x:row>
    <x:row r="151" ht="26.399999618530273" hidden="0" customHeight="1">
      <x:c r="A151" s="112" t="str">
        <x:v>ENEMY_MUSHROOM_BOSS_DESCRIPTION</x:v>
      </x:c>
      <x:c r="B151" s="112" t="str">
        <x:v>Codex</x:v>
      </x:c>
      <x:c r="C151" s="112" t="str">
        <x:v>머쉬룸 계열의 보스 몬스터입니다. 높은 체력과 특수 공격 패턴을 지녀 공격 범위를 확인하며 이동해야 합니다.</x:v>
      </x:c>
      <x:c r="D151" s="112" t="n">
        <x:v>0</x:v>
      </x:c>
      <x:c r="E151" s="112" t="str">
        <x:v>머쉬룸 보스 도감 설명</x:v>
      </x:c>
    </x:row>
    <x:row r="152" ht="26.399999618530273" hidden="0" customHeight="1">
      <x:c r="A152" s="112" t="str">
        <x:v>ENEMY_FLYING_EYE_DESCRIPTION</x:v>
      </x:c>
      <x:c r="B152" s="112" t="str">
        <x:v>Codex</x:v>
      </x:c>
      <x:c r="C152" s="112" t="str">
        <x:v>공중을 이동하는 일반 몬스터입니다. 다른 적과 겹쳐 이동할 수 있어 지상 몬스터 뒤에 숨어 접근할 수 있습니다.</x:v>
      </x:c>
      <x:c r="D152" s="112" t="n">
        <x:v>0</x:v>
      </x:c>
      <x:c r="E152" s="112" t="str">
        <x:v>플라잉 아이 도감 설명</x:v>
      </x:c>
    </x:row>
    <x:row r="153" ht="26.399999618530273" hidden="0" customHeight="1">
      <x:c r="A153" s="112" t="str">
        <x:v>ENEMY_FLYING_EYE_BOSS_DESCRIPTION</x:v>
      </x:c>
      <x:c r="B153" s="112" t="str">
        <x:v>Codex</x:v>
      </x:c>
      <x:c r="C153" s="112" t="str">
        <x:v>플라잉 아이 계열의 보스 몬스터입니다. 공중 이동 특성과 강화된 능력치를 함께 가지므로 겹쳐진 적 무리를 주의해야 합니다.</x:v>
      </x:c>
      <x:c r="D153" s="112" t="n">
        <x:v>0</x:v>
      </x:c>
      <x:c r="E153" s="112" t="str">
        <x:v>플라잉 아이 보스 도감 설명</x:v>
      </x:c>
    </x:row>
    <x:row r="154" ht="26.399999618530273" hidden="0" customHeight="1">
      <x:c r="A154" s="112" t="str">
        <x:v>ENEMY_SKELETON_BOSS_DESCRIPTION</x:v>
      </x:c>
      <x:c r="B154" s="112" t="str">
        <x:v>Codex</x:v>
      </x:c>
      <x:c r="C154" s="112" t="str">
        <x:v>스켈레톤 계열의 보스 몬스터입니다. 정면 공격을 방어하며 특수 공격 패턴을 사용하므로 측면과 후면을 노려야 합니다.</x:v>
      </x:c>
      <x:c r="D154" s="112" t="n">
        <x:v>0</x:v>
      </x:c>
      <x:c r="E154" s="112" t="str">
        <x:v>스켈레톤 보스 도감 설명</x:v>
      </x:c>
    </x:row>
    <x:row r="155">
      <x:c r="A155" s="112"/>
      <x:c r="B155" s="112"/>
      <x:c r="C155" s="112"/>
      <x:c r="D155" s="112"/>
      <x:c r="E155" s="112"/>
    </x:row>
    <x:row r="156">
      <x:c r="A156" s="112"/>
      <x:c r="B156" s="112"/>
      <x:c r="C156" s="112"/>
      <x:c r="D156" s="112"/>
      <x:c r="E156" s="112"/>
    </x:row>
    <x:row r="157">
      <x:c r="A157" s="112"/>
      <x:c r="B157" s="112"/>
      <x:c r="C157" s="112"/>
      <x:c r="D157" s="112"/>
      <x:c r="E157" s="112"/>
    </x:row>
    <x:row r="158">
      <x:c r="A158" s="112"/>
      <x:c r="B158" s="112"/>
      <x:c r="C158" s="112"/>
      <x:c r="D158" s="112"/>
      <x:c r="E158" s="112"/>
    </x:row>
    <x:row r="159">
      <x:c r="A159" s="112"/>
      <x:c r="B159" s="112"/>
      <x:c r="C159" s="112"/>
      <x:c r="D159" s="112"/>
      <x:c r="E159" s="112"/>
    </x:row>
    <x:row r="160">
      <x:c r="A160" s="112"/>
      <x:c r="B160" s="112"/>
      <x:c r="C160" s="112"/>
      <x:c r="D160" s="112"/>
      <x:c r="E160" s="112"/>
    </x:row>
    <x:row r="161">
      <x:c r="A161" s="112"/>
      <x:c r="B161" s="112"/>
      <x:c r="C161" s="112"/>
      <x:c r="D161" s="112"/>
      <x:c r="E161" s="112"/>
    </x:row>
    <x:row r="162">
      <x:c r="A162" s="112"/>
      <x:c r="B162" s="112"/>
      <x:c r="C162" s="112"/>
      <x:c r="D162" s="112"/>
      <x:c r="E162" s="112"/>
    </x:row>
    <x:row r="163">
      <x:c r="A163" s="112"/>
      <x:c r="B163" s="112"/>
      <x:c r="C163" s="112"/>
      <x:c r="D163" s="112"/>
      <x:c r="E163" s="112"/>
    </x:row>
    <x:row r="164">
      <x:c r="A164" s="112"/>
      <x:c r="B164" s="112"/>
      <x:c r="C164" s="112"/>
      <x:c r="D164" s="112"/>
      <x:c r="E164" s="112"/>
    </x:row>
    <x:row r="165">
      <x:c r="A165" s="112"/>
      <x:c r="B165" s="112"/>
      <x:c r="C165" s="112"/>
      <x:c r="D165" s="112"/>
      <x:c r="E165" s="112"/>
    </x:row>
    <x:row r="166">
      <x:c r="A166" s="112"/>
      <x:c r="B166" s="112"/>
      <x:c r="C166" s="112"/>
      <x:c r="D166" s="112"/>
      <x:c r="E166" s="112"/>
    </x:row>
    <x:row r="167">
      <x:c r="A167" s="112"/>
      <x:c r="B167" s="112"/>
      <x:c r="C167" s="112"/>
      <x:c r="D167" s="112"/>
      <x:c r="E167" s="112"/>
    </x:row>
    <x:row r="168">
      <x:c r="A168" s="112"/>
      <x:c r="B168" s="112"/>
      <x:c r="C168" s="112"/>
      <x:c r="D168" s="112"/>
      <x:c r="E168" s="112"/>
    </x:row>
    <x:row r="169">
      <x:c r="A169" s="112"/>
      <x:c r="B169" s="112"/>
      <x:c r="C169" s="112"/>
      <x:c r="D169" s="112"/>
      <x:c r="E169" s="112"/>
    </x:row>
    <x:row r="170">
      <x:c r="A170" s="112"/>
      <x:c r="B170" s="112"/>
      <x:c r="C170" s="112"/>
      <x:c r="D170" s="112"/>
      <x:c r="E170" s="112"/>
    </x:row>
    <x:row r="171">
      <x:c r="A171" s="112"/>
      <x:c r="B171" s="112"/>
      <x:c r="C171" s="112"/>
      <x:c r="D171" s="112"/>
      <x:c r="E171" s="112"/>
    </x:row>
    <x:row r="172">
      <x:c r="A172" s="112"/>
      <x:c r="B172" s="112"/>
      <x:c r="C172" s="112"/>
      <x:c r="D172" s="112"/>
      <x:c r="E172" s="112"/>
    </x:row>
    <x:row r="173">
      <x:c r="A173" s="112"/>
      <x:c r="B173" s="112"/>
      <x:c r="C173" s="112"/>
      <x:c r="D173" s="112"/>
      <x:c r="E173" s="112"/>
    </x:row>
    <x:row r="174">
      <x:c r="A174" s="112"/>
      <x:c r="B174" s="112"/>
      <x:c r="C174" s="112"/>
      <x:c r="D174" s="112"/>
      <x:c r="E174" s="112"/>
    </x:row>
    <x:row r="175">
      <x:c r="A175" s="112"/>
      <x:c r="B175" s="112"/>
      <x:c r="C175" s="112"/>
      <x:c r="D175" s="112"/>
      <x:c r="E175" s="112"/>
    </x:row>
    <x:row r="176">
      <x:c r="A176" s="112"/>
      <x:c r="B176" s="112"/>
      <x:c r="C176" s="112"/>
      <x:c r="D176" s="112"/>
      <x:c r="E176" s="112"/>
    </x:row>
    <x:row r="177">
      <x:c r="A177" s="112"/>
      <x:c r="B177" s="112"/>
      <x:c r="C177" s="112"/>
      <x:c r="D177" s="112"/>
      <x:c r="E177" s="112"/>
    </x:row>
    <x:row r="178">
      <x:c r="A178" s="112"/>
      <x:c r="B178" s="112"/>
      <x:c r="C178" s="112"/>
      <x:c r="D178" s="112"/>
      <x:c r="E178" s="112"/>
    </x:row>
    <x:row r="179">
      <x:c r="A179" s="112"/>
      <x:c r="B179" s="112"/>
      <x:c r="C179" s="112"/>
      <x:c r="D179" s="112"/>
      <x:c r="E179" s="112"/>
    </x:row>
    <x:row r="180">
      <x:c r="A180" s="112"/>
      <x:c r="B180" s="112"/>
      <x:c r="C180" s="112"/>
      <x:c r="D180" s="112"/>
      <x:c r="E180" s="112"/>
    </x:row>
    <x:row r="181">
      <x:c r="A181" s="112"/>
      <x:c r="B181" s="112"/>
      <x:c r="C181" s="112"/>
      <x:c r="D181" s="112"/>
      <x:c r="E181" s="112"/>
    </x:row>
    <x:row r="182">
      <x:c r="A182" s="112"/>
      <x:c r="B182" s="112"/>
      <x:c r="C182" s="112"/>
      <x:c r="D182" s="112"/>
      <x:c r="E182" s="112"/>
    </x:row>
    <x:row r="183">
      <x:c r="A183" s="112"/>
      <x:c r="B183" s="112"/>
      <x:c r="C183" s="112"/>
      <x:c r="D183" s="112"/>
      <x:c r="E183" s="112"/>
    </x:row>
    <x:row r="184">
      <x:c r="A184" s="112"/>
      <x:c r="B184" s="112"/>
      <x:c r="C184" s="112"/>
      <x:c r="D184" s="112"/>
      <x:c r="E184" s="112"/>
    </x:row>
    <x:row r="185">
      <x:c r="A185" s="112"/>
      <x:c r="B185" s="112"/>
      <x:c r="C185" s="112"/>
      <x:c r="D185" s="112"/>
      <x:c r="E185" s="112"/>
    </x:row>
    <x:row r="186">
      <x:c r="A186" s="112"/>
      <x:c r="B186" s="112"/>
      <x:c r="C186" s="112"/>
      <x:c r="D186" s="112"/>
      <x:c r="E186" s="112"/>
    </x:row>
    <x:row r="187">
      <x:c r="A187" s="112"/>
      <x:c r="B187" s="112"/>
      <x:c r="C187" s="112"/>
      <x:c r="D187" s="112"/>
      <x:c r="E187" s="112"/>
    </x:row>
    <x:row r="188">
      <x:c r="A188" s="112"/>
      <x:c r="B188" s="112"/>
      <x:c r="C188" s="112"/>
      <x:c r="D188" s="112"/>
      <x:c r="E188" s="112"/>
    </x:row>
    <x:row r="189">
      <x:c r="A189" s="112"/>
      <x:c r="B189" s="112"/>
      <x:c r="C189" s="112"/>
      <x:c r="D189" s="112"/>
      <x:c r="E189" s="112"/>
    </x:row>
    <x:row r="190">
      <x:c r="A190" s="112"/>
      <x:c r="B190" s="112"/>
      <x:c r="C190" s="112"/>
      <x:c r="D190" s="112"/>
      <x:c r="E190" s="112"/>
    </x:row>
    <x:row r="191">
      <x:c r="A191" s="112"/>
      <x:c r="B191" s="112"/>
      <x:c r="C191" s="112"/>
      <x:c r="D191" s="112"/>
      <x:c r="E191" s="112"/>
    </x:row>
    <x:row r="192">
      <x:c r="A192" s="112"/>
      <x:c r="B192" s="112"/>
      <x:c r="C192" s="112"/>
      <x:c r="D192" s="112"/>
      <x:c r="E192" s="112"/>
    </x:row>
    <x:row r="193">
      <x:c r="A193" s="112"/>
      <x:c r="B193" s="112"/>
      <x:c r="C193" s="112"/>
      <x:c r="D193" s="112"/>
      <x:c r="E193" s="112"/>
    </x:row>
    <x:row r="194">
      <x:c r="A194" s="112"/>
      <x:c r="B194" s="112"/>
      <x:c r="C194" s="112"/>
      <x:c r="D194" s="112"/>
      <x:c r="E194" s="112"/>
    </x:row>
    <x:row r="195">
      <x:c r="A195" s="112"/>
      <x:c r="B195" s="112"/>
      <x:c r="C195" s="112"/>
      <x:c r="D195" s="112"/>
      <x:c r="E195" s="112"/>
    </x:row>
    <x:row r="196">
      <x:c r="A196" s="112"/>
      <x:c r="B196" s="112"/>
      <x:c r="C196" s="112"/>
      <x:c r="D196" s="112"/>
      <x:c r="E196" s="112"/>
    </x:row>
    <x:row r="197">
      <x:c r="A197" s="112"/>
      <x:c r="B197" s="112"/>
      <x:c r="C197" s="112"/>
      <x:c r="D197" s="112"/>
      <x:c r="E197" s="112"/>
    </x:row>
    <x:row r="198">
      <x:c r="A198" s="112"/>
      <x:c r="B198" s="112"/>
      <x:c r="C198" s="112"/>
      <x:c r="D198" s="112"/>
      <x:c r="E198" s="112"/>
    </x:row>
    <x:row r="199">
      <x:c r="A199" s="112"/>
      <x:c r="B199" s="112"/>
      <x:c r="C199" s="112"/>
      <x:c r="D199" s="112"/>
      <x:c r="E199" s="112"/>
    </x:row>
    <x:row r="200">
      <x:c r="A200" s="112"/>
      <x:c r="B200" s="112"/>
      <x:c r="C200" s="112"/>
      <x:c r="D200" s="112"/>
      <x:c r="E200" s="112"/>
    </x:row>
  </x:sheetData>
  <x:pageMargins left="0.7" right="0.7" top="0.75" bottom="0.75" header="0.3" footer="0.3"/>
  <x:tableParts count="1">
    <x:tablePart xmlns:r="http://schemas.openxmlformats.org/officeDocument/2006/relationships" r:id="R3d2601903f2745c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.5" hidden="0" customWidth="1"/>
    <x:col min="2" max="2" width="21.3799991607666" hidden="0" customWidth="1"/>
  </x:cols>
  <x:sheetData>
    <x:row r="1">
      <x:c r="A1" s="140" t="str">
        <x:v>Id</x:v>
      </x:c>
      <x:c r="B1" s="140" t="str">
        <x:v>FileName</x:v>
      </x:c>
    </x:row>
    <x:row r="2">
      <x:c r="A2" s="140" t="str">
        <x:v>LOBBY_DIFFICULTY_EASY</x:v>
      </x:c>
      <x:c r="B2" s="140" t="str">
        <x:v>LobbyDifficulty_Easy.png</x:v>
      </x:c>
    </x:row>
    <x:row r="3">
      <x:c r="A3" s="140" t="str">
        <x:v>LOBBY_DIFFICULTY_NORMAL</x:v>
      </x:c>
      <x:c r="B3" s="140" t="str">
        <x:v>LobbyDifficulty_Normal.png</x:v>
      </x:c>
    </x:row>
    <x:row r="4">
      <x:c r="A4" s="140" t="str">
        <x:v>LOBBY_DIFFICULTY_HARD</x:v>
      </x:c>
      <x:c r="B4" s="140" t="str">
        <x:v>LobbyDifficulty_Hard.png</x:v>
      </x:c>
    </x:row>
    <x:row r="5">
      <x:c r="A5" s="151" t="str">
        <x:v>LOBBY_SELECTED_DIFFICULTY_EASY</x:v>
      </x:c>
      <x:c r="B5" s="151" t="str">
        <x:v>Easy_Text.png</x:v>
      </x:c>
    </x:row>
    <x:row r="6">
      <x:c r="A6" s="152" t="str">
        <x:v>LOBBY_SELECTED_DIFFICULTY_NORMAL</x:v>
      </x:c>
      <x:c r="B6" s="152" t="str">
        <x:v>Normal_Text.png</x:v>
      </x:c>
    </x:row>
    <x:row r="7">
      <x:c r="A7" s="151" t="str">
        <x:v>LOBBY_SELECTED_DIFFICULTY_HARD</x:v>
      </x:c>
      <x:c r="B7" s="151" t="str">
        <x:v>Hard_Text.png</x:v>
      </x:c>
    </x:row>
  </x:sheetData>
  <x:pageMargins left="0.7" right="0.7" top="0.75" bottom="0.75" header="0.3" footer="0.3"/>
  <x:tableParts count="1">
    <x:tablePart xmlns:r="http://schemas.openxmlformats.org/officeDocument/2006/relationships" r:id="Rfee65eb1eb374ba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0.630000114440918" hidden="0" customWidth="1"/>
    <x:col min="3" max="3" width="16.3799991607666" hidden="0" customWidth="1"/>
    <x:col min="4" max="4" width="8.75" hidden="0" customWidth="1"/>
    <x:col min="5" max="5" width="16" hidden="0" customWidth="1"/>
    <x:col min="6" max="6" width="26.25" hidden="0" customWidth="1"/>
    <x:col min="7" max="7" width="25.629999160766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11.25" hidden="0" customWidth="1"/>
    <x:col min="14" max="14" width="30.5" hidden="0" customWidth="1"/>
    <x:col min="15" max="15" width="21.8799991607666" hidden="0" customWidth="1"/>
  </x:cols>
  <x:sheetData>
    <x:row r="1">
      <x:c r="A1" s="142" t="str">
        <x:v>Id</x:v>
      </x:c>
      <x:c r="B1" s="142" t="str">
        <x:v>SortOrder</x:v>
      </x:c>
      <x:c r="C1" s="142" t="str">
        <x:v>RuntimeDifficulty</x:v>
      </x:c>
      <x:c r="D1" s="142" t="str">
        <x:v>StageId</x:v>
      </x:c>
      <x:c r="E1" s="142" t="str">
        <x:v>DurationMinutes</x:v>
      </x:c>
      <x:c r="F1" s="142" t="str">
        <x:v>EnemyCountReductionPercent</x:v>
      </x:c>
      <x:c r="G1" s="142" t="str">
        <x:v>EnemyLevelReductionPercent</x:v>
      </x:c>
      <x:c r="H1" s="142" t="str">
        <x:v>ImageId</x:v>
      </x:c>
      <x:c r="I1" s="142" t="str">
        <x:v>NameKey</x:v>
      </x:c>
      <x:c r="J1" s="142" t="str">
        <x:v>ButtonDescriptionKey</x:v>
      </x:c>
      <x:c r="K1" s="142" t="str">
        <x:v>ObjectiveKey</x:v>
      </x:c>
      <x:c r="L1" s="142" t="str">
        <x:v>EffectDescriptionKey</x:v>
      </x:c>
      <x:c r="M1" s="142" t="str">
        <x:v>IsAvailable</x:v>
      </x:c>
      <x:c r="N1" t="str">
        <x:v>SelectedDifficultyImageId</x:v>
      </x:c>
      <x:c r="O1" t="str">
        <x:v>SelectedDifficultyImageScale</x:v>
      </x:c>
    </x:row>
    <x:row r="2">
      <x:c r="A2" s="142" t="str">
        <x:v>Easy</x:v>
      </x:c>
      <x:c r="B2" s="142" t="n">
        <x:v>1</x:v>
      </x:c>
      <x:c r="C2" s="142" t="str">
        <x:v>Easy</x:v>
      </x:c>
      <x:c r="D2" s="142" t="str">
        <x:v>Stage01</x:v>
      </x:c>
      <x:c r="E2" s="142" t="n">
        <x:v>5</x:v>
      </x:c>
      <x:c r="F2" s="142" t="n">
        <x:v>25</x:v>
      </x:c>
      <x:c r="G2" s="142" t="n">
        <x:v>20</x:v>
      </x:c>
      <x:c r="H2" s="142" t="str">
        <x:v>LOBBY_DIFFICULTY_EASY</x:v>
      </x:c>
      <x:c r="I2" s="142" t="str">
        <x:v>DIFFICULTY_EASY_NAME</x:v>
      </x:c>
      <x:c r="J2" s="142" t="str">
        <x:v>LOBBY_DIFFICULTY_EASY_BUTTON_DESCRIPTION</x:v>
      </x:c>
      <x:c r="K2" s="142" t="str">
        <x:v>LOBBY_DIFFICULTY_EASY_OBJECTIVE</x:v>
      </x:c>
      <x:c r="L2" s="142" t="str">
        <x:v>LOBBY_DIFFICULTY_EASY_EFFECT</x:v>
      </x:c>
      <x:c r="M2" s="143" t="b">
        <x:v>1</x:v>
      </x:c>
      <x:c r="N2" t="str">
        <x:v>LOBBY_SELECTED_DIFFICULTY_EASY</x:v>
      </x:c>
      <x:c r="O2" s="153" t="n">
        <x:v>0.9</x:v>
      </x:c>
    </x:row>
    <x:row r="3">
      <x:c r="A3" s="142" t="str">
        <x:v>Normal</x:v>
      </x:c>
      <x:c r="B3" s="142" t="n">
        <x:v>2</x:v>
      </x:c>
      <x:c r="C3" s="142" t="str">
        <x:v>Normal</x:v>
      </x:c>
      <x:c r="D3" s="142" t="str">
        <x:v>Stage01</x:v>
      </x:c>
      <x:c r="E3" s="142" t="n">
        <x:v>10</x:v>
      </x:c>
      <x:c r="F3" s="142" t="n">
        <x:v>0</x:v>
      </x:c>
      <x:c r="G3" s="142" t="n">
        <x:v>0</x:v>
      </x:c>
      <x:c r="H3" s="142" t="str">
        <x:v>LOBBY_DIFFICULTY_NORMAL</x:v>
      </x:c>
      <x:c r="I3" s="142" t="str">
        <x:v>DIFFICULTY_NORMAL_NAME</x:v>
      </x:c>
      <x:c r="J3" s="142" t="str">
        <x:v>LOBBY_DIFFICULTY_NORMAL_BUTTON_DESCRIPTION</x:v>
      </x:c>
      <x:c r="K3" s="142" t="str">
        <x:v>LOBBY_DIFFICULTY_NORMAL_OBJECTIVE</x:v>
      </x:c>
      <x:c r="L3" s="142" t="str">
        <x:v>LOBBY_DIFFICULTY_NORMAL_EFFECT</x:v>
      </x:c>
      <x:c r="M3" s="143" t="b">
        <x:v>1</x:v>
      </x:c>
      <x:c r="N3" t="str">
        <x:v>LOBBY_SELECTED_DIFFICULTY_NORMAL</x:v>
      </x:c>
      <x:c r="O3" s="153" t="n">
        <x:v>1.1</x:v>
      </x:c>
    </x:row>
    <x:row r="4">
      <x:c r="A4" s="142" t="str">
        <x:v>Hard</x:v>
      </x:c>
      <x:c r="B4" s="142" t="n">
        <x:v>3</x:v>
      </x:c>
      <x:c r="C4" s="142"/>
      <x:c r="D4" s="142"/>
      <x:c r="E4" s="142" t="n">
        <x:v>20</x:v>
      </x:c>
      <x:c r="F4" s="142" t="n">
        <x:v>0</x:v>
      </x:c>
      <x:c r="G4" s="142" t="n">
        <x:v>0</x:v>
      </x:c>
      <x:c r="H4" s="142" t="str">
        <x:v>LOBBY_DIFFICULTY_HARD</x:v>
      </x:c>
      <x:c r="I4" s="142" t="str">
        <x:v>DIFFICULTY_HARD_NAME</x:v>
      </x:c>
      <x:c r="J4" s="142" t="str">
        <x:v>LOBBY_DIFFICULTY_HARD_BUTTON_DESCRIPTION</x:v>
      </x:c>
      <x:c r="K4" s="142" t="str">
        <x:v>LOBBY_DIFFICULTY_HARD_OBJECTIVE</x:v>
      </x:c>
      <x:c r="L4" s="142" t="str">
        <x:v>LOBBY_DIFFICULTY_HARD_EFFECT</x:v>
      </x:c>
      <x:c r="M4" s="143" t="b">
        <x:v>0</x:v>
      </x:c>
      <x:c r="N4" t="str">
        <x:v>LOBBY_SELECTED_DIFFICULTY_HARD</x:v>
      </x:c>
      <x:c r="O4" s="15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6e23cc8dd6f42aa"/>
  </x:tableParts>
</x:worksheet>
</file>