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3d44783de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722b8da11d4dad"/>
    <x:sheet xmlns:r="http://schemas.openxmlformats.org/officeDocument/2006/relationships" name="EnemyBalance" sheetId="3" r:id="R252f5a54fc824cf1"/>
    <x:sheet xmlns:r="http://schemas.openxmlformats.org/officeDocument/2006/relationships" name="StageSpawn" sheetId="2" r:id="R11a4bd17c2de470d"/>
    <x:sheet xmlns:r="http://schemas.openxmlformats.org/officeDocument/2006/relationships" name="PlayerBalance" sheetId="8" r:id="R8303ddb7b23d4b5d"/>
    <x:sheet xmlns:r="http://schemas.openxmlformats.org/officeDocument/2006/relationships" name="PlayerLevelExp" sheetId="4" r:id="R3e5c5d72bf514c23"/>
    <x:sheet xmlns:r="http://schemas.openxmlformats.org/officeDocument/2006/relationships" name="AccountLevelExp" sheetId="5" r:id="R6f398d9b11b6411d"/>
    <x:sheet xmlns:r="http://schemas.openxmlformats.org/officeDocument/2006/relationships" name="GlobalBalance" sheetId="6" r:id="R271b9dcc6d3d4d92"/>
    <x:sheet xmlns:r="http://schemas.openxmlformats.org/officeDocument/2006/relationships" name="LevelUpCard" sheetId="7" r:id="R4e9abe961a7f44e4"/>
    <x:sheet xmlns:r="http://schemas.openxmlformats.org/officeDocument/2006/relationships" name="WavePlan" sheetId="9" r:id="Rb90d5364f89f464d"/>
    <x:sheet xmlns:r="http://schemas.openxmlformats.org/officeDocument/2006/relationships" name="CardMath" sheetId="10" r:id="R5706b138c85945a2"/>
    <x:sheet xmlns:r="http://schemas.openxmlformats.org/officeDocument/2006/relationships" name="BalanceSummary" sheetId="11" r:id="R5ef4a1db5e16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</x:numFmts>
  <x:fonts count="2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</x:fonts>
  <x:fills count="25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6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</x:borders>
  <x:cellStyleXfs count="2">
    <x:xf numFmtId="0" fontId="0" fillId="0" borderId="0"/>
    <x:xf numFmtId="0" fontId="4" fillId="0" borderId="0"/>
  </x:cellStyleXfs>
  <x:cellXfs count="409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 patternType="solid"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8173eb28a4c35" /><Relationship Type="http://schemas.openxmlformats.org/officeDocument/2006/relationships/theme" Target="/xl/theme/theme1.xml" Id="Rc515fc1456184801" /><Relationship Type="http://schemas.microsoft.com/office/2022/11/relationships/FeaturePropertyBag" Target="/xl/featurePropertyBag/featurePropertyBag.xml" Id="R36b5f901ce74473f" /><Relationship Type="http://schemas.openxmlformats.org/officeDocument/2006/relationships/sharedStrings" Target="/xl/sharedStrings.xml" Id="R2c0cb8bc39bc4d3d" /><Relationship Type="http://schemas.openxmlformats.org/officeDocument/2006/relationships/worksheet" Target="/xl/worksheets/sheet1.xml" Id="Rc3722b8da11d4dad" /><Relationship Type="http://schemas.openxmlformats.org/officeDocument/2006/relationships/worksheet" Target="/xl/worksheets/sheet2.xml" Id="R252f5a54fc824cf1" /><Relationship Type="http://schemas.openxmlformats.org/officeDocument/2006/relationships/worksheet" Target="/xl/worksheets/sheet3.xml" Id="R11a4bd17c2de470d" /><Relationship Type="http://schemas.openxmlformats.org/officeDocument/2006/relationships/worksheet" Target="/xl/worksheets/sheet4.xml" Id="R8303ddb7b23d4b5d" /><Relationship Type="http://schemas.openxmlformats.org/officeDocument/2006/relationships/worksheet" Target="/xl/worksheets/sheet5.xml" Id="R3e5c5d72bf514c23" /><Relationship Type="http://schemas.openxmlformats.org/officeDocument/2006/relationships/worksheet" Target="/xl/worksheets/sheet6.xml" Id="R6f398d9b11b6411d" /><Relationship Type="http://schemas.openxmlformats.org/officeDocument/2006/relationships/worksheet" Target="/xl/worksheets/sheet7.xml" Id="R271b9dcc6d3d4d92" /><Relationship Type="http://schemas.openxmlformats.org/officeDocument/2006/relationships/worksheet" Target="/xl/worksheets/sheet8.xml" Id="R4e9abe961a7f44e4" /><Relationship Type="http://schemas.openxmlformats.org/officeDocument/2006/relationships/worksheet" Target="/xl/worksheets/sheet9.xml" Id="Rb90d5364f89f464d" /><Relationship Type="http://schemas.openxmlformats.org/officeDocument/2006/relationships/worksheet" Target="/xl/worksheets/sheet10.xml" Id="R5706b138c85945a2" /><Relationship Type="http://schemas.openxmlformats.org/officeDocument/2006/relationships/worksheet" Target="/xl/worksheets/sheet11.xml" Id="R5ef4a1db5e1646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dd192734b744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웨이브별 적 수와 평균 적 레벨</a:t>
            </a:r>
          </a:p>
        </c:rich>
      </c:tx>
    </c:title>
    <c:plotArea>
      <c:lineChart>
        <c:grouping val="standard"/>
        <c:ser>
          <c:idx val="0"/>
          <c:order val="0"/>
          <c:tx>
            <c:v>EnemyCount</c:v>
          </c:tx>
          <c:marker>
            <c:symbol val="none"/>
          </c:marker>
          <c:cat>
            <c:strRef>
              <c:f>'BalanceSummary'!$A$14:$A$25</c:f>
              <c:strCache>
                <c:ptCount val="0"/>
              </c:strCache>
            </c:strRef>
          </c:cat>
          <c:val>
            <c:numRef>
              <c:f>'BalanceSummary'!$B$14:$B$25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AvgEnemyLevel</c:v>
          </c:tx>
          <c:marker>
            <c:symbol val="none"/>
          </c:marker>
          <c:cat>
            <c:strRef>
              <c:f>'BalanceSummary'!$A$14:$A$25</c:f>
              <c:strCache>
                <c:ptCount val="0"/>
              </c:strCache>
            </c:strRef>
          </c:cat>
          <c:val>
            <c:numRef>
              <c:f>'BalanceSummary'!$C$14:$C$25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dd192734b7441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0" name="StageSpawnTable" displayName="StageSpawnTable" ref="A1:G251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2" name="PlayerLevelExpTable" displayName="PlayerLevelExpTable" ref="A1:C2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35" name="LevelUpCardTable" displayName="LevelUpCardTable" ref="A1:M10" headerRowCount="1" totalsRowCount="0" totalsRowShown="0">
  <x:tableColumns count="13">
    <x:tableColumn id="1" name="CardId"/>
    <x:tableColumn id="2" name="NameKey"/>
    <x:tableColumn id="3" name="EffectType"/>
    <x:tableColumn id="4" name="TargetStat"/>
    <x:tableColumn id="5" name="Operation"/>
    <x:tableColumn id="6" name="Value"/>
    <x:tableColumn id="7" name="MaxStack"/>
    <x:tableColumn id="8" name="SelectionWeight"/>
    <x:tableColumn id="9" name="MinPlayerLevel"/>
    <x:tableColumn id="10" name="RequiredCardId"/>
    <x:tableColumn id="11" name="Rarity"/>
    <x:tableColumn id="12" name="IconId"/>
    <x:tableColumn id="13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36" name="WavePlanTable" displayName="WavePlanTable" ref="A5:O17" headerRowCount="1" totalsRowCount="0" totalsRowShown="0">
  <x:tableColumns count="15">
    <x:tableColumn id="1" name="WaveId"/>
    <x:tableColumn id="2" name="StartSec"/>
    <x:tableColumn id="3" name="Count"/>
    <x:tableColumn id="4" name="Melee"/>
    <x:tableColumn id="5" name="Ranged"/>
    <x:tableColumn id="6" name="Shield"/>
    <x:tableColumn id="7" name="Boss"/>
    <x:tableColumn id="8" name="WaveXP"/>
    <x:tableColumn id="9" name="CumulativeXP"/>
    <x:tableColumn id="10" name="ExpectedPlayerLvStart"/>
    <x:tableColumn id="11" name="MinEnemyLv"/>
    <x:tableColumn id="12" name="MaxEnemyLv"/>
    <x:tableColumn id="13" name="AvgEnemyLv"/>
    <x:tableColumn id="14" name="AvgLevelGap"/>
    <x:tableColumn id="15" name="PositionRule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37" name="CardMathTable" displayName="CardMathTable" ref="A9:L14" headerRowCount="1" totalsRowCount="0" totalsRowShown="0">
  <x:tableColumns count="12">
    <x:tableColumn id="1" name="CardLv"/>
    <x:tableColumn id="2" name="PierceAdditional"/>
    <x:tableColumn id="3" name="SeverBonus"/>
    <x:tableColumn id="4" name="Normal+Sever"/>
    <x:tableColumn id="5" name="StaticAdjacent"/>
    <x:tableColumn id="6" name="StaticPrimaryTotal"/>
    <x:tableColumn id="7" name="StaticAdjacentDamage"/>
    <x:tableColumn id="8" name="ExpectedHealPerHit"/>
    <x:tableColumn id="9" name="MoveSlashChance"/>
    <x:tableColumn id="10" name="MoveSlashMaxHits"/>
    <x:tableColumn id="11" name="MoveSlashSize"/>
    <x:tableColumn id="12" name="MoveSlashRearDamag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0da3ffa6af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240a80f62949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1da1f93c7b4b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2861b13c84a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5c8ad7e4b5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dc15744729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c5243423a749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2389f3324744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b222c7a45344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bbf1e37fbc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7" hidden="0" customWidth="1"/>
    <x:col min="2" max="2" width="27" hidden="0" customWidth="1"/>
    <x:col min="3" max="3" width="36" hidden="0" customWidth="1"/>
    <x:col min="4" max="4" width="13" hidden="0" customWidth="1"/>
    <x:col min="5" max="5" width="31" hidden="0" customWidth="1"/>
    <x:col min="6" max="6" width="24" hidden="0" customWidth="1"/>
  </x:cols>
  <x:sheetData>
    <x:row r="1" ht="34" customHeight="1">
      <x:c r="A1" s="290" t="str">
        <x:v>SimpleGame 2분 밸런스 / Excel → Unity 데이터</x:v>
      </x:c>
      <x:c r="B1" s="290" t="str">
        <x:v>SimpleGame 2분 밸런스 / Excel → Unity 데이터</x:v>
      </x:c>
      <x:c r="C1" s="290" t="str">
        <x:v>SimpleGame 2분 밸런스 / Excel → Unity 데이터</x:v>
      </x:c>
      <x:c r="D1" s="290" t="str">
        <x:v>SimpleGame 2분 밸런스 / Excel → Unity 데이터</x:v>
      </x:c>
      <x:c r="E1" s="290" t="str">
        <x:v>SimpleGame 2분 밸런스 / Excel → Unity 데이터</x:v>
      </x:c>
      <x:c r="F1" s="290" t="str">
        <x:v>SimpleGame 2분 밸런스 / Excel → Unity 데이터</x:v>
      </x:c>
    </x:row>
    <x:row r="2">
      <x:c r="A2" s="45"/>
      <x:c r="B2" s="45"/>
      <x:c r="C2" s="45"/>
      <x:c r="D2" s="45"/>
      <x:c r="E2" s="45"/>
      <x:c r="F2" s="45"/>
    </x:row>
    <x:row r="3">
      <x:c r="A3" s="326" t="str">
        <x:v>순서</x:v>
      </x:c>
      <x:c r="B3" s="327" t="str">
        <x:v>작업</x:v>
      </x:c>
      <x:c r="C3" s="327" t="str">
        <x:v>검증 포인트</x:v>
      </x:c>
      <x:c r="D3" s="327" t="str">
        <x:v>필수</x:v>
      </x:c>
      <x:c r="E3" s="327" t="str">
        <x:v>메뉴/ID</x:v>
      </x:c>
      <x:c r="F3" s="328" t="str">
        <x:v>비고</x:v>
      </x:c>
    </x:row>
    <x:row r="4" ht="30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Y</x:v>
      </x:c>
      <x:c r="E4" s="80" t="str">
        <x:v>Planning/GameData_2min_Balance.xlsx</x:v>
      </x:c>
      <x:c r="F4" s="80" t="str">
        <x:v>출력본과 동일한 구조</x:v>
      </x:c>
    </x:row>
    <x:row r="5" ht="30" customHeight="1">
      <x:c r="A5" s="80" t="n">
        <x:v>2</x:v>
      </x:c>
      <x:c r="B5" s="80" t="str">
        <x:v>Unity에서 Excel Import 실행</x:v>
      </x:c>
      <x:c r="C5" s="80" t="str">
        <x:v>Console에 250 spawns</x:v>
      </x:c>
      <x:c r="D5" s="80" t="str">
        <x:v>Y</x:v>
      </x:c>
      <x:c r="E5" s="80" t="str">
        <x:v>SimpleGame &gt; Data &gt; Import Excel</x:v>
      </x:c>
      <x:c r="F5" s="80" t="str">
        <x:v>오류 시 기존 SO 유지</x:v>
      </x:c>
    </x:row>
    <x:row r="6" ht="30" customHeight="1">
      <x:c r="A6" s="80" t="n">
        <x:v>3</x:v>
      </x:c>
      <x:c r="B6" s="80" t="str">
        <x:v>EditMode 테스트 실행</x:v>
      </x:c>
      <x:c r="C6" s="80" t="str">
        <x:v>카드 수식·선행 조건·겹침 수학</x:v>
      </x:c>
      <x:c r="D6" s="80" t="str">
        <x:v>Y</x:v>
      </x:c>
      <x:c r="E6" s="80" t="str">
        <x:v>SimpleGame.Tests.EditMode</x:v>
      </x:c>
      <x:c r="F6" s="80" t="str">
        <x:v>빌드 오류 0 확인</x:v>
      </x:c>
    </x:row>
    <x:row r="7" ht="30" customHeight="1">
      <x:c r="A7" s="80" t="n">
        <x:v>4</x:v>
      </x:c>
      <x:c r="B7" s="80" t="str">
        <x:v>2분 플레이 테스트</x:v>
      </x:c>
      <x:c r="C7" s="80" t="str">
        <x:v>웨이브마다 적 수 증가 / 후반 적 레벨 우위</x:v>
      </x:c>
      <x:c r="D7" s="80" t="str">
        <x:v>Y</x:v>
      </x:c>
      <x:c r="E7" s="80" t="str">
        <x:v>Stage01</x:v>
      </x:c>
      <x:c r="F7" s="80" t="str">
        <x:v>12웨이브 / 250마리</x:v>
      </x:c>
    </x:row>
    <x:row r="8">
      <x:c r="A8" s="45"/>
      <x:c r="B8" s="45"/>
      <x:c r="C8" s="45"/>
      <x:c r="D8" s="45"/>
      <x:c r="E8" s="45"/>
      <x:c r="F8" s="45"/>
    </x:row>
    <x:row r="9">
      <x:c r="A9" s="326" t="str">
        <x:v>시트</x:v>
      </x:c>
      <x:c r="B9" s="327" t="str">
        <x:v>역할</x:v>
      </x:c>
      <x:c r="C9" s="327" t="str">
        <x:v>핵심 내용</x:v>
      </x:c>
      <x:c r="D9" s="327" t="str">
        <x:v>수정 권장</x:v>
      </x:c>
      <x:c r="E9" s="327" t="str">
        <x:v>Unity Import</x:v>
      </x:c>
      <x:c r="F9" s="328" t="str">
        <x:v>검증</x:v>
      </x:c>
    </x:row>
    <x:row r="10" ht="28" customHeight="1">
      <x:c r="A10" s="80" t="str">
        <x:v>EnemyBalance</x:v>
      </x:c>
      <x:c r="B10" s="80" t="str">
        <x:v>적 기본 수치</x:v>
      </x:c>
      <x:c r="C10" s="80" t="str">
        <x:v>HP·공격·EXP·점수</x:v>
      </x:c>
      <x:c r="D10" s="80" t="str">
        <x:v>Y</x:v>
      </x:c>
      <x:c r="E10" s="80" t="str">
        <x:v>Y</x:v>
      </x:c>
      <x:c r="F10" s="80" t="str">
        <x:v>4종</x:v>
      </x:c>
    </x:row>
    <x:row r="11" ht="28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Y</x:v>
      </x:c>
      <x:c r="E11" s="80" t="str">
        <x:v>Y</x:v>
      </x:c>
      <x:c r="F11" s="80" t="str">
        <x:v>250행</x:v>
      </x:c>
    </x:row>
    <x:row r="12" ht="28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Y</x:v>
      </x:c>
      <x:c r="E12" s="80" t="str">
        <x:v>Y</x:v>
      </x:c>
      <x:c r="F12" s="80" t="str">
        <x:v>1종</x:v>
      </x:c>
    </x:row>
    <x:row r="13" ht="28" customHeight="1">
      <x:c r="A13" s="80" t="str">
        <x:v>PlayerLevelExp</x:v>
      </x:c>
      <x:c r="B13" s="80" t="str">
        <x:v>레벨업 경험치</x:v>
      </x:c>
      <x:c r="C13" s="80" t="str">
        <x:v>R(L)=6+2L</x:v>
      </x:c>
      <x:c r="D13" s="80" t="str">
        <x:v>Y</x:v>
      </x:c>
      <x:c r="E13" s="80" t="str">
        <x:v>Y</x:v>
      </x:c>
      <x:c r="F13" s="80" t="str">
        <x:v>20레벨</x:v>
      </x:c>
    </x:row>
    <x:row r="14" ht="28" customHeight="1">
      <x:c r="A14" s="80" t="str">
        <x:v>GlobalBalance</x:v>
      </x:c>
      <x:c r="B14" s="80" t="str">
        <x:v>공통 규칙</x:v>
      </x:c>
      <x:c r="C14" s="80" t="str">
        <x:v>치명타 상한 등</x:v>
      </x:c>
      <x:c r="D14" s="80" t="str">
        <x:v>Y</x:v>
      </x:c>
      <x:c r="E14" s="80" t="str">
        <x:v>Y</x:v>
      </x:c>
      <x:c r="F14" s="80" t="str">
        <x:v>1행</x:v>
      </x:c>
    </x:row>
    <x:row r="15" ht="28" customHeight="1">
      <x:c r="A15" s="80" t="str">
        <x:v>LevelUpCard</x:v>
      </x:c>
      <x:c r="B15" s="80" t="str">
        <x:v>레벨업 카드</x:v>
      </x:c>
      <x:c r="C15" s="80" t="str">
        <x:v>9종 / 절단 선행 조건</x:v>
      </x:c>
      <x:c r="D15" s="80" t="str">
        <x:v>Y</x:v>
      </x:c>
      <x:c r="E15" s="80" t="str">
        <x:v>Y</x:v>
      </x:c>
      <x:c r="F15" s="80" t="str">
        <x:v>9행</x:v>
      </x:c>
    </x:row>
    <x:row r="16" ht="28" customHeight="1">
      <x:c r="A16" s="80" t="str">
        <x:v>BalanceSummary</x:v>
      </x:c>
      <x:c r="B16" s="80" t="str">
        <x:v>핵심 기획</x:v>
      </x:c>
      <x:c r="C16" s="80" t="str">
        <x:v>KPI·수학식·차트</x:v>
      </x:c>
      <x:c r="D16" s="80" t="str">
        <x:v>N</x:v>
      </x:c>
      <x:c r="E16" s="80" t="str">
        <x:v>N</x:v>
      </x:c>
      <x:c r="F16" s="80" t="str">
        <x:v>수식</x:v>
      </x:c>
    </x:row>
    <x:row r="17" ht="28" customHeight="1">
      <x:c r="A17" s="80" t="str">
        <x:v>WavePlan</x:v>
      </x:c>
      <x:c r="B17" s="80" t="str">
        <x:v>웨이브 요약</x:v>
      </x:c>
      <x:c r="C17" s="80" t="str">
        <x:v>수·종류·XP·레벨 격차</x:v>
      </x:c>
      <x:c r="D17" s="80" t="str">
        <x:v>N</x:v>
      </x:c>
      <x:c r="E17" s="80" t="str">
        <x:v>N</x:v>
      </x:c>
      <x:c r="F17" s="80" t="str">
        <x:v>12웨이브</x:v>
      </x:c>
    </x:row>
    <x:row r="18" ht="28" customHeight="1">
      <x:c r="A18" s="80" t="str">
        <x:v>CardMath</x:v>
      </x:c>
      <x:c r="B18" s="80" t="str">
        <x:v>신규 카드 수식</x:v>
      </x:c>
      <x:c r="C18" s="80" t="str">
        <x:v>레벨 1~5 효과</x:v>
      </x:c>
      <x:c r="D18" s="80" t="str">
        <x:v>N</x:v>
      </x:c>
      <x:c r="E18" s="80" t="str">
        <x:v>N</x:v>
      </x:c>
      <x:c r="F18" s="80" t="str">
        <x:v>수식</x:v>
      </x:c>
    </x:row>
    <x:row r="19">
      <x:c r="A19" s="45"/>
      <x:c r="B19" s="45"/>
      <x:c r="C19" s="45"/>
      <x:c r="D19" s="45"/>
      <x:c r="E19" s="45"/>
      <x:c r="F19" s="45"/>
    </x:row>
    <x:row r="20">
      <x:c r="A20" s="326" t="str">
        <x:v>밀도 설계 참고 자료</x:v>
      </x:c>
      <x:c r="B20" s="327" t="str">
        <x:v>밀도 설계 참고 자료</x:v>
      </x:c>
      <x:c r="C20" s="327" t="str">
        <x:v>밀도 설계 참고 자료</x:v>
      </x:c>
      <x:c r="D20" s="327" t="str">
        <x:v>밀도 설계 참고 자료</x:v>
      </x:c>
      <x:c r="E20" s="327" t="str">
        <x:v>밀도 설계 참고 자료</x:v>
      </x:c>
      <x:c r="F20" s="328" t="str">
        <x:v>밀도 설계 참고 자료</x:v>
      </x:c>
    </x:row>
    <x:row r="21">
      <x:c r="A21" s="329" t="str">
        <x:v>Vampire Survivors의 웨이브는 최소 적 수와 스폰 간격을 사용합니다. 이 구조만 참고해 2분 클릭 전투용 증가식으로 축소했습니다.
https://vampire-survivors.fandom.com/wiki/Enemies</x:v>
      </x:c>
      <x:c r="B21" s="330" t="str">
        <x:v>Vampire Survivors의 웨이브는 최소 적 수와 스폰 간격을 사용합니다. 이 구조만 참고해 2분 클릭 전투용 증가식으로 축소했습니다.
https://vampire-survivors.fandom.com/wiki/Enemies</x:v>
      </x:c>
      <x:c r="C21" s="330" t="str">
        <x:v>Vampire Survivors의 웨이브는 최소 적 수와 스폰 간격을 사용합니다. 이 구조만 참고해 2분 클릭 전투용 증가식으로 축소했습니다.
https://vampire-survivors.fandom.com/wiki/Enemies</x:v>
      </x:c>
      <x:c r="D21" s="330" t="str">
        <x:v>Vampire Survivors의 웨이브는 최소 적 수와 스폰 간격을 사용합니다. 이 구조만 참고해 2분 클릭 전투용 증가식으로 축소했습니다.
https://vampire-survivors.fandom.com/wiki/Enemies</x:v>
      </x:c>
      <x:c r="E21" s="330" t="str">
        <x:v>Vampire Survivors의 웨이브는 최소 적 수와 스폰 간격을 사용합니다. 이 구조만 참고해 2분 클릭 전투용 증가식으로 축소했습니다.
https://vampire-survivors.fandom.com/wiki/Enemies</x:v>
      </x:c>
      <x:c r="F21" s="331" t="str">
        <x:v>Vampire Survivors의 웨이브는 최소 적 수와 스폰 간격을 사용합니다. 이 구조만 참고해 2분 클릭 전투용 증가식으로 축소했습니다.
https://vampire-survivors.fandom.com/wiki/Enemies</x:v>
      </x:c>
    </x:row>
    <x:row r="22">
      <x:c r="A22" s="332" t="str">
        <x:v>Vampire Survivors의 웨이브는 최소 적 수와 스폰 간격을 사용합니다. 이 구조만 참고해 2분 클릭 전투용 증가식으로 축소했습니다.
https://vampire-survivors.fandom.com/wiki/Enemies</x:v>
      </x:c>
      <x:c r="B22" s="333" t="str">
        <x:v>Vampire Survivors의 웨이브는 최소 적 수와 스폰 간격을 사용합니다. 이 구조만 참고해 2분 클릭 전투용 증가식으로 축소했습니다.
https://vampire-survivors.fandom.com/wiki/Enemies</x:v>
      </x:c>
      <x:c r="C22" s="333" t="str">
        <x:v>Vampire Survivors의 웨이브는 최소 적 수와 스폰 간격을 사용합니다. 이 구조만 참고해 2분 클릭 전투용 증가식으로 축소했습니다.
https://vampire-survivors.fandom.com/wiki/Enemies</x:v>
      </x:c>
      <x:c r="D22" s="333" t="str">
        <x:v>Vampire Survivors의 웨이브는 최소 적 수와 스폰 간격을 사용합니다. 이 구조만 참고해 2분 클릭 전투용 증가식으로 축소했습니다.
https://vampire-survivors.fandom.com/wiki/Enemies</x:v>
      </x:c>
      <x:c r="E22" s="333" t="str">
        <x:v>Vampire Survivors의 웨이브는 최소 적 수와 스폰 간격을 사용합니다. 이 구조만 참고해 2분 클릭 전투용 증가식으로 축소했습니다.
https://vampire-survivors.fandom.com/wiki/Enemies</x:v>
      </x:c>
      <x:c r="F22" s="334" t="str">
        <x:v>Vampire Survivors의 웨이브는 최소 적 수와 스폰 간격을 사용합니다. 이 구조만 참고해 2분 클릭 전투용 증가식으로 축소했습니다.
https://vampire-survivors.fandom.com/wiki/Enemies</x:v>
      </x:c>
    </x:row>
  </x:sheetData>
  <x:mergeCells>
    <x:mergeCell ref="A1:F1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HpGrowthMultiplier</x:v>
      </x:c>
      <x:c r="Q1" s="286" t="str">
        <x:v>LevelDifficultyOffset</x:v>
      </x:c>
      <x:c r="R1" s="286" t="str">
        <x:v>RearDamageMultiplier</x:v>
      </x:c>
      <x:c r="S1" s="286" t="str">
        <x:v>OneHitPlayerLevelAdvantage</x:v>
      </x:c>
      <x:c r="T1" s="286" t="str">
        <x:v>CombatProfileId</x:v>
      </x:c>
      <x:c r="U1" s="286" t="str">
        <x:v>ShowHpBar</x:v>
      </x:c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2" t="n">
        <x:v>1.7</x:v>
      </x:c>
      <x:c r="Q2" s="45" t="n">
        <x:v>0</x:v>
      </x:c>
      <x:c r="R2" s="45" t="n">
        <x:v>3</x:v>
      </x:c>
      <x:c r="S2" s="45" t="n">
        <x:v>1</x:v>
      </x:c>
      <x:c r="T2" s="45" t="str">
        <x:v>StandardMelee</x:v>
      </x:c>
      <x:c r="U2" s="46" t="b">
        <x:v>1</x:v>
      </x:c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2" t="n">
        <x:v>1.7</x:v>
      </x:c>
      <x:c r="Q3" s="45" t="n">
        <x:v>1</x:v>
      </x:c>
      <x:c r="R3" s="45" t="n">
        <x:v>3</x:v>
      </x:c>
      <x:c r="S3" s="45" t="n">
        <x:v>0</x:v>
      </x:c>
      <x:c r="T3" s="45" t="str">
        <x:v>StandardRanged</x:v>
      </x:c>
      <x:c r="U3" s="46" t="b">
        <x:v>1</x:v>
      </x:c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2" t="n">
        <x:v>1.7</x:v>
      </x:c>
      <x:c r="Q4" s="45" t="n">
        <x:v>0</x:v>
      </x:c>
      <x:c r="R4" s="45" t="n">
        <x:v>3</x:v>
      </x:c>
      <x:c r="S4" s="45" t="n">
        <x:v>2</x:v>
      </x:c>
      <x:c r="T4" s="45" t="str">
        <x:v>Shield</x:v>
      </x:c>
      <x:c r="U4" s="46" t="b">
        <x:v>1</x:v>
      </x:c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2" t="n">
        <x:v>1.7</x:v>
      </x:c>
      <x:c r="Q5" s="45" t="n">
        <x:v>0</x:v>
      </x:c>
      <x:c r="R5" s="45" t="n">
        <x:v>3</x:v>
      </x:c>
      <x:c r="S5" s="45"/>
      <x:c r="T5" s="45" t="str">
        <x:v>Boss</x:v>
      </x:c>
      <x:c r="U5" s="46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da3ffa6af43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LEFT_01</x:v>
      </x:c>
      <x:c r="F2" s="45" t="str">
        <x:v>GoblinMelee</x:v>
      </x:c>
      <x:c r="G2" s="54" t="n">
        <x:v>2</x:v>
      </x:c>
    </x:row>
    <x:row r="3" ht="20" customHeight="1">
      <x:c r="A3" s="45" t="str">
        <x:v>Stage01</x:v>
      </x:c>
      <x:c r="B3" s="45" t="str">
        <x:v>WAVE_01</x:v>
      </x:c>
      <x:c r="C3" s="51" t="n">
        <x:v>2.72</x:v>
      </x:c>
      <x:c r="D3" s="54" t="n">
        <x:v>2</x:v>
      </x:c>
      <x:c r="E3" s="45" t="str">
        <x:v>BOTTOM_01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4.44</x:v>
      </x:c>
      <x:c r="D4" s="54" t="n">
        <x:v>3</x:v>
      </x:c>
      <x:c r="E4" s="45" t="str">
        <x:v>TOP_02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6.16</x:v>
      </x:c>
      <x:c r="D5" s="54" t="n">
        <x:v>4</x:v>
      </x:c>
      <x:c r="E5" s="45" t="str">
        <x:v>RIGHT_03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WAVE_01</x:v>
      </x:c>
      <x:c r="C6" s="51" t="n">
        <x:v>7.88</x:v>
      </x:c>
      <x:c r="D6" s="54" t="n">
        <x:v>5</x:v>
      </x:c>
      <x:c r="E6" s="45" t="str">
        <x:v>LEFT_04</x:v>
      </x:c>
      <x:c r="F6" s="45" t="str">
        <x:v>GoblinMelee</x:v>
      </x:c>
      <x:c r="G6" s="54" t="n">
        <x:v>1</x:v>
      </x:c>
    </x:row>
    <x:row r="7" ht="20" customHeight="1">
      <x:c r="A7" s="45" t="str">
        <x:v>Stage01</x:v>
      </x:c>
      <x:c r="B7" s="45" t="str">
        <x:v>WAVE_01</x:v>
      </x:c>
      <x:c r="C7" s="51" t="n">
        <x:v>9.6</x:v>
      </x:c>
      <x:c r="D7" s="54" t="n">
        <x:v>6</x:v>
      </x:c>
      <x:c r="E7" s="45" t="str">
        <x:v>BOTTOM_04</x:v>
      </x:c>
      <x:c r="F7" s="45" t="str">
        <x:v>GoblinMelee</x:v>
      </x:c>
      <x:c r="G7" s="54" t="n">
        <x:v>1</x:v>
      </x:c>
    </x:row>
    <x:row r="8" ht="20" customHeight="1">
      <x:c r="A8" s="45" t="str">
        <x:v>Stage01</x:v>
      </x:c>
      <x:c r="B8" s="45" t="str">
        <x:v>WAVE_02</x:v>
      </x:c>
      <x:c r="C8" s="51" t="n">
        <x:v>11</x:v>
      </x:c>
      <x:c r="D8" s="54" t="n">
        <x:v>1</x:v>
      </x:c>
      <x:c r="E8" s="45" t="str">
        <x:v>RIGHT_02</x:v>
      </x:c>
      <x:c r="F8" s="45" t="str">
        <x:v>GoblinMelee</x:v>
      </x:c>
      <x:c r="G8" s="54" t="n">
        <x:v>3</x:v>
      </x:c>
    </x:row>
    <x:row r="9" ht="20" customHeight="1">
      <x:c r="A9" s="45" t="str">
        <x:v>Stage01</x:v>
      </x:c>
      <x:c r="B9" s="45" t="str">
        <x:v>WAVE_02</x:v>
      </x:c>
      <x:c r="C9" s="51" t="n">
        <x:v>12.23</x:v>
      </x:c>
      <x:c r="D9" s="54" t="n">
        <x:v>2</x:v>
      </x:c>
      <x:c r="E9" s="45" t="str">
        <x:v>LEFT_03</x:v>
      </x:c>
      <x:c r="F9" s="45" t="str">
        <x:v>ShieldSkeleton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13.46</x:v>
      </x:c>
      <x:c r="D10" s="54" t="n">
        <x:v>3</x:v>
      </x:c>
      <x:c r="E10" s="45" t="str">
        <x:v>BOTTOM_03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WAVE_02</x:v>
      </x:c>
      <x:c r="C11" s="51" t="n">
        <x:v>14.69</x:v>
      </x:c>
      <x:c r="D11" s="54" t="n">
        <x:v>4</x:v>
      </x:c>
      <x:c r="E11" s="45" t="str">
        <x:v>TOP_04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WAVE_02</x:v>
      </x:c>
      <x:c r="C12" s="51" t="n">
        <x:v>15.91</x:v>
      </x:c>
      <x:c r="D12" s="54" t="n">
        <x:v>5</x:v>
      </x:c>
      <x:c r="E12" s="45" t="str">
        <x:v>RIGHT_05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WAVE_02</x:v>
      </x:c>
      <x:c r="C13" s="51" t="n">
        <x:v>17.14</x:v>
      </x:c>
      <x:c r="D13" s="54" t="n">
        <x:v>6</x:v>
      </x:c>
      <x:c r="E13" s="45" t="str">
        <x:v>LEFT_06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WAVE_02</x:v>
      </x:c>
      <x:c r="C14" s="51" t="n">
        <x:v>18.37</x:v>
      </x:c>
      <x:c r="D14" s="54" t="n">
        <x:v>7</x:v>
      </x:c>
      <x:c r="E14" s="45" t="str">
        <x:v>BOTTOM_06</x:v>
      </x:c>
      <x:c r="F14" s="45" t="str">
        <x:v>GoblinMelee</x:v>
      </x:c>
      <x:c r="G14" s="54" t="n">
        <x:v>3</x:v>
      </x:c>
    </x:row>
    <x:row r="15" ht="20" customHeight="1">
      <x:c r="A15" s="45" t="str">
        <x:v>Stage01</x:v>
      </x:c>
      <x:c r="B15" s="45" t="str">
        <x:v>WAVE_02</x:v>
      </x:c>
      <x:c r="C15" s="51" t="n">
        <x:v>19.6</x:v>
      </x:c>
      <x:c r="D15" s="54" t="n">
        <x:v>8</x:v>
      </x:c>
      <x:c r="E15" s="45" t="str">
        <x:v>LEFT_08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21</x:v>
      </x:c>
      <x:c r="D16" s="54" t="n">
        <x:v>1</x:v>
      </x:c>
      <x:c r="E16" s="45" t="str">
        <x:v>TOP_03</x:v>
      </x:c>
      <x:c r="F16" s="45" t="str">
        <x:v>GoblinMelee</x:v>
      </x:c>
      <x:c r="G16" s="54" t="n">
        <x:v>4</x:v>
      </x:c>
    </x:row>
    <x:row r="17">
      <x:c r="A17" s="45" t="str">
        <x:v>Stage01</x:v>
      </x:c>
      <x:c r="B17" s="45" t="str">
        <x:v>WAVE_03</x:v>
      </x:c>
      <x:c r="C17" s="51" t="n">
        <x:v>21.96</x:v>
      </x:c>
      <x:c r="D17" s="54" t="n">
        <x:v>2</x:v>
      </x:c>
      <x:c r="E17" s="45" t="str">
        <x:v>RIGHT_04</x:v>
      </x:c>
      <x:c r="F17" s="45" t="str">
        <x:v>GoblinRanged</x:v>
      </x:c>
      <x:c r="G17" s="54" t="n">
        <x:v>4</x:v>
      </x:c>
    </x:row>
    <x:row r="18">
      <x:c r="A18" s="45" t="str">
        <x:v>Stage01</x:v>
      </x:c>
      <x:c r="B18" s="45" t="str">
        <x:v>WAVE_03</x:v>
      </x:c>
      <x:c r="C18" s="51" t="n">
        <x:v>22.91</x:v>
      </x:c>
      <x:c r="D18" s="54" t="n">
        <x:v>3</x:v>
      </x:c>
      <x:c r="E18" s="45" t="str">
        <x:v>LEFT_05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WAVE_03</x:v>
      </x:c>
      <x:c r="C19" s="51" t="n">
        <x:v>23.87</x:v>
      </x:c>
      <x:c r="D19" s="54" t="n">
        <x:v>4</x:v>
      </x:c>
      <x:c r="E19" s="45" t="str">
        <x:v>BOTTOM_05</x:v>
      </x:c>
      <x:c r="F19" s="45" t="str">
        <x:v>GoblinRanged</x:v>
      </x:c>
      <x:c r="G19" s="54" t="n">
        <x:v>4</x:v>
      </x:c>
    </x:row>
    <x:row r="20">
      <x:c r="A20" s="45" t="str">
        <x:v>Stage01</x:v>
      </x:c>
      <x:c r="B20" s="45" t="str">
        <x:v>WAVE_03</x:v>
      </x:c>
      <x:c r="C20" s="51" t="n">
        <x:v>24.82</x:v>
      </x:c>
      <x:c r="D20" s="54" t="n">
        <x:v>5</x:v>
      </x:c>
      <x:c r="E20" s="45" t="str">
        <x:v>TOP_06</x:v>
      </x:c>
      <x:c r="F20" s="45" t="str">
        <x:v>GoblinMelee</x:v>
      </x:c>
      <x:c r="G20" s="54" t="n">
        <x:v>3</x:v>
      </x:c>
    </x:row>
    <x:row r="21">
      <x:c r="A21" s="45" t="str">
        <x:v>Stage01</x:v>
      </x:c>
      <x:c r="B21" s="45" t="str">
        <x:v>WAVE_03</x:v>
      </x:c>
      <x:c r="C21" s="51" t="n">
        <x:v>25.78</x:v>
      </x:c>
      <x:c r="D21" s="54" t="n">
        <x:v>6</x:v>
      </x:c>
      <x:c r="E21" s="45" t="str">
        <x:v>RIGHT_07</x:v>
      </x:c>
      <x:c r="F21" s="45" t="str">
        <x:v>GoblinRanged</x:v>
      </x:c>
      <x:c r="G21" s="54" t="n">
        <x:v>4</x:v>
      </x:c>
    </x:row>
    <x:row r="22">
      <x:c r="A22" s="45" t="str">
        <x:v>Stage01</x:v>
      </x:c>
      <x:c r="B22" s="45" t="str">
        <x:v>WAVE_03</x:v>
      </x:c>
      <x:c r="C22" s="51" t="n">
        <x:v>26.73</x:v>
      </x:c>
      <x:c r="D22" s="54" t="n">
        <x:v>7</x:v>
      </x:c>
      <x:c r="E22" s="45" t="str">
        <x:v>LEFT_01</x:v>
      </x:c>
      <x:c r="F22" s="45" t="str">
        <x:v>GoblinMelee</x:v>
      </x:c>
      <x:c r="G22" s="54" t="n">
        <x:v>4</x:v>
      </x:c>
    </x:row>
    <x:row r="23">
      <x:c r="A23" s="45" t="str">
        <x:v>Stage01</x:v>
      </x:c>
      <x:c r="B23" s="45" t="str">
        <x:v>WAVE_03</x:v>
      </x:c>
      <x:c r="C23" s="51" t="n">
        <x:v>27.69</x:v>
      </x:c>
      <x:c r="D23" s="54" t="n">
        <x:v>8</x:v>
      </x:c>
      <x:c r="E23" s="45" t="str">
        <x:v>BOTTOM_01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WAVE_03</x:v>
      </x:c>
      <x:c r="C24" s="51" t="n">
        <x:v>28.64</x:v>
      </x:c>
      <x:c r="D24" s="54" t="n">
        <x:v>9</x:v>
      </x:c>
      <x:c r="E24" s="45" t="str">
        <x:v>TOP_02</x:v>
      </x:c>
      <x:c r="F24" s="45" t="str">
        <x:v>GoblinMelee</x:v>
      </x:c>
      <x:c r="G24" s="54" t="n">
        <x:v>3</x:v>
      </x:c>
    </x:row>
    <x:row r="25">
      <x:c r="A25" s="45" t="str">
        <x:v>Stage01</x:v>
      </x:c>
      <x:c r="B25" s="45" t="str">
        <x:v>WAVE_03</x:v>
      </x:c>
      <x:c r="C25" s="51" t="n">
        <x:v>29.6</x:v>
      </x:c>
      <x:c r="D25" s="54" t="n">
        <x:v>10</x:v>
      </x:c>
      <x:c r="E25" s="45" t="str">
        <x:v>RIGHT_03</x:v>
      </x:c>
      <x:c r="F25" s="45" t="str">
        <x:v>GoblinMelee</x:v>
      </x:c>
      <x:c r="G25" s="54" t="n">
        <x:v>3</x:v>
      </x:c>
    </x:row>
    <x:row r="26">
      <x:c r="A26" s="45" t="str">
        <x:v>Stage01</x:v>
      </x:c>
      <x:c r="B26" s="45" t="str">
        <x:v>WAVE_04</x:v>
      </x:c>
      <x:c r="C26" s="51" t="n">
        <x:v>31</x:v>
      </x:c>
      <x:c r="D26" s="54" t="n">
        <x:v>1</x:v>
      </x:c>
      <x:c r="E26" s="45" t="str">
        <x:v>BOTTOM_04</x:v>
      </x:c>
      <x:c r="F26" s="45" t="str">
        <x:v>GoblinMelee</x:v>
      </x:c>
      <x:c r="G26" s="54" t="n">
        <x:v>5</x:v>
      </x:c>
    </x:row>
    <x:row r="27">
      <x:c r="A27" s="45" t="str">
        <x:v>Stage01</x:v>
      </x:c>
      <x:c r="B27" s="45" t="str">
        <x:v>WAVE_04</x:v>
      </x:c>
      <x:c r="C27" s="51" t="n">
        <x:v>31.78</x:v>
      </x:c>
      <x:c r="D27" s="54" t="n">
        <x:v>2</x:v>
      </x:c>
      <x:c r="E27" s="45" t="str">
        <x:v>TOP_05</x:v>
      </x:c>
      <x:c r="F27" s="45" t="str">
        <x:v>GoblinRanged</x:v>
      </x:c>
      <x:c r="G27" s="54" t="n">
        <x:v>5</x:v>
      </x:c>
    </x:row>
    <x:row r="28">
      <x:c r="A28" s="45" t="str">
        <x:v>Stage01</x:v>
      </x:c>
      <x:c r="B28" s="45" t="str">
        <x:v>WAVE_04</x:v>
      </x:c>
      <x:c r="C28" s="51" t="n">
        <x:v>32.56</x:v>
      </x:c>
      <x:c r="D28" s="54" t="n">
        <x:v>3</x:v>
      </x:c>
      <x:c r="E28" s="45" t="str">
        <x:v>RIGHT_06</x:v>
      </x:c>
      <x:c r="F28" s="45" t="str">
        <x:v>ShieldSkeleton</x:v>
      </x:c>
      <x:c r="G28" s="54" t="n">
        <x:v>4</x:v>
      </x:c>
    </x:row>
    <x:row r="29">
      <x:c r="A29" s="45" t="str">
        <x:v>Stage01</x:v>
      </x:c>
      <x:c r="B29" s="45" t="str">
        <x:v>WAVE_04</x:v>
      </x:c>
      <x:c r="C29" s="51" t="n">
        <x:v>33.35</x:v>
      </x:c>
      <x:c r="D29" s="54" t="n">
        <x:v>4</x:v>
      </x:c>
      <x:c r="E29" s="45" t="str">
        <x:v>LEFT_07</x:v>
      </x:c>
      <x:c r="F29" s="45" t="str">
        <x:v>GoblinMelee</x:v>
      </x:c>
      <x:c r="G29" s="54" t="n">
        <x:v>4</x:v>
      </x:c>
    </x:row>
    <x:row r="30">
      <x:c r="A30" s="45" t="str">
        <x:v>Stage01</x:v>
      </x:c>
      <x:c r="B30" s="45" t="str">
        <x:v>WAVE_04</x:v>
      </x:c>
      <x:c r="C30" s="51" t="n">
        <x:v>34.13</x:v>
      </x:c>
      <x:c r="D30" s="54" t="n">
        <x:v>5</x:v>
      </x:c>
      <x:c r="E30" s="45" t="str">
        <x:v>RIGHT_08</x:v>
      </x:c>
      <x:c r="F30" s="45" t="str">
        <x:v>GoblinRanged</x:v>
      </x:c>
      <x:c r="G30" s="54" t="n">
        <x:v>5</x:v>
      </x:c>
    </x:row>
    <x:row r="31">
      <x:c r="A31" s="45" t="str">
        <x:v>Stage01</x:v>
      </x:c>
      <x:c r="B31" s="45" t="str">
        <x:v>WAVE_04</x:v>
      </x:c>
      <x:c r="C31" s="51" t="n">
        <x:v>34.91</x:v>
      </x:c>
      <x:c r="D31" s="54" t="n">
        <x:v>6</x:v>
      </x:c>
      <x:c r="E31" s="45" t="str">
        <x:v>TOP_01</x:v>
      </x:c>
      <x:c r="F31" s="45" t="str">
        <x:v>GoblinMelee</x:v>
      </x:c>
      <x:c r="G31" s="54" t="n">
        <x:v>4</x:v>
      </x:c>
    </x:row>
    <x:row r="32">
      <x:c r="A32" s="45" t="str">
        <x:v>Stage01</x:v>
      </x:c>
      <x:c r="B32" s="45" t="str">
        <x:v>WAVE_04</x:v>
      </x:c>
      <x:c r="C32" s="51" t="n">
        <x:v>35.69</x:v>
      </x:c>
      <x:c r="D32" s="54" t="n">
        <x:v>7</x:v>
      </x:c>
      <x:c r="E32" s="45" t="str">
        <x:v>RIGHT_02</x:v>
      </x:c>
      <x:c r="F32" s="45" t="str">
        <x:v>GoblinRanged</x:v>
      </x:c>
      <x:c r="G32" s="54" t="n">
        <x:v>6</x:v>
      </x:c>
    </x:row>
    <x:row r="33">
      <x:c r="A33" s="45" t="str">
        <x:v>Stage01</x:v>
      </x:c>
      <x:c r="B33" s="45" t="str">
        <x:v>WAVE_04</x:v>
      </x:c>
      <x:c r="C33" s="51" t="n">
        <x:v>36.47</x:v>
      </x:c>
      <x:c r="D33" s="54" t="n">
        <x:v>8</x:v>
      </x:c>
      <x:c r="E33" s="45" t="str">
        <x:v>LEFT_03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WAVE_04</x:v>
      </x:c>
      <x:c r="C34" s="51" t="n">
        <x:v>37.25</x:v>
      </x:c>
      <x:c r="D34" s="54" t="n">
        <x:v>9</x:v>
      </x:c>
      <x:c r="E34" s="45" t="str">
        <x:v>BOTTOM_03</x:v>
      </x:c>
      <x:c r="F34" s="45" t="str">
        <x:v>GoblinMelee</x:v>
      </x:c>
      <x:c r="G34" s="54" t="n">
        <x:v>4</x:v>
      </x:c>
    </x:row>
    <x:row r="35">
      <x:c r="A35" s="45" t="str">
        <x:v>Stage01</x:v>
      </x:c>
      <x:c r="B35" s="45" t="str">
        <x:v>WAVE_04</x:v>
      </x:c>
      <x:c r="C35" s="51" t="n">
        <x:v>38.04</x:v>
      </x:c>
      <x:c r="D35" s="54" t="n">
        <x:v>10</x:v>
      </x:c>
      <x:c r="E35" s="45" t="str">
        <x:v>TOP_04</x:v>
      </x:c>
      <x:c r="F35" s="45" t="str">
        <x:v>GoblinMelee</x:v>
      </x:c>
      <x:c r="G35" s="54" t="n">
        <x:v>4</x:v>
      </x:c>
    </x:row>
    <x:row r="36">
      <x:c r="A36" s="45" t="str">
        <x:v>Stage01</x:v>
      </x:c>
      <x:c r="B36" s="45" t="str">
        <x:v>WAVE_04</x:v>
      </x:c>
      <x:c r="C36" s="51" t="n">
        <x:v>38.82</x:v>
      </x:c>
      <x:c r="D36" s="54" t="n">
        <x:v>11</x:v>
      </x:c>
      <x:c r="E36" s="45" t="str">
        <x:v>RIGHT_05</x:v>
      </x:c>
      <x:c r="F36" s="45" t="str">
        <x:v>GoblinMelee</x:v>
      </x:c>
      <x:c r="G36" s="54" t="n">
        <x:v>4</x:v>
      </x:c>
    </x:row>
    <x:row r="37">
      <x:c r="A37" s="45" t="str">
        <x:v>Stage01</x:v>
      </x:c>
      <x:c r="B37" s="45" t="str">
        <x:v>WAVE_04</x:v>
      </x:c>
      <x:c r="C37" s="51" t="n">
        <x:v>39.6</x:v>
      </x:c>
      <x:c r="D37" s="54" t="n">
        <x:v>12</x:v>
      </x:c>
      <x:c r="E37" s="45" t="str">
        <x:v>LEFT_06</x:v>
      </x:c>
      <x:c r="F37" s="45" t="str">
        <x:v>GoblinMelee</x:v>
      </x:c>
      <x:c r="G37" s="54" t="n">
        <x:v>4</x:v>
      </x:c>
    </x:row>
    <x:row r="38">
      <x:c r="A38" s="45" t="str">
        <x:v>Stage01</x:v>
      </x:c>
      <x:c r="B38" s="45" t="str">
        <x:v>WAVE_05</x:v>
      </x:c>
      <x:c r="C38" s="51" t="n">
        <x:v>41</x:v>
      </x:c>
      <x:c r="D38" s="54" t="n">
        <x:v>1</x:v>
      </x:c>
      <x:c r="E38" s="45" t="str">
        <x:v>LEFT_06</x:v>
      </x:c>
      <x:c r="F38" s="45" t="str">
        <x:v>GoblinMelee</x:v>
      </x:c>
      <x:c r="G38" s="54" t="n">
        <x:v>7</x:v>
      </x:c>
    </x:row>
    <x:row r="39">
      <x:c r="A39" s="45" t="str">
        <x:v>Stage01</x:v>
      </x:c>
      <x:c r="B39" s="45" t="str">
        <x:v>WAVE_05</x:v>
      </x:c>
      <x:c r="C39" s="51" t="n">
        <x:v>41.61</x:v>
      </x:c>
      <x:c r="D39" s="54" t="n">
        <x:v>2</x:v>
      </x:c>
      <x:c r="E39" s="45" t="str">
        <x:v>BOTTOM_06</x:v>
      </x:c>
      <x:c r="F39" s="45" t="str">
        <x:v>GoblinRanged</x:v>
      </x:c>
      <x:c r="G39" s="54" t="n">
        <x:v>7</x:v>
      </x:c>
    </x:row>
    <x:row r="40">
      <x:c r="A40" s="45" t="str">
        <x:v>Stage01</x:v>
      </x:c>
      <x:c r="B40" s="45" t="str">
        <x:v>WAVE_05</x:v>
      </x:c>
      <x:c r="C40" s="51" t="n">
        <x:v>42.23</x:v>
      </x:c>
      <x:c r="D40" s="54" t="n">
        <x:v>3</x:v>
      </x:c>
      <x:c r="E40" s="45" t="str">
        <x:v>LEFT_08</x:v>
      </x:c>
      <x:c r="F40" s="45" t="str">
        <x:v>ShieldSkeleton</x:v>
      </x:c>
      <x:c r="G40" s="54" t="n">
        <x:v>6</x:v>
      </x:c>
    </x:row>
    <x:row r="41">
      <x:c r="A41" s="45" t="str">
        <x:v>Stage01</x:v>
      </x:c>
      <x:c r="B41" s="45" t="str">
        <x:v>WAVE_05</x:v>
      </x:c>
      <x:c r="C41" s="51" t="n">
        <x:v>42.84</x:v>
      </x:c>
      <x:c r="D41" s="54" t="n">
        <x:v>4</x:v>
      </x:c>
      <x:c r="E41" s="45" t="str">
        <x:v>RIGHT_01</x:v>
      </x:c>
      <x:c r="F41" s="45" t="str">
        <x:v>GoblinMelee</x:v>
      </x:c>
      <x:c r="G41" s="54" t="n">
        <x:v>6</x:v>
      </x:c>
    </x:row>
    <x:row r="42">
      <x:c r="A42" s="45" t="str">
        <x:v>Stage01</x:v>
      </x:c>
      <x:c r="B42" s="45" t="str">
        <x:v>WAVE_05</x:v>
      </x:c>
      <x:c r="C42" s="51" t="n">
        <x:v>43.46</x:v>
      </x:c>
      <x:c r="D42" s="54" t="n">
        <x:v>5</x:v>
      </x:c>
      <x:c r="E42" s="45" t="str">
        <x:v>LEFT_02</x:v>
      </x:c>
      <x:c r="F42" s="45" t="str">
        <x:v>GoblinRanged</x:v>
      </x:c>
      <x:c r="G42" s="54" t="n">
        <x:v>7</x:v>
      </x:c>
    </x:row>
    <x:row r="43">
      <x:c r="A43" s="45" t="str">
        <x:v>Stage01</x:v>
      </x:c>
      <x:c r="B43" s="45" t="str">
        <x:v>WAVE_05</x:v>
      </x:c>
      <x:c r="C43" s="51" t="n">
        <x:v>44.07</x:v>
      </x:c>
      <x:c r="D43" s="54" t="n">
        <x:v>6</x:v>
      </x:c>
      <x:c r="E43" s="45" t="str">
        <x:v>BOTTOM_02</x:v>
      </x:c>
      <x:c r="F43" s="45" t="str">
        <x:v>ShieldSkeleton</x:v>
      </x:c>
      <x:c r="G43" s="54" t="n">
        <x:v>6</x:v>
      </x:c>
    </x:row>
    <x:row r="44">
      <x:c r="A44" s="45" t="str">
        <x:v>Stage01</x:v>
      </x:c>
      <x:c r="B44" s="45" t="str">
        <x:v>WAVE_05</x:v>
      </x:c>
      <x:c r="C44" s="51" t="n">
        <x:v>44.69</x:v>
      </x:c>
      <x:c r="D44" s="54" t="n">
        <x:v>7</x:v>
      </x:c>
      <x:c r="E44" s="45" t="str">
        <x:v>TOP_03</x:v>
      </x:c>
      <x:c r="F44" s="45" t="str">
        <x:v>GoblinMelee</x:v>
      </x:c>
      <x:c r="G44" s="54" t="n">
        <x:v>7</x:v>
      </x:c>
    </x:row>
    <x:row r="45">
      <x:c r="A45" s="45" t="str">
        <x:v>Stage01</x:v>
      </x:c>
      <x:c r="B45" s="45" t="str">
        <x:v>WAVE_05</x:v>
      </x:c>
      <x:c r="C45" s="51" t="n">
        <x:v>45.3</x:v>
      </x:c>
      <x:c r="D45" s="54" t="n">
        <x:v>8</x:v>
      </x:c>
      <x:c r="E45" s="45" t="str">
        <x:v>RIGHT_04</x:v>
      </x:c>
      <x:c r="F45" s="45" t="str">
        <x:v>GoblinRanged</x:v>
      </x:c>
      <x:c r="G45" s="54" t="n">
        <x:v>7</x:v>
      </x:c>
    </x:row>
    <x:row r="46">
      <x:c r="A46" s="45" t="str">
        <x:v>Stage01</x:v>
      </x:c>
      <x:c r="B46" s="45" t="str">
        <x:v>WAVE_05</x:v>
      </x:c>
      <x:c r="C46" s="51" t="n">
        <x:v>45.91</x:v>
      </x:c>
      <x:c r="D46" s="54" t="n">
        <x:v>9</x:v>
      </x:c>
      <x:c r="E46" s="45" t="str">
        <x:v>LEFT_05</x:v>
      </x:c>
      <x:c r="F46" s="45" t="str">
        <x:v>GoblinMelee</x:v>
      </x:c>
      <x:c r="G46" s="54" t="n">
        <x:v>6</x:v>
      </x:c>
    </x:row>
    <x:row r="47">
      <x:c r="A47" s="45" t="str">
        <x:v>Stage01</x:v>
      </x:c>
      <x:c r="B47" s="45" t="str">
        <x:v>WAVE_05</x:v>
      </x:c>
      <x:c r="C47" s="51" t="n">
        <x:v>46.53</x:v>
      </x:c>
      <x:c r="D47" s="54" t="n">
        <x:v>10</x:v>
      </x:c>
      <x:c r="E47" s="45" t="str">
        <x:v>BOTTOM_05</x:v>
      </x:c>
      <x:c r="F47" s="45" t="str">
        <x:v>GoblinRanged</x:v>
      </x:c>
      <x:c r="G47" s="54" t="n">
        <x:v>7</x:v>
      </x:c>
    </x:row>
    <x:row r="48">
      <x:c r="A48" s="45" t="str">
        <x:v>Stage01</x:v>
      </x:c>
      <x:c r="B48" s="45" t="str">
        <x:v>WAVE_05</x:v>
      </x:c>
      <x:c r="C48" s="51" t="n">
        <x:v>47.14</x:v>
      </x:c>
      <x:c r="D48" s="54" t="n">
        <x:v>11</x:v>
      </x:c>
      <x:c r="E48" s="45" t="str">
        <x:v>TOP_06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WAVE_05</x:v>
      </x:c>
      <x:c r="C49" s="51" t="n">
        <x:v>47.76</x:v>
      </x:c>
      <x:c r="D49" s="54" t="n">
        <x:v>12</x:v>
      </x:c>
      <x:c r="E49" s="45" t="str">
        <x:v>RIGHT_07</x:v>
      </x:c>
      <x:c r="F49" s="45" t="str">
        <x:v>GoblinMelee</x:v>
      </x:c>
      <x:c r="G49" s="54" t="n">
        <x:v>6</x:v>
      </x:c>
    </x:row>
    <x:row r="50">
      <x:c r="A50" s="45" t="str">
        <x:v>Stage01</x:v>
      </x:c>
      <x:c r="B50" s="45" t="str">
        <x:v>WAVE_05</x:v>
      </x:c>
      <x:c r="C50" s="51" t="n">
        <x:v>48.37</x:v>
      </x:c>
      <x:c r="D50" s="54" t="n">
        <x:v>13</x:v>
      </x:c>
      <x:c r="E50" s="45" t="str">
        <x:v>LEFT_01</x:v>
      </x:c>
      <x:c r="F50" s="45" t="str">
        <x:v>GoblinMelee</x:v>
      </x:c>
      <x:c r="G50" s="54" t="n">
        <x:v>7</x:v>
      </x:c>
    </x:row>
    <x:row r="51">
      <x:c r="A51" s="45" t="str">
        <x:v>Stage01</x:v>
      </x:c>
      <x:c r="B51" s="45" t="str">
        <x:v>WAVE_05</x:v>
      </x:c>
      <x:c r="C51" s="51" t="n">
        <x:v>48.99</x:v>
      </x:c>
      <x:c r="D51" s="54" t="n">
        <x:v>14</x:v>
      </x:c>
      <x:c r="E51" s="45" t="str">
        <x:v>BOTTOM_01</x:v>
      </x:c>
      <x:c r="F51" s="45" t="str">
        <x:v>GoblinMelee</x:v>
      </x:c>
      <x:c r="G51" s="54" t="n">
        <x:v>6</x:v>
      </x:c>
    </x:row>
    <x:row r="52">
      <x:c r="A52" s="45" t="str">
        <x:v>Stage01</x:v>
      </x:c>
      <x:c r="B52" s="45" t="str">
        <x:v>WAVE_05</x:v>
      </x:c>
      <x:c r="C52" s="51" t="n">
        <x:v>49.6</x:v>
      </x:c>
      <x:c r="D52" s="54" t="n">
        <x:v>15</x:v>
      </x:c>
      <x:c r="E52" s="45" t="str">
        <x:v>TOP_02</x:v>
      </x:c>
      <x:c r="F52" s="45" t="str">
        <x:v>GoblinMelee</x:v>
      </x:c>
      <x:c r="G52" s="54" t="n">
        <x:v>6</x:v>
      </x:c>
    </x:row>
    <x:row r="53">
      <x:c r="A53" s="45" t="str">
        <x:v>Stage01</x:v>
      </x:c>
      <x:c r="B53" s="45" t="str">
        <x:v>WAVE_06</x:v>
      </x:c>
      <x:c r="C53" s="51" t="n">
        <x:v>51</x:v>
      </x:c>
      <x:c r="D53" s="54" t="n">
        <x:v>1</x:v>
      </x:c>
      <x:c r="E53" s="45" t="str">
        <x:v>RIGHT_07</x:v>
      </x:c>
      <x:c r="F53" s="45" t="str">
        <x:v>GoblinMelee</x:v>
      </x:c>
      <x:c r="G53" s="54" t="n">
        <x:v>8</x:v>
      </x:c>
    </x:row>
    <x:row r="54">
      <x:c r="A54" s="45" t="str">
        <x:v>Stage01</x:v>
      </x:c>
      <x:c r="B54" s="45" t="str">
        <x:v>WAVE_06</x:v>
      </x:c>
      <x:c r="C54" s="51" t="n">
        <x:v>51.51</x:v>
      </x:c>
      <x:c r="D54" s="54" t="n">
        <x:v>2</x:v>
      </x:c>
      <x:c r="E54" s="45" t="str">
        <x:v>LEFT_01</x:v>
      </x:c>
      <x:c r="F54" s="45" t="str">
        <x:v>GoblinRanged</x:v>
      </x:c>
      <x:c r="G54" s="54" t="n">
        <x:v>8</x:v>
      </x:c>
    </x:row>
    <x:row r="55">
      <x:c r="A55" s="45" t="str">
        <x:v>Stage01</x:v>
      </x:c>
      <x:c r="B55" s="45" t="str">
        <x:v>WAVE_06</x:v>
      </x:c>
      <x:c r="C55" s="51" t="n">
        <x:v>52.01</x:v>
      </x:c>
      <x:c r="D55" s="54" t="n">
        <x:v>3</x:v>
      </x:c>
      <x:c r="E55" s="45" t="str">
        <x:v>BOTTOM_01</x:v>
      </x:c>
      <x:c r="F55" s="45" t="str">
        <x:v>ShieldSkeleton</x:v>
      </x:c>
      <x:c r="G55" s="54" t="n">
        <x:v>7</x:v>
      </x:c>
    </x:row>
    <x:row r="56">
      <x:c r="A56" s="45" t="str">
        <x:v>Stage01</x:v>
      </x:c>
      <x:c r="B56" s="45" t="str">
        <x:v>WAVE_06</x:v>
      </x:c>
      <x:c r="C56" s="51" t="n">
        <x:v>52.52</x:v>
      </x:c>
      <x:c r="D56" s="54" t="n">
        <x:v>4</x:v>
      </x:c>
      <x:c r="E56" s="45" t="str">
        <x:v>TOP_02</x:v>
      </x:c>
      <x:c r="F56" s="45" t="str">
        <x:v>GoblinMelee</x:v>
      </x:c>
      <x:c r="G56" s="54" t="n">
        <x:v>7</x:v>
      </x:c>
    </x:row>
    <x:row r="57">
      <x:c r="A57" s="45" t="str">
        <x:v>Stage01</x:v>
      </x:c>
      <x:c r="B57" s="45" t="str">
        <x:v>WAVE_06</x:v>
      </x:c>
      <x:c r="C57" s="51" t="n">
        <x:v>53.02</x:v>
      </x:c>
      <x:c r="D57" s="54" t="n">
        <x:v>5</x:v>
      </x:c>
      <x:c r="E57" s="45" t="str">
        <x:v>RIGHT_03</x:v>
      </x:c>
      <x:c r="F57" s="45" t="str">
        <x:v>GoblinRanged</x:v>
      </x:c>
      <x:c r="G57" s="54" t="n">
        <x:v>8</x:v>
      </x:c>
    </x:row>
    <x:row r="58">
      <x:c r="A58" s="45" t="str">
        <x:v>Stage01</x:v>
      </x:c>
      <x:c r="B58" s="45" t="str">
        <x:v>WAVE_06</x:v>
      </x:c>
      <x:c r="C58" s="51" t="n">
        <x:v>53.53</x:v>
      </x:c>
      <x:c r="D58" s="54" t="n">
        <x:v>6</x:v>
      </x:c>
      <x:c r="E58" s="45" t="str">
        <x:v>LEFT_04</x:v>
      </x:c>
      <x:c r="F58" s="45" t="str">
        <x:v>ShieldSkeleton</x:v>
      </x:c>
      <x:c r="G58" s="54" t="n">
        <x:v>7</x:v>
      </x:c>
    </x:row>
    <x:row r="59">
      <x:c r="A59" s="45" t="str">
        <x:v>Stage01</x:v>
      </x:c>
      <x:c r="B59" s="45" t="str">
        <x:v>WAVE_06</x:v>
      </x:c>
      <x:c r="C59" s="51" t="n">
        <x:v>54.04</x:v>
      </x:c>
      <x:c r="D59" s="54" t="n">
        <x:v>7</x:v>
      </x:c>
      <x:c r="E59" s="45" t="str">
        <x:v>BOTTOM_04</x:v>
      </x:c>
      <x:c r="F59" s="45" t="str">
        <x:v>GoblinMelee</x:v>
      </x:c>
      <x:c r="G59" s="54" t="n">
        <x:v>8</x:v>
      </x:c>
    </x:row>
    <x:row r="60">
      <x:c r="A60" s="45" t="str">
        <x:v>Stage01</x:v>
      </x:c>
      <x:c r="B60" s="45" t="str">
        <x:v>WAVE_06</x:v>
      </x:c>
      <x:c r="C60" s="51" t="n">
        <x:v>54.54</x:v>
      </x:c>
      <x:c r="D60" s="54" t="n">
        <x:v>8</x:v>
      </x:c>
      <x:c r="E60" s="45" t="str">
        <x:v>TOP_05</x:v>
      </x:c>
      <x:c r="F60" s="45" t="str">
        <x:v>GoblinRanged</x:v>
      </x:c>
      <x:c r="G60" s="54" t="n">
        <x:v>8</x:v>
      </x:c>
    </x:row>
    <x:row r="61">
      <x:c r="A61" s="45" t="str">
        <x:v>Stage01</x:v>
      </x:c>
      <x:c r="B61" s="45" t="str">
        <x:v>WAVE_06</x:v>
      </x:c>
      <x:c r="C61" s="51" t="n">
        <x:v>55.05</x:v>
      </x:c>
      <x:c r="D61" s="54" t="n">
        <x:v>9</x:v>
      </x:c>
      <x:c r="E61" s="45" t="str">
        <x:v>RIGHT_06</x:v>
      </x:c>
      <x:c r="F61" s="45" t="str">
        <x:v>GoblinMelee</x:v>
      </x:c>
      <x:c r="G61" s="54" t="n">
        <x:v>7</x:v>
      </x:c>
    </x:row>
    <x:row r="62">
      <x:c r="A62" s="45" t="str">
        <x:v>Stage01</x:v>
      </x:c>
      <x:c r="B62" s="45" t="str">
        <x:v>WAVE_06</x:v>
      </x:c>
      <x:c r="C62" s="51" t="n">
        <x:v>55.55</x:v>
      </x:c>
      <x:c r="D62" s="54" t="n">
        <x:v>10</x:v>
      </x:c>
      <x:c r="E62" s="45" t="str">
        <x:v>LEFT_07</x:v>
      </x:c>
      <x:c r="F62" s="45" t="str">
        <x:v>GoblinRanged</x:v>
      </x:c>
      <x:c r="G62" s="54" t="n">
        <x:v>8</x:v>
      </x:c>
    </x:row>
    <x:row r="63">
      <x:c r="A63" s="45" t="str">
        <x:v>Stage01</x:v>
      </x:c>
      <x:c r="B63" s="45" t="str">
        <x:v>WAVE_06</x:v>
      </x:c>
      <x:c r="C63" s="51" t="n">
        <x:v>56.06</x:v>
      </x:c>
      <x:c r="D63" s="54" t="n">
        <x:v>11</x:v>
      </x:c>
      <x:c r="E63" s="45" t="str">
        <x:v>RIGHT_08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WAVE_06</x:v>
      </x:c>
      <x:c r="C64" s="51" t="n">
        <x:v>56.56</x:v>
      </x:c>
      <x:c r="D64" s="54" t="n">
        <x:v>12</x:v>
      </x:c>
      <x:c r="E64" s="45" t="str">
        <x:v>TOP_01</x:v>
      </x:c>
      <x:c r="F64" s="45" t="str">
        <x:v>GoblinRanged</x:v>
      </x:c>
      <x:c r="G64" s="54" t="n">
        <x:v>8</x:v>
      </x:c>
    </x:row>
    <x:row r="65">
      <x:c r="A65" s="45" t="str">
        <x:v>Stage01</x:v>
      </x:c>
      <x:c r="B65" s="45" t="str">
        <x:v>WAVE_06</x:v>
      </x:c>
      <x:c r="C65" s="51" t="n">
        <x:v>57.07</x:v>
      </x:c>
      <x:c r="D65" s="54" t="n">
        <x:v>13</x:v>
      </x:c>
      <x:c r="E65" s="45" t="str">
        <x:v>RIGHT_02</x:v>
      </x:c>
      <x:c r="F65" s="45" t="str">
        <x:v>GoblinMelee</x:v>
      </x:c>
      <x:c r="G65" s="54" t="n">
        <x:v>8</x:v>
      </x:c>
    </x:row>
    <x:row r="66">
      <x:c r="A66" s="45" t="str">
        <x:v>Stage01</x:v>
      </x:c>
      <x:c r="B66" s="45" t="str">
        <x:v>WAVE_06</x:v>
      </x:c>
      <x:c r="C66" s="51" t="n">
        <x:v>57.58</x:v>
      </x:c>
      <x:c r="D66" s="54" t="n">
        <x:v>14</x:v>
      </x:c>
      <x:c r="E66" s="45" t="str">
        <x:v>LEFT_03</x:v>
      </x:c>
      <x:c r="F66" s="45" t="str">
        <x:v>GoblinMelee</x:v>
      </x:c>
      <x:c r="G66" s="54" t="n">
        <x:v>7</x:v>
      </x:c>
    </x:row>
    <x:row r="67">
      <x:c r="A67" s="45" t="str">
        <x:v>Stage01</x:v>
      </x:c>
      <x:c r="B67" s="45" t="str">
        <x:v>WAVE_06</x:v>
      </x:c>
      <x:c r="C67" s="51" t="n">
        <x:v>58.08</x:v>
      </x:c>
      <x:c r="D67" s="54" t="n">
        <x:v>15</x:v>
      </x:c>
      <x:c r="E67" s="45" t="str">
        <x:v>BOTTOM_03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WAVE_06</x:v>
      </x:c>
      <x:c r="C68" s="51" t="n">
        <x:v>58.59</x:v>
      </x:c>
      <x:c r="D68" s="54" t="n">
        <x:v>16</x:v>
      </x:c>
      <x:c r="E68" s="45" t="str">
        <x:v>TOP_04</x:v>
      </x:c>
      <x:c r="F68" s="45" t="str">
        <x:v>GoblinMelee</x:v>
      </x:c>
      <x:c r="G68" s="54" t="n">
        <x:v>7</x:v>
      </x:c>
    </x:row>
    <x:row r="69">
      <x:c r="A69" s="45" t="str">
        <x:v>Stage01</x:v>
      </x:c>
      <x:c r="B69" s="45" t="str">
        <x:v>WAVE_06</x:v>
      </x:c>
      <x:c r="C69" s="51" t="n">
        <x:v>59.09</x:v>
      </x:c>
      <x:c r="D69" s="54" t="n">
        <x:v>17</x:v>
      </x:c>
      <x:c r="E69" s="45" t="str">
        <x:v>RIGHT_05</x:v>
      </x:c>
      <x:c r="F69" s="45" t="str">
        <x:v>GoblinMelee</x:v>
      </x:c>
      <x:c r="G69" s="54" t="n">
        <x:v>7</x:v>
      </x:c>
    </x:row>
    <x:row r="70">
      <x:c r="A70" s="45" t="str">
        <x:v>Stage01</x:v>
      </x:c>
      <x:c r="B70" s="45" t="str">
        <x:v>WAVE_06</x:v>
      </x:c>
      <x:c r="C70" s="51" t="n">
        <x:v>59.6</x:v>
      </x:c>
      <x:c r="D70" s="54" t="n">
        <x:v>18</x:v>
      </x:c>
      <x:c r="E70" s="45" t="str">
        <x:v>LEFT_06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WAVE_07</x:v>
      </x:c>
      <x:c r="C71" s="51" t="n">
        <x:v>61</x:v>
      </x:c>
      <x:c r="D71" s="54" t="n">
        <x:v>1</x:v>
      </x:c>
      <x:c r="E71" s="45" t="str">
        <x:v>TOP_01</x:v>
      </x:c>
      <x:c r="F71" s="45" t="str">
        <x:v>GoblinMelee</x:v>
      </x:c>
      <x:c r="G71" s="54" t="n">
        <x:v>9</x:v>
      </x:c>
    </x:row>
    <x:row r="72">
      <x:c r="A72" s="45" t="str">
        <x:v>Stage01</x:v>
      </x:c>
      <x:c r="B72" s="45" t="str">
        <x:v>WAVE_07</x:v>
      </x:c>
      <x:c r="C72" s="51" t="n">
        <x:v>61.43</x:v>
      </x:c>
      <x:c r="D72" s="54" t="n">
        <x:v>2</x:v>
      </x:c>
      <x:c r="E72" s="45" t="str">
        <x:v>RIGHT_02</x:v>
      </x:c>
      <x:c r="F72" s="45" t="str">
        <x:v>GoblinRanged</x:v>
      </x:c>
      <x:c r="G72" s="54" t="n">
        <x:v>9</x:v>
      </x:c>
    </x:row>
    <x:row r="73">
      <x:c r="A73" s="45" t="str">
        <x:v>Stage01</x:v>
      </x:c>
      <x:c r="B73" s="45" t="str">
        <x:v>WAVE_07</x:v>
      </x:c>
      <x:c r="C73" s="51" t="n">
        <x:v>61.86</x:v>
      </x:c>
      <x:c r="D73" s="54" t="n">
        <x:v>3</x:v>
      </x:c>
      <x:c r="E73" s="45" t="str">
        <x:v>LEFT_03</x:v>
      </x:c>
      <x:c r="F73" s="45" t="str">
        <x:v>ShieldSkeleton</x:v>
      </x:c>
      <x:c r="G73" s="54" t="n">
        <x:v>8</x:v>
      </x:c>
    </x:row>
    <x:row r="74">
      <x:c r="A74" s="45" t="str">
        <x:v>Stage01</x:v>
      </x:c>
      <x:c r="B74" s="45" t="str">
        <x:v>WAVE_07</x:v>
      </x:c>
      <x:c r="C74" s="51" t="n">
        <x:v>62.29</x:v>
      </x:c>
      <x:c r="D74" s="54" t="n">
        <x:v>4</x:v>
      </x:c>
      <x:c r="E74" s="45" t="str">
        <x:v>BOTTOM_03</x:v>
      </x:c>
      <x:c r="F74" s="45" t="str">
        <x:v>GoblinMelee</x:v>
      </x:c>
      <x:c r="G74" s="54" t="n">
        <x:v>8</x:v>
      </x:c>
    </x:row>
    <x:row r="75">
      <x:c r="A75" s="45" t="str">
        <x:v>Stage01</x:v>
      </x:c>
      <x:c r="B75" s="45" t="str">
        <x:v>WAVE_07</x:v>
      </x:c>
      <x:c r="C75" s="51" t="n">
        <x:v>62.72</x:v>
      </x:c>
      <x:c r="D75" s="54" t="n">
        <x:v>5</x:v>
      </x:c>
      <x:c r="E75" s="45" t="str">
        <x:v>TOP_04</x:v>
      </x:c>
      <x:c r="F75" s="45" t="str">
        <x:v>GoblinRanged</x:v>
      </x:c>
      <x:c r="G75" s="54" t="n">
        <x:v>9</x:v>
      </x:c>
    </x:row>
    <x:row r="76">
      <x:c r="A76" s="45" t="str">
        <x:v>Stage01</x:v>
      </x:c>
      <x:c r="B76" s="45" t="str">
        <x:v>WAVE_07</x:v>
      </x:c>
      <x:c r="C76" s="51" t="n">
        <x:v>63.15</x:v>
      </x:c>
      <x:c r="D76" s="54" t="n">
        <x:v>6</x:v>
      </x:c>
      <x:c r="E76" s="45" t="str">
        <x:v>RIGHT_05</x:v>
      </x:c>
      <x:c r="F76" s="45" t="str">
        <x:v>ShieldSkeleton</x:v>
      </x:c>
      <x:c r="G76" s="54" t="n">
        <x:v>8</x:v>
      </x:c>
    </x:row>
    <x:row r="77">
      <x:c r="A77" s="45" t="str">
        <x:v>Stage01</x:v>
      </x:c>
      <x:c r="B77" s="45" t="str">
        <x:v>WAVE_07</x:v>
      </x:c>
      <x:c r="C77" s="51" t="n">
        <x:v>63.58</x:v>
      </x:c>
      <x:c r="D77" s="54" t="n">
        <x:v>7</x:v>
      </x:c>
      <x:c r="E77" s="45" t="str">
        <x:v>LEFT_06</x:v>
      </x:c>
      <x:c r="F77" s="45" t="str">
        <x:v>GoblinMelee</x:v>
      </x:c>
      <x:c r="G77" s="54" t="n">
        <x:v>9</x:v>
      </x:c>
    </x:row>
    <x:row r="78">
      <x:c r="A78" s="45" t="str">
        <x:v>Stage01</x:v>
      </x:c>
      <x:c r="B78" s="45" t="str">
        <x:v>WAVE_07</x:v>
      </x:c>
      <x:c r="C78" s="51" t="n">
        <x:v>64.01</x:v>
      </x:c>
      <x:c r="D78" s="54" t="n">
        <x:v>8</x:v>
      </x:c>
      <x:c r="E78" s="45" t="str">
        <x:v>BOTTOM_06</x:v>
      </x:c>
      <x:c r="F78" s="45" t="str">
        <x:v>GoblinRanged</x:v>
      </x:c>
      <x:c r="G78" s="54" t="n">
        <x:v>9</x:v>
      </x:c>
    </x:row>
    <x:row r="79">
      <x:c r="A79" s="45" t="str">
        <x:v>Stage01</x:v>
      </x:c>
      <x:c r="B79" s="45" t="str">
        <x:v>WAVE_07</x:v>
      </x:c>
      <x:c r="C79" s="51" t="n">
        <x:v>64.44</x:v>
      </x:c>
      <x:c r="D79" s="54" t="n">
        <x:v>9</x:v>
      </x:c>
      <x:c r="E79" s="45" t="str">
        <x:v>LEFT_08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WAVE_07</x:v>
      </x:c>
      <x:c r="C80" s="51" t="n">
        <x:v>64.87</x:v>
      </x:c>
      <x:c r="D80" s="54" t="n">
        <x:v>10</x:v>
      </x:c>
      <x:c r="E80" s="45" t="str">
        <x:v>RIGHT_01</x:v>
      </x:c>
      <x:c r="F80" s="45" t="str">
        <x:v>GoblinRanged</x:v>
      </x:c>
      <x:c r="G80" s="54" t="n">
        <x:v>9</x:v>
      </x:c>
    </x:row>
    <x:row r="81">
      <x:c r="A81" s="45" t="str">
        <x:v>Stage01</x:v>
      </x:c>
      <x:c r="B81" s="45" t="str">
        <x:v>WAVE_07</x:v>
      </x:c>
      <x:c r="C81" s="51" t="n">
        <x:v>65.3</x:v>
      </x:c>
      <x:c r="D81" s="54" t="n">
        <x:v>11</x:v>
      </x:c>
      <x:c r="E81" s="45" t="str">
        <x:v>LEFT_02</x:v>
      </x:c>
      <x:c r="F81" s="45" t="str">
        <x:v>GoblinMelee</x:v>
      </x:c>
      <x:c r="G81" s="54" t="n">
        <x:v>8</x:v>
      </x:c>
    </x:row>
    <x:row r="82">
      <x:c r="A82" s="45" t="str">
        <x:v>Stage01</x:v>
      </x:c>
      <x:c r="B82" s="45" t="str">
        <x:v>WAVE_07</x:v>
      </x:c>
      <x:c r="C82" s="51" t="n">
        <x:v>65.73</x:v>
      </x:c>
      <x:c r="D82" s="54" t="n">
        <x:v>12</x:v>
      </x:c>
      <x:c r="E82" s="45" t="str">
        <x:v>BOTTOM_02</x:v>
      </x:c>
      <x:c r="F82" s="45" t="str">
        <x:v>GoblinRanged</x:v>
      </x:c>
      <x:c r="G82" s="54" t="n">
        <x:v>9</x:v>
      </x:c>
    </x:row>
    <x:row r="83">
      <x:c r="A83" s="45" t="str">
        <x:v>Stage01</x:v>
      </x:c>
      <x:c r="B83" s="45" t="str">
        <x:v>WAVE_07</x:v>
      </x:c>
      <x:c r="C83" s="51" t="n">
        <x:v>66.16</x:v>
      </x:c>
      <x:c r="D83" s="54" t="n">
        <x:v>13</x:v>
      </x:c>
      <x:c r="E83" s="45" t="str">
        <x:v>TOP_03</x:v>
      </x:c>
      <x:c r="F83" s="45" t="str">
        <x:v>GoblinMelee</x:v>
      </x:c>
      <x:c r="G83" s="54" t="n">
        <x:v>9</x:v>
      </x:c>
    </x:row>
    <x:row r="84">
      <x:c r="A84" s="45" t="str">
        <x:v>Stage01</x:v>
      </x:c>
      <x:c r="B84" s="45" t="str">
        <x:v>WAVE_07</x:v>
      </x:c>
      <x:c r="C84" s="51" t="n">
        <x:v>66.59</x:v>
      </x:c>
      <x:c r="D84" s="54" t="n">
        <x:v>14</x:v>
      </x:c>
      <x:c r="E84" s="45" t="str">
        <x:v>RIGHT_04</x:v>
      </x:c>
      <x:c r="F84" s="45" t="str">
        <x:v>GoblinRanged</x:v>
      </x:c>
      <x:c r="G84" s="54" t="n">
        <x:v>9</x:v>
      </x:c>
    </x:row>
    <x:row r="85">
      <x:c r="A85" s="45" t="str">
        <x:v>Stage01</x:v>
      </x:c>
      <x:c r="B85" s="45" t="str">
        <x:v>WAVE_07</x:v>
      </x:c>
      <x:c r="C85" s="51" t="n">
        <x:v>67.02</x:v>
      </x:c>
      <x:c r="D85" s="54" t="n">
        <x:v>15</x:v>
      </x:c>
      <x:c r="E85" s="45" t="str">
        <x:v>LEFT_05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WAVE_07</x:v>
      </x:c>
      <x:c r="C86" s="51" t="n">
        <x:v>67.45</x:v>
      </x:c>
      <x:c r="D86" s="54" t="n">
        <x:v>16</x:v>
      </x:c>
      <x:c r="E86" s="45" t="str">
        <x:v>BOTTOM_05</x:v>
      </x:c>
      <x:c r="F86" s="45" t="str">
        <x:v>GoblinMelee</x:v>
      </x:c>
      <x:c r="G86" s="54" t="n">
        <x:v>8</x:v>
      </x:c>
    </x:row>
    <x:row r="87">
      <x:c r="A87" s="45" t="str">
        <x:v>Stage01</x:v>
      </x:c>
      <x:c r="B87" s="45" t="str">
        <x:v>WAVE_07</x:v>
      </x:c>
      <x:c r="C87" s="51" t="n">
        <x:v>67.88</x:v>
      </x:c>
      <x:c r="D87" s="54" t="n">
        <x:v>17</x:v>
      </x:c>
      <x:c r="E87" s="45" t="str">
        <x:v>TOP_06</x:v>
      </x:c>
      <x:c r="F87" s="45" t="str">
        <x:v>GoblinMelee</x:v>
      </x:c>
      <x:c r="G87" s="54" t="n">
        <x:v>8</x:v>
      </x:c>
    </x:row>
    <x:row r="88">
      <x:c r="A88" s="45" t="str">
        <x:v>Stage01</x:v>
      </x:c>
      <x:c r="B88" s="45" t="str">
        <x:v>WAVE_07</x:v>
      </x:c>
      <x:c r="C88" s="51" t="n">
        <x:v>68.31</x:v>
      </x:c>
      <x:c r="D88" s="54" t="n">
        <x:v>18</x:v>
      </x:c>
      <x:c r="E88" s="45" t="str">
        <x:v>RIGHT_07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WAVE_07</x:v>
      </x:c>
      <x:c r="C89" s="51" t="n">
        <x:v>68.74</x:v>
      </x:c>
      <x:c r="D89" s="54" t="n">
        <x:v>19</x:v>
      </x:c>
      <x:c r="E89" s="45" t="str">
        <x:v>LEFT_01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WAVE_07</x:v>
      </x:c>
      <x:c r="C90" s="51" t="n">
        <x:v>69.17</x:v>
      </x:c>
      <x:c r="D90" s="54" t="n">
        <x:v>20</x:v>
      </x:c>
      <x:c r="E90" s="45" t="str">
        <x:v>BOTTOM_01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WAVE_07</x:v>
      </x:c>
      <x:c r="C91" s="51" t="n">
        <x:v>69.6</x:v>
      </x:c>
      <x:c r="D91" s="54" t="n">
        <x:v>21</x:v>
      </x:c>
      <x:c r="E91" s="45" t="str">
        <x:v>TOP_02</x:v>
      </x:c>
      <x:c r="F91" s="45" t="str">
        <x:v>GoblinMelee</x:v>
      </x:c>
      <x:c r="G91" s="54" t="n">
        <x:v>8</x:v>
      </x:c>
    </x:row>
    <x:row r="92">
      <x:c r="A92" s="45" t="str">
        <x:v>Stage01</x:v>
      </x:c>
      <x:c r="B92" s="45" t="str">
        <x:v>WAVE_08</x:v>
      </x:c>
      <x:c r="C92" s="51" t="n">
        <x:v>71</x:v>
      </x:c>
      <x:c r="D92" s="54" t="n">
        <x:v>1</x:v>
      </x:c>
      <x:c r="E92" s="45" t="str">
        <x:v>BOTTOM_02</x:v>
      </x:c>
      <x:c r="F92" s="45" t="str">
        <x:v>GoblinMelee</x:v>
      </x:c>
      <x:c r="G92" s="54" t="n">
        <x:v>11</x:v>
      </x:c>
    </x:row>
    <x:row r="93">
      <x:c r="A93" s="45" t="str">
        <x:v>Stage01</x:v>
      </x:c>
      <x:c r="B93" s="45" t="str">
        <x:v>WAVE_08</x:v>
      </x:c>
      <x:c r="C93" s="51" t="n">
        <x:v>71.37</x:v>
      </x:c>
      <x:c r="D93" s="54" t="n">
        <x:v>2</x:v>
      </x:c>
      <x:c r="E93" s="45" t="str">
        <x:v>TOP_03</x:v>
      </x:c>
      <x:c r="F93" s="45" t="str">
        <x:v>GoblinRanged</x:v>
      </x:c>
      <x:c r="G93" s="54" t="n">
        <x:v>11</x:v>
      </x:c>
    </x:row>
    <x:row r="94">
      <x:c r="A94" s="45" t="str">
        <x:v>Stage01</x:v>
      </x:c>
      <x:c r="B94" s="45" t="str">
        <x:v>WAVE_08</x:v>
      </x:c>
      <x:c r="C94" s="51" t="n">
        <x:v>71.75</x:v>
      </x:c>
      <x:c r="D94" s="54" t="n">
        <x:v>3</x:v>
      </x:c>
      <x:c r="E94" s="45" t="str">
        <x:v>RIGHT_04</x:v>
      </x:c>
      <x:c r="F94" s="45" t="str">
        <x:v>ShieldSkeleton</x:v>
      </x:c>
      <x:c r="G94" s="54" t="n">
        <x:v>10</x:v>
      </x:c>
    </x:row>
    <x:row r="95">
      <x:c r="A95" s="45" t="str">
        <x:v>Stage01</x:v>
      </x:c>
      <x:c r="B95" s="45" t="str">
        <x:v>WAVE_08</x:v>
      </x:c>
      <x:c r="C95" s="51" t="n">
        <x:v>72.12</x:v>
      </x:c>
      <x:c r="D95" s="54" t="n">
        <x:v>4</x:v>
      </x:c>
      <x:c r="E95" s="45" t="str">
        <x:v>LEFT_05</x:v>
      </x:c>
      <x:c r="F95" s="45" t="str">
        <x:v>GoblinMelee</x:v>
      </x:c>
      <x:c r="G95" s="54" t="n">
        <x:v>10</x:v>
      </x:c>
    </x:row>
    <x:row r="96">
      <x:c r="A96" s="45" t="str">
        <x:v>Stage01</x:v>
      </x:c>
      <x:c r="B96" s="45" t="str">
        <x:v>WAVE_08</x:v>
      </x:c>
      <x:c r="C96" s="51" t="n">
        <x:v>72.5</x:v>
      </x:c>
      <x:c r="D96" s="54" t="n">
        <x:v>5</x:v>
      </x:c>
      <x:c r="E96" s="45" t="str">
        <x:v>BOTTOM_05</x:v>
      </x:c>
      <x:c r="F96" s="45" t="str">
        <x:v>GoblinRanged</x:v>
      </x:c>
      <x:c r="G96" s="54" t="n">
        <x:v>11</x:v>
      </x:c>
    </x:row>
    <x:row r="97">
      <x:c r="A97" s="45" t="str">
        <x:v>Stage01</x:v>
      </x:c>
      <x:c r="B97" s="45" t="str">
        <x:v>WAVE_08</x:v>
      </x:c>
      <x:c r="C97" s="51" t="n">
        <x:v>72.87</x:v>
      </x:c>
      <x:c r="D97" s="54" t="n">
        <x:v>6</x:v>
      </x:c>
      <x:c r="E97" s="45" t="str">
        <x:v>TOP_06</x:v>
      </x:c>
      <x:c r="F97" s="45" t="str">
        <x:v>ShieldSkeleton</x:v>
      </x:c>
      <x:c r="G97" s="54" t="n">
        <x:v>10</x:v>
      </x:c>
    </x:row>
    <x:row r="98">
      <x:c r="A98" s="45" t="str">
        <x:v>Stage01</x:v>
      </x:c>
      <x:c r="B98" s="45" t="str">
        <x:v>WAVE_08</x:v>
      </x:c>
      <x:c r="C98" s="51" t="n">
        <x:v>73.24</x:v>
      </x:c>
      <x:c r="D98" s="54" t="n">
        <x:v>7</x:v>
      </x:c>
      <x:c r="E98" s="45" t="str">
        <x:v>RIGHT_07</x:v>
      </x:c>
      <x:c r="F98" s="45" t="str">
        <x:v>GoblinMelee</x:v>
      </x:c>
      <x:c r="G98" s="54" t="n">
        <x:v>11</x:v>
      </x:c>
    </x:row>
    <x:row r="99">
      <x:c r="A99" s="45" t="str">
        <x:v>Stage01</x:v>
      </x:c>
      <x:c r="B99" s="45" t="str">
        <x:v>WAVE_08</x:v>
      </x:c>
      <x:c r="C99" s="51" t="n">
        <x:v>73.62</x:v>
      </x:c>
      <x:c r="D99" s="54" t="n">
        <x:v>8</x:v>
      </x:c>
      <x:c r="E99" s="45" t="str">
        <x:v>LEFT_01</x:v>
      </x:c>
      <x:c r="F99" s="45" t="str">
        <x:v>GoblinRanged</x:v>
      </x:c>
      <x:c r="G99" s="54" t="n">
        <x:v>11</x:v>
      </x:c>
    </x:row>
    <x:row r="100">
      <x:c r="A100" s="45" t="str">
        <x:v>Stage01</x:v>
      </x:c>
      <x:c r="B100" s="45" t="str">
        <x:v>WAVE_08</x:v>
      </x:c>
      <x:c r="C100" s="51" t="n">
        <x:v>73.99</x:v>
      </x:c>
      <x:c r="D100" s="54" t="n">
        <x:v>9</x:v>
      </x:c>
      <x:c r="E100" s="45" t="str">
        <x:v>BOTTOM_01</x:v>
      </x:c>
      <x:c r="F100" s="45" t="str">
        <x:v>ShieldSkeleton</x:v>
      </x:c>
      <x:c r="G100" s="54" t="n">
        <x:v>10</x:v>
      </x:c>
    </x:row>
    <x:row r="101">
      <x:c r="A101" s="45" t="str">
        <x:v>Stage01</x:v>
      </x:c>
      <x:c r="B101" s="45" t="str">
        <x:v>WAVE_08</x:v>
      </x:c>
      <x:c r="C101" s="51" t="n">
        <x:v>74.37</x:v>
      </x:c>
      <x:c r="D101" s="54" t="n">
        <x:v>10</x:v>
      </x:c>
      <x:c r="E101" s="45" t="str">
        <x:v>TOP_02</x:v>
      </x:c>
      <x:c r="F101" s="45" t="str">
        <x:v>GoblinMelee</x:v>
      </x:c>
      <x:c r="G101" s="54" t="n">
        <x:v>10</x:v>
      </x:c>
    </x:row>
    <x:row r="102">
      <x:c r="A102" s="45" t="str">
        <x:v>Stage01</x:v>
      </x:c>
      <x:c r="B102" s="45" t="str">
        <x:v>WAVE_08</x:v>
      </x:c>
      <x:c r="C102" s="51" t="n">
        <x:v>74.74</x:v>
      </x:c>
      <x:c r="D102" s="54" t="n">
        <x:v>11</x:v>
      </x:c>
      <x:c r="E102" s="45" t="str">
        <x:v>RIGHT_03</x:v>
      </x:c>
      <x:c r="F102" s="45" t="str">
        <x:v>GoblinRanged</x:v>
      </x:c>
      <x:c r="G102" s="54" t="n">
        <x:v>11</x:v>
      </x:c>
    </x:row>
    <x:row r="103">
      <x:c r="A103" s="45" t="str">
        <x:v>Stage01</x:v>
      </x:c>
      <x:c r="B103" s="45" t="str">
        <x:v>WAVE_08</x:v>
      </x:c>
      <x:c r="C103" s="51" t="n">
        <x:v>75.11</x:v>
      </x:c>
      <x:c r="D103" s="54" t="n">
        <x:v>12</x:v>
      </x:c>
      <x:c r="E103" s="45" t="str">
        <x:v>LEFT_04</x:v>
      </x:c>
      <x:c r="F103" s="45" t="str">
        <x:v>GoblinMelee</x:v>
      </x:c>
      <x:c r="G103" s="54" t="n">
        <x:v>10</x:v>
      </x:c>
    </x:row>
    <x:row r="104">
      <x:c r="A104" s="45" t="str">
        <x:v>Stage01</x:v>
      </x:c>
      <x:c r="B104" s="45" t="str">
        <x:v>WAVE_08</x:v>
      </x:c>
      <x:c r="C104" s="51" t="n">
        <x:v>75.49</x:v>
      </x:c>
      <x:c r="D104" s="54" t="n">
        <x:v>13</x:v>
      </x:c>
      <x:c r="E104" s="45" t="str">
        <x:v>BOTTOM_04</x:v>
      </x:c>
      <x:c r="F104" s="45" t="str">
        <x:v>GoblinRanged</x:v>
      </x:c>
      <x:c r="G104" s="54" t="n">
        <x:v>12</x:v>
      </x:c>
    </x:row>
    <x:row r="105">
      <x:c r="A105" s="45" t="str">
        <x:v>Stage01</x:v>
      </x:c>
      <x:c r="B105" s="45" t="str">
        <x:v>WAVE_08</x:v>
      </x:c>
      <x:c r="C105" s="51" t="n">
        <x:v>75.86</x:v>
      </x:c>
      <x:c r="D105" s="54" t="n">
        <x:v>14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WAVE_08</x:v>
      </x:c>
      <x:c r="C106" s="51" t="n">
        <x:v>76.23</x:v>
      </x:c>
      <x:c r="D106" s="54" t="n">
        <x:v>15</x:v>
      </x:c>
      <x:c r="E106" s="45" t="str">
        <x:v>RIGHT_06</x:v>
      </x:c>
      <x:c r="F106" s="45" t="str">
        <x:v>GoblinRanged</x:v>
      </x:c>
      <x:c r="G106" s="54" t="n">
        <x:v>11</x:v>
      </x:c>
    </x:row>
    <x:row r="107">
      <x:c r="A107" s="45" t="str">
        <x:v>Stage01</x:v>
      </x:c>
      <x:c r="B107" s="45" t="str">
        <x:v>WAVE_08</x:v>
      </x:c>
      <x:c r="C107" s="51" t="n">
        <x:v>76.61</x:v>
      </x:c>
      <x:c r="D107" s="54" t="n">
        <x:v>16</x:v>
      </x:c>
      <x:c r="E107" s="45" t="str">
        <x:v>LEFT_07</x:v>
      </x:c>
      <x:c r="F107" s="45" t="str">
        <x:v>GoblinMelee</x:v>
      </x:c>
      <x:c r="G107" s="54" t="n">
        <x:v>10</x:v>
      </x:c>
    </x:row>
    <x:row r="108">
      <x:c r="A108" s="45" t="str">
        <x:v>Stage01</x:v>
      </x:c>
      <x:c r="B108" s="45" t="str">
        <x:v>WAVE_08</x:v>
      </x:c>
      <x:c r="C108" s="51" t="n">
        <x:v>76.98</x:v>
      </x:c>
      <x:c r="D108" s="54" t="n">
        <x:v>17</x:v>
      </x:c>
      <x:c r="E108" s="45" t="str">
        <x:v>RIGHT_08</x:v>
      </x:c>
      <x:c r="F108" s="45" t="str">
        <x:v>GoblinRanged</x:v>
      </x:c>
      <x:c r="G108" s="54" t="n">
        <x:v>11</x:v>
      </x:c>
    </x:row>
    <x:row r="109">
      <x:c r="A109" s="45" t="str">
        <x:v>Stage01</x:v>
      </x:c>
      <x:c r="B109" s="45" t="str">
        <x:v>WAVE_08</x:v>
      </x:c>
      <x:c r="C109" s="51" t="n">
        <x:v>77.36</x:v>
      </x:c>
      <x:c r="D109" s="54" t="n">
        <x:v>18</x:v>
      </x:c>
      <x:c r="E109" s="45" t="str">
        <x:v>TOP_01</x:v>
      </x:c>
      <x:c r="F109" s="45" t="str">
        <x:v>GoblinMelee</x:v>
      </x:c>
      <x:c r="G109" s="54" t="n">
        <x:v>10</x:v>
      </x:c>
    </x:row>
    <x:row r="110">
      <x:c r="A110" s="45" t="str">
        <x:v>Stage01</x:v>
      </x:c>
      <x:c r="B110" s="45" t="str">
        <x:v>WAVE_08</x:v>
      </x:c>
      <x:c r="C110" s="51" t="n">
        <x:v>77.73</x:v>
      </x:c>
      <x:c r="D110" s="54" t="n">
        <x:v>19</x:v>
      </x:c>
      <x:c r="E110" s="45" t="str">
        <x:v>RIGHT_02</x:v>
      </x:c>
      <x:c r="F110" s="45" t="str">
        <x:v>GoblinMelee</x:v>
      </x:c>
      <x:c r="G110" s="54" t="n">
        <x:v>11</x:v>
      </x:c>
    </x:row>
    <x:row r="111">
      <x:c r="A111" s="45" t="str">
        <x:v>Stage01</x:v>
      </x:c>
      <x:c r="B111" s="45" t="str">
        <x:v>WAVE_08</x:v>
      </x:c>
      <x:c r="C111" s="51" t="n">
        <x:v>78.1</x:v>
      </x:c>
      <x:c r="D111" s="54" t="n">
        <x:v>20</x:v>
      </x:c>
      <x:c r="E111" s="45" t="str">
        <x:v>LEFT_03</x:v>
      </x:c>
      <x:c r="F111" s="45" t="str">
        <x:v>GoblinMelee</x:v>
      </x:c>
      <x:c r="G111" s="54" t="n">
        <x:v>10</x:v>
      </x:c>
    </x:row>
    <x:row r="112">
      <x:c r="A112" s="45" t="str">
        <x:v>Stage01</x:v>
      </x:c>
      <x:c r="B112" s="45" t="str">
        <x:v>WAVE_08</x:v>
      </x:c>
      <x:c r="C112" s="51" t="n">
        <x:v>78.48</x:v>
      </x:c>
      <x:c r="D112" s="54" t="n">
        <x:v>21</x:v>
      </x:c>
      <x:c r="E112" s="45" t="str">
        <x:v>BOTTOM_03</x:v>
      </x:c>
      <x:c r="F112" s="45" t="str">
        <x:v>GoblinMelee</x:v>
      </x:c>
      <x:c r="G112" s="54" t="n">
        <x:v>10</x:v>
      </x:c>
    </x:row>
    <x:row r="113">
      <x:c r="A113" s="45" t="str">
        <x:v>Stage01</x:v>
      </x:c>
      <x:c r="B113" s="45" t="str">
        <x:v>WAVE_08</x:v>
      </x:c>
      <x:c r="C113" s="51" t="n">
        <x:v>78.85</x:v>
      </x:c>
      <x:c r="D113" s="54" t="n">
        <x:v>22</x:v>
      </x:c>
      <x:c r="E113" s="45" t="str">
        <x:v>TOP_04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WAVE_08</x:v>
      </x:c>
      <x:c r="C114" s="51" t="n">
        <x:v>79.23</x:v>
      </x:c>
      <x:c r="D114" s="54" t="n">
        <x:v>23</x:v>
      </x:c>
      <x:c r="E114" s="45" t="str">
        <x:v>RIGHT_05</x:v>
      </x:c>
      <x:c r="F114" s="45" t="str">
        <x:v>GoblinMelee</x:v>
      </x:c>
      <x:c r="G114" s="54" t="n">
        <x:v>10</x:v>
      </x:c>
    </x:row>
    <x:row r="115">
      <x:c r="A115" s="45" t="str">
        <x:v>Stage01</x:v>
      </x:c>
      <x:c r="B115" s="45" t="str">
        <x:v>WAVE_08</x:v>
      </x:c>
      <x:c r="C115" s="51" t="n">
        <x:v>79.6</x:v>
      </x:c>
      <x:c r="D115" s="54" t="n">
        <x:v>24</x:v>
      </x:c>
      <x:c r="E115" s="45" t="str">
        <x:v>LEFT_06</x:v>
      </x:c>
      <x:c r="F115" s="45" t="str">
        <x:v>GoblinMelee</x:v>
      </x:c>
      <x:c r="G115" s="54" t="n">
        <x:v>10</x:v>
      </x:c>
    </x:row>
    <x:row r="116">
      <x:c r="A116" s="45" t="str">
        <x:v>Stage01</x:v>
      </x:c>
      <x:c r="B116" s="45" t="str">
        <x:v>WAVE_09</x:v>
      </x:c>
      <x:c r="C116" s="51" t="n">
        <x:v>81</x:v>
      </x:c>
      <x:c r="D116" s="54" t="n">
        <x:v>1</x:v>
      </x:c>
      <x:c r="E116" s="45" t="str">
        <x:v>LEFT_04</x:v>
      </x:c>
      <x:c r="F116" s="45" t="str">
        <x:v>GoblinMelee</x:v>
      </x:c>
      <x:c r="G116" s="54" t="n">
        <x:v>12</x:v>
      </x:c>
    </x:row>
    <x:row r="117">
      <x:c r="A117" s="45" t="str">
        <x:v>Stage01</x:v>
      </x:c>
      <x:c r="B117" s="45" t="str">
        <x:v>WAVE_09</x:v>
      </x:c>
      <x:c r="C117" s="51" t="n">
        <x:v>81.32</x:v>
      </x:c>
      <x:c r="D117" s="54" t="n">
        <x:v>2</x:v>
      </x:c>
      <x:c r="E117" s="45" t="str">
        <x:v>BOTTOM_04</x:v>
      </x:c>
      <x:c r="F117" s="45" t="str">
        <x:v>GoblinRanged</x:v>
      </x:c>
      <x:c r="G117" s="54" t="n">
        <x:v>12</x:v>
      </x:c>
    </x:row>
    <x:row r="118">
      <x:c r="A118" s="45" t="str">
        <x:v>Stage01</x:v>
      </x:c>
      <x:c r="B118" s="45" t="str">
        <x:v>WAVE_09</x:v>
      </x:c>
      <x:c r="C118" s="51" t="n">
        <x:v>81.64</x:v>
      </x:c>
      <x:c r="D118" s="54" t="n">
        <x:v>3</x:v>
      </x:c>
      <x:c r="E118" s="45" t="str">
        <x:v>TOP_05</x:v>
      </x:c>
      <x:c r="F118" s="45" t="str">
        <x:v>ShieldSkeleton</x:v>
      </x:c>
      <x:c r="G118" s="54" t="n">
        <x:v>11</x:v>
      </x:c>
    </x:row>
    <x:row r="119">
      <x:c r="A119" s="45" t="str">
        <x:v>Stage01</x:v>
      </x:c>
      <x:c r="B119" s="45" t="str">
        <x:v>WAVE_09</x:v>
      </x:c>
      <x:c r="C119" s="51" t="n">
        <x:v>81.96</x:v>
      </x:c>
      <x:c r="D119" s="54" t="n">
        <x:v>4</x:v>
      </x:c>
      <x:c r="E119" s="45" t="str">
        <x:v>RIGHT_06</x:v>
      </x:c>
      <x:c r="F119" s="45" t="str">
        <x:v>GoblinMelee</x:v>
      </x:c>
      <x:c r="G119" s="54" t="n">
        <x:v>11</x:v>
      </x:c>
    </x:row>
    <x:row r="120">
      <x:c r="A120" s="45" t="str">
        <x:v>Stage01</x:v>
      </x:c>
      <x:c r="B120" s="45" t="str">
        <x:v>WAVE_09</x:v>
      </x:c>
      <x:c r="C120" s="51" t="n">
        <x:v>82.27</x:v>
      </x:c>
      <x:c r="D120" s="54" t="n">
        <x:v>5</x:v>
      </x:c>
      <x:c r="E120" s="45" t="str">
        <x:v>LEFT_07</x:v>
      </x:c>
      <x:c r="F120" s="45" t="str">
        <x:v>GoblinRanged</x:v>
      </x:c>
      <x:c r="G120" s="54" t="n">
        <x:v>12</x:v>
      </x:c>
    </x:row>
    <x:row r="121">
      <x:c r="A121" s="45" t="str">
        <x:v>Stage01</x:v>
      </x:c>
      <x:c r="B121" s="45" t="str">
        <x:v>WAVE_09</x:v>
      </x:c>
      <x:c r="C121" s="51" t="n">
        <x:v>82.59</x:v>
      </x:c>
      <x:c r="D121" s="54" t="n">
        <x:v>6</x:v>
      </x:c>
      <x:c r="E121" s="45" t="str">
        <x:v>RIGHT_08</x:v>
      </x:c>
      <x:c r="F121" s="45" t="str">
        <x:v>ShieldSkeleton</x:v>
      </x:c>
      <x:c r="G121" s="54" t="n">
        <x:v>11</x:v>
      </x:c>
    </x:row>
    <x:row r="122">
      <x:c r="A122" s="45" t="str">
        <x:v>Stage01</x:v>
      </x:c>
      <x:c r="B122" s="45" t="str">
        <x:v>WAVE_09</x:v>
      </x:c>
      <x:c r="C122" s="51" t="n">
        <x:v>82.91</x:v>
      </x:c>
      <x:c r="D122" s="54" t="n">
        <x:v>7</x:v>
      </x:c>
      <x:c r="E122" s="45" t="str">
        <x:v>TOP_01</x:v>
      </x:c>
      <x:c r="F122" s="45" t="str">
        <x:v>GoblinMelee</x:v>
      </x:c>
      <x:c r="G122" s="54" t="n">
        <x:v>12</x:v>
      </x:c>
    </x:row>
    <x:row r="123">
      <x:c r="A123" s="45" t="str">
        <x:v>Stage01</x:v>
      </x:c>
      <x:c r="B123" s="45" t="str">
        <x:v>WAVE_09</x:v>
      </x:c>
      <x:c r="C123" s="51" t="n">
        <x:v>83.23</x:v>
      </x:c>
      <x:c r="D123" s="54" t="n">
        <x:v>8</x:v>
      </x:c>
      <x:c r="E123" s="45" t="str">
        <x:v>RIGHT_02</x:v>
      </x:c>
      <x:c r="F123" s="45" t="str">
        <x:v>GoblinRanged</x:v>
      </x:c>
      <x:c r="G123" s="54" t="n">
        <x:v>12</x:v>
      </x:c>
    </x:row>
    <x:row r="124">
      <x:c r="A124" s="45" t="str">
        <x:v>Stage01</x:v>
      </x:c>
      <x:c r="B124" s="45" t="str">
        <x:v>WAVE_09</x:v>
      </x:c>
      <x:c r="C124" s="51" t="n">
        <x:v>83.55</x:v>
      </x:c>
      <x:c r="D124" s="54" t="n">
        <x:v>9</x:v>
      </x:c>
      <x:c r="E124" s="45" t="str">
        <x:v>LEFT_03</x:v>
      </x:c>
      <x:c r="F124" s="45" t="str">
        <x:v>ShieldSkeleton</x:v>
      </x:c>
      <x:c r="G124" s="54" t="n">
        <x:v>11</x:v>
      </x:c>
    </x:row>
    <x:row r="125">
      <x:c r="A125" s="45" t="str">
        <x:v>Stage01</x:v>
      </x:c>
      <x:c r="B125" s="45" t="str">
        <x:v>WAVE_09</x:v>
      </x:c>
      <x:c r="C125" s="51" t="n">
        <x:v>83.87</x:v>
      </x:c>
      <x:c r="D125" s="54" t="n">
        <x:v>10</x:v>
      </x:c>
      <x:c r="E125" s="45" t="str">
        <x:v>BOTTOM_03</x:v>
      </x:c>
      <x:c r="F125" s="45" t="str">
        <x:v>GoblinMelee</x:v>
      </x:c>
      <x:c r="G125" s="54" t="n">
        <x:v>11</x:v>
      </x:c>
    </x:row>
    <x:row r="126">
      <x:c r="A126" s="45" t="str">
        <x:v>Stage01</x:v>
      </x:c>
      <x:c r="B126" s="45" t="str">
        <x:v>WAVE_09</x:v>
      </x:c>
      <x:c r="C126" s="51" t="n">
        <x:v>84.19</x:v>
      </x:c>
      <x:c r="D126" s="54" t="n">
        <x:v>11</x:v>
      </x:c>
      <x:c r="E126" s="45" t="str">
        <x:v>TOP_04</x:v>
      </x:c>
      <x:c r="F126" s="45" t="str">
        <x:v>GoblinRanged</x:v>
      </x:c>
      <x:c r="G126" s="54" t="n">
        <x:v>12</x:v>
      </x:c>
    </x:row>
    <x:row r="127">
      <x:c r="A127" s="45" t="str">
        <x:v>Stage01</x:v>
      </x:c>
      <x:c r="B127" s="45" t="str">
        <x:v>WAVE_09</x:v>
      </x:c>
      <x:c r="C127" s="51" t="n">
        <x:v>84.5</x:v>
      </x:c>
      <x:c r="D127" s="54" t="n">
        <x:v>12</x:v>
      </x:c>
      <x:c r="E127" s="45" t="str">
        <x:v>RIGHT_05</x:v>
      </x:c>
      <x:c r="F127" s="45" t="str">
        <x:v>ShieldSkeleton</x:v>
      </x:c>
      <x:c r="G127" s="54" t="n">
        <x:v>11</x:v>
      </x:c>
    </x:row>
    <x:row r="128">
      <x:c r="A128" s="45" t="str">
        <x:v>Stage01</x:v>
      </x:c>
      <x:c r="B128" s="45" t="str">
        <x:v>WAVE_09</x:v>
      </x:c>
      <x:c r="C128" s="51" t="n">
        <x:v>84.82</x:v>
      </x:c>
      <x:c r="D128" s="54" t="n">
        <x:v>13</x:v>
      </x:c>
      <x:c r="E128" s="45" t="str">
        <x:v>LEFT_06</x:v>
      </x:c>
      <x:c r="F128" s="45" t="str">
        <x:v>GoblinMelee</x:v>
      </x:c>
      <x:c r="G128" s="54" t="n">
        <x:v>12</x:v>
      </x:c>
    </x:row>
    <x:row r="129">
      <x:c r="A129" s="45" t="str">
        <x:v>Stage01</x:v>
      </x:c>
      <x:c r="B129" s="45" t="str">
        <x:v>WAVE_09</x:v>
      </x:c>
      <x:c r="C129" s="51" t="n">
        <x:v>85.14</x:v>
      </x:c>
      <x:c r="D129" s="54" t="n">
        <x:v>14</x:v>
      </x:c>
      <x:c r="E129" s="45" t="str">
        <x:v>BOTTOM_06</x:v>
      </x:c>
      <x:c r="F129" s="45" t="str">
        <x:v>GoblinRanged</x:v>
      </x:c>
      <x:c r="G129" s="54" t="n">
        <x:v>12</x:v>
      </x:c>
    </x:row>
    <x:row r="130">
      <x:c r="A130" s="45" t="str">
        <x:v>Stage01</x:v>
      </x:c>
      <x:c r="B130" s="45" t="str">
        <x:v>WAVE_09</x:v>
      </x:c>
      <x:c r="C130" s="51" t="n">
        <x:v>85.46</x:v>
      </x:c>
      <x:c r="D130" s="54" t="n">
        <x:v>15</x:v>
      </x:c>
      <x:c r="E130" s="45" t="str">
        <x:v>LEFT_08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WAVE_09</x:v>
      </x:c>
      <x:c r="C131" s="51" t="n">
        <x:v>85.78</x:v>
      </x:c>
      <x:c r="D131" s="54" t="n">
        <x:v>16</x:v>
      </x:c>
      <x:c r="E131" s="45" t="str">
        <x:v>RIGHT_01</x:v>
      </x:c>
      <x:c r="F131" s="45" t="str">
        <x:v>GoblinRanged</x:v>
      </x:c>
      <x:c r="G131" s="54" t="n">
        <x:v>12</x:v>
      </x:c>
    </x:row>
    <x:row r="132">
      <x:c r="A132" s="45" t="str">
        <x:v>Stage01</x:v>
      </x:c>
      <x:c r="B132" s="45" t="str">
        <x:v>WAVE_09</x:v>
      </x:c>
      <x:c r="C132" s="51" t="n">
        <x:v>86.1</x:v>
      </x:c>
      <x:c r="D132" s="54" t="n">
        <x:v>17</x:v>
      </x:c>
      <x:c r="E132" s="45" t="str">
        <x:v>LEFT_02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WAVE_09</x:v>
      </x:c>
      <x:c r="C133" s="51" t="n">
        <x:v>86.41</x:v>
      </x:c>
      <x:c r="D133" s="54" t="n">
        <x:v>18</x:v>
      </x:c>
      <x:c r="E133" s="45" t="str">
        <x:v>BOTTOM_02</x:v>
      </x:c>
      <x:c r="F133" s="45" t="str">
        <x:v>GoblinRanged</x:v>
      </x:c>
      <x:c r="G133" s="54" t="n">
        <x:v>12</x:v>
      </x:c>
    </x:row>
    <x:row r="134">
      <x:c r="A134" s="45" t="str">
        <x:v>Stage01</x:v>
      </x:c>
      <x:c r="B134" s="45" t="str">
        <x:v>WAVE_09</x:v>
      </x:c>
      <x:c r="C134" s="51" t="n">
        <x:v>86.73</x:v>
      </x:c>
      <x:c r="D134" s="54" t="n">
        <x:v>19</x:v>
      </x:c>
      <x:c r="E134" s="45" t="str">
        <x:v>TOP_03</x:v>
      </x:c>
      <x:c r="F134" s="45" t="str">
        <x:v>GoblinMelee</x:v>
      </x:c>
      <x:c r="G134" s="54" t="n">
        <x:v>12</x:v>
      </x:c>
    </x:row>
    <x:row r="135">
      <x:c r="A135" s="45" t="str">
        <x:v>Stage01</x:v>
      </x:c>
      <x:c r="B135" s="45" t="str">
        <x:v>WAVE_09</x:v>
      </x:c>
      <x:c r="C135" s="51" t="n">
        <x:v>87.05</x:v>
      </x:c>
      <x:c r="D135" s="54" t="n">
        <x:v>20</x:v>
      </x:c>
      <x:c r="E135" s="45" t="str">
        <x:v>RIGHT_04</x:v>
      </x:c>
      <x:c r="F135" s="45" t="str">
        <x:v>GoblinRanged</x:v>
      </x:c>
      <x:c r="G135" s="54" t="n">
        <x:v>12</x:v>
      </x:c>
    </x:row>
    <x:row r="136">
      <x:c r="A136" s="45" t="str">
        <x:v>Stage01</x:v>
      </x:c>
      <x:c r="B136" s="45" t="str">
        <x:v>WAVE_09</x:v>
      </x:c>
      <x:c r="C136" s="51" t="n">
        <x:v>87.37</x:v>
      </x:c>
      <x:c r="D136" s="54" t="n">
        <x:v>21</x:v>
      </x:c>
      <x:c r="E136" s="45" t="str">
        <x:v>LEFT_05</x:v>
      </x:c>
      <x:c r="F136" s="45" t="str">
        <x:v>GoblinMelee</x:v>
      </x:c>
      <x:c r="G136" s="54" t="n">
        <x:v>11</x:v>
      </x:c>
    </x:row>
    <x:row r="137">
      <x:c r="A137" s="45" t="str">
        <x:v>Stage01</x:v>
      </x:c>
      <x:c r="B137" s="45" t="str">
        <x:v>WAVE_09</x:v>
      </x:c>
      <x:c r="C137" s="51" t="n">
        <x:v>87.69</x:v>
      </x:c>
      <x:c r="D137" s="54" t="n">
        <x:v>22</x:v>
      </x:c>
      <x:c r="E137" s="45" t="str">
        <x:v>BOTTOM_05</x:v>
      </x:c>
      <x:c r="F137" s="45" t="str">
        <x:v>GoblinMelee</x:v>
      </x:c>
      <x:c r="G137" s="54" t="n">
        <x:v>11</x:v>
      </x:c>
    </x:row>
    <x:row r="138">
      <x:c r="A138" s="45" t="str">
        <x:v>Stage01</x:v>
      </x:c>
      <x:c r="B138" s="45" t="str">
        <x:v>WAVE_09</x:v>
      </x:c>
      <x:c r="C138" s="51" t="n">
        <x:v>88.01</x:v>
      </x:c>
      <x:c r="D138" s="54" t="n">
        <x:v>23</x:v>
      </x:c>
      <x:c r="E138" s="45" t="str">
        <x:v>TOP_06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WAVE_09</x:v>
      </x:c>
      <x:c r="C139" s="51" t="n">
        <x:v>88.33</x:v>
      </x:c>
      <x:c r="D139" s="54" t="n">
        <x:v>24</x:v>
      </x:c>
      <x:c r="E139" s="45" t="str">
        <x:v>RIGHT_07</x:v>
      </x:c>
      <x:c r="F139" s="45" t="str">
        <x:v>GoblinMelee</x:v>
      </x:c>
      <x:c r="G139" s="54" t="n">
        <x:v>11</x:v>
      </x:c>
    </x:row>
    <x:row r="140">
      <x:c r="A140" s="45" t="str">
        <x:v>Stage01</x:v>
      </x:c>
      <x:c r="B140" s="45" t="str">
        <x:v>WAVE_09</x:v>
      </x:c>
      <x:c r="C140" s="51" t="n">
        <x:v>88.64</x:v>
      </x:c>
      <x:c r="D140" s="54" t="n">
        <x:v>25</x:v>
      </x:c>
      <x:c r="E140" s="45" t="str">
        <x:v>LEFT_01</x:v>
      </x:c>
      <x:c r="F140" s="45" t="str">
        <x:v>GoblinMelee</x:v>
      </x:c>
      <x:c r="G140" s="54" t="n">
        <x:v>12</x:v>
      </x:c>
    </x:row>
    <x:row r="141">
      <x:c r="A141" s="45" t="str">
        <x:v>Stage01</x:v>
      </x:c>
      <x:c r="B141" s="45" t="str">
        <x:v>WAVE_09</x:v>
      </x:c>
      <x:c r="C141" s="51" t="n">
        <x:v>88.96</x:v>
      </x:c>
      <x:c r="D141" s="54" t="n">
        <x:v>26</x:v>
      </x:c>
      <x:c r="E141" s="45" t="str">
        <x:v>BOTTOM_01</x:v>
      </x:c>
      <x:c r="F141" s="45" t="str">
        <x:v>GoblinMelee</x:v>
      </x:c>
      <x:c r="G141" s="54" t="n">
        <x:v>11</x:v>
      </x:c>
    </x:row>
    <x:row r="142">
      <x:c r="A142" s="45" t="str">
        <x:v>Stage01</x:v>
      </x:c>
      <x:c r="B142" s="45" t="str">
        <x:v>WAVE_09</x:v>
      </x:c>
      <x:c r="C142" s="51" t="n">
        <x:v>89.28</x:v>
      </x:c>
      <x:c r="D142" s="54" t="n">
        <x:v>27</x:v>
      </x:c>
      <x:c r="E142" s="45" t="str">
        <x:v>TOP_02</x:v>
      </x:c>
      <x:c r="F142" s="45" t="str">
        <x:v>GoblinMelee</x:v>
      </x:c>
      <x:c r="G142" s="54" t="n">
        <x:v>11</x:v>
      </x:c>
    </x:row>
    <x:row r="143">
      <x:c r="A143" s="45" t="str">
        <x:v>Stage01</x:v>
      </x:c>
      <x:c r="B143" s="45" t="str">
        <x:v>WAVE_09</x:v>
      </x:c>
      <x:c r="C143" s="51" t="n">
        <x:v>89.6</x:v>
      </x:c>
      <x:c r="D143" s="54" t="n">
        <x:v>28</x:v>
      </x:c>
      <x:c r="E143" s="45" t="str">
        <x:v>RIGHT_03</x:v>
      </x:c>
      <x:c r="F143" s="45" t="str">
        <x:v>GoblinMelee</x:v>
      </x:c>
      <x:c r="G143" s="54" t="n">
        <x:v>11</x:v>
      </x:c>
    </x:row>
    <x:row r="144">
      <x:c r="A144" s="45" t="str">
        <x:v>Stage01</x:v>
      </x:c>
      <x:c r="B144" s="45" t="str">
        <x:v>WAVE_10</x:v>
      </x:c>
      <x:c r="C144" s="51" t="n">
        <x:v>91</x:v>
      </x:c>
      <x:c r="D144" s="54" t="n">
        <x:v>1</x:v>
      </x:c>
      <x:c r="E144" s="45" t="str">
        <x:v>RIGHT_05</x:v>
      </x:c>
      <x:c r="F144" s="45" t="str">
        <x:v>GoblinMelee</x:v>
      </x:c>
      <x:c r="G144" s="54" t="n">
        <x:v>13</x:v>
      </x:c>
    </x:row>
    <x:row r="145">
      <x:c r="A145" s="45" t="str">
        <x:v>Stage01</x:v>
      </x:c>
      <x:c r="B145" s="45" t="str">
        <x:v>WAVE_10</x:v>
      </x:c>
      <x:c r="C145" s="51" t="n">
        <x:v>91.28</x:v>
      </x:c>
      <x:c r="D145" s="54" t="n">
        <x:v>2</x:v>
      </x:c>
      <x:c r="E145" s="45" t="str">
        <x:v>LEFT_06</x:v>
      </x:c>
      <x:c r="F145" s="45" t="str">
        <x:v>GoblinRanged</x:v>
      </x:c>
      <x:c r="G145" s="54" t="n">
        <x:v>13</x:v>
      </x:c>
    </x:row>
    <x:row r="146">
      <x:c r="A146" s="45" t="str">
        <x:v>Stage01</x:v>
      </x:c>
      <x:c r="B146" s="45" t="str">
        <x:v>WAVE_10</x:v>
      </x:c>
      <x:c r="C146" s="51" t="n">
        <x:v>91.55</x:v>
      </x:c>
      <x:c r="D146" s="54" t="n">
        <x:v>3</x:v>
      </x:c>
      <x:c r="E146" s="45" t="str">
        <x:v>BOTTOM_06</x:v>
      </x:c>
      <x:c r="F146" s="45" t="str">
        <x:v>ShieldSkeleton</x:v>
      </x:c>
      <x:c r="G146" s="54" t="n">
        <x:v>12</x:v>
      </x:c>
    </x:row>
    <x:row r="147">
      <x:c r="A147" s="45" t="str">
        <x:v>Stage01</x:v>
      </x:c>
      <x:c r="B147" s="45" t="str">
        <x:v>WAVE_10</x:v>
      </x:c>
      <x:c r="C147" s="51" t="n">
        <x:v>91.83</x:v>
      </x:c>
      <x:c r="D147" s="54" t="n">
        <x:v>4</x:v>
      </x:c>
      <x:c r="E147" s="45" t="str">
        <x:v>LEFT_08</x:v>
      </x:c>
      <x:c r="F147" s="45" t="str">
        <x:v>GoblinMelee</x:v>
      </x:c>
      <x:c r="G147" s="54" t="n">
        <x:v>12</x:v>
      </x:c>
    </x:row>
    <x:row r="148">
      <x:c r="A148" s="45" t="str">
        <x:v>Stage01</x:v>
      </x:c>
      <x:c r="B148" s="45" t="str">
        <x:v>WAVE_10</x:v>
      </x:c>
      <x:c r="C148" s="51" t="n">
        <x:v>92.11</x:v>
      </x:c>
      <x:c r="D148" s="54" t="n">
        <x:v>5</x:v>
      </x:c>
      <x:c r="E148" s="45" t="str">
        <x:v>RIGHT_01</x:v>
      </x:c>
      <x:c r="F148" s="45" t="str">
        <x:v>GoblinRanged</x:v>
      </x:c>
      <x:c r="G148" s="54" t="n">
        <x:v>13</x:v>
      </x:c>
    </x:row>
    <x:row r="149">
      <x:c r="A149" s="45" t="str">
        <x:v>Stage01</x:v>
      </x:c>
      <x:c r="B149" s="45" t="str">
        <x:v>WAVE_10</x:v>
      </x:c>
      <x:c r="C149" s="51" t="n">
        <x:v>92.39</x:v>
      </x:c>
      <x:c r="D149" s="54" t="n">
        <x:v>6</x:v>
      </x:c>
      <x:c r="E149" s="45" t="str">
        <x:v>LEFT_02</x:v>
      </x:c>
      <x:c r="F149" s="45" t="str">
        <x:v>ShieldSkeleton</x:v>
      </x:c>
      <x:c r="G149" s="54" t="n">
        <x:v>12</x:v>
      </x:c>
    </x:row>
    <x:row r="150">
      <x:c r="A150" s="45" t="str">
        <x:v>Stage01</x:v>
      </x:c>
      <x:c r="B150" s="45" t="str">
        <x:v>WAVE_10</x:v>
      </x:c>
      <x:c r="C150" s="51" t="n">
        <x:v>92.66</x:v>
      </x:c>
      <x:c r="D150" s="54" t="n">
        <x:v>7</x:v>
      </x:c>
      <x:c r="E150" s="45" t="str">
        <x:v>BOTTOM_02</x:v>
      </x:c>
      <x:c r="F150" s="45" t="str">
        <x:v>GoblinMelee</x:v>
      </x:c>
      <x:c r="G150" s="54" t="n">
        <x:v>13</x:v>
      </x:c>
    </x:row>
    <x:row r="151">
      <x:c r="A151" s="45" t="str">
        <x:v>Stage01</x:v>
      </x:c>
      <x:c r="B151" s="45" t="str">
        <x:v>WAVE_10</x:v>
      </x:c>
      <x:c r="C151" s="51" t="n">
        <x:v>92.94</x:v>
      </x:c>
      <x:c r="D151" s="54" t="n">
        <x:v>8</x:v>
      </x:c>
      <x:c r="E151" s="45" t="str">
        <x:v>TOP_03</x:v>
      </x:c>
      <x:c r="F151" s="45" t="str">
        <x:v>GoblinRanged</x:v>
      </x:c>
      <x:c r="G151" s="54" t="n">
        <x:v>13</x:v>
      </x:c>
    </x:row>
    <x:row r="152">
      <x:c r="A152" s="45" t="str">
        <x:v>Stage01</x:v>
      </x:c>
      <x:c r="B152" s="45" t="str">
        <x:v>WAVE_10</x:v>
      </x:c>
      <x:c r="C152" s="51" t="n">
        <x:v>93.22</x:v>
      </x:c>
      <x:c r="D152" s="54" t="n">
        <x:v>9</x:v>
      </x:c>
      <x:c r="E152" s="45" t="str">
        <x:v>RIGHT_04</x:v>
      </x:c>
      <x:c r="F152" s="45" t="str">
        <x:v>ShieldSkeleton</x:v>
      </x:c>
      <x:c r="G152" s="54" t="n">
        <x:v>12</x:v>
      </x:c>
    </x:row>
    <x:row r="153">
      <x:c r="A153" s="45" t="str">
        <x:v>Stage01</x:v>
      </x:c>
      <x:c r="B153" s="45" t="str">
        <x:v>WAVE_10</x:v>
      </x:c>
      <x:c r="C153" s="51" t="n">
        <x:v>93.5</x:v>
      </x:c>
      <x:c r="D153" s="54" t="n">
        <x:v>10</x:v>
      </x:c>
      <x:c r="E153" s="45" t="str">
        <x:v>LEFT_05</x:v>
      </x:c>
      <x:c r="F153" s="45" t="str">
        <x:v>GoblinMelee</x:v>
      </x:c>
      <x:c r="G153" s="54" t="n">
        <x:v>12</x:v>
      </x:c>
    </x:row>
    <x:row r="154">
      <x:c r="A154" s="45" t="str">
        <x:v>Stage01</x:v>
      </x:c>
      <x:c r="B154" s="45" t="str">
        <x:v>WAVE_10</x:v>
      </x:c>
      <x:c r="C154" s="51" t="n">
        <x:v>93.77</x:v>
      </x:c>
      <x:c r="D154" s="54" t="n">
        <x:v>11</x:v>
      </x:c>
      <x:c r="E154" s="45" t="str">
        <x:v>BOTTOM_05</x:v>
      </x:c>
      <x:c r="F154" s="45" t="str">
        <x:v>GoblinRanged</x:v>
      </x:c>
      <x:c r="G154" s="54" t="n">
        <x:v>13</x:v>
      </x:c>
    </x:row>
    <x:row r="155">
      <x:c r="A155" s="45" t="str">
        <x:v>Stage01</x:v>
      </x:c>
      <x:c r="B155" s="45" t="str">
        <x:v>WAVE_10</x:v>
      </x:c>
      <x:c r="C155" s="51" t="n">
        <x:v>94.05</x:v>
      </x:c>
      <x:c r="D155" s="54" t="n">
        <x:v>12</x:v>
      </x:c>
      <x:c r="E155" s="45" t="str">
        <x:v>TOP_06</x:v>
      </x:c>
      <x:c r="F155" s="45" t="str">
        <x:v>ShieldSkeleton</x:v>
      </x:c>
      <x:c r="G155" s="54" t="n">
        <x:v>12</x:v>
      </x:c>
    </x:row>
    <x:row r="156">
      <x:c r="A156" s="45" t="str">
        <x:v>Stage01</x:v>
      </x:c>
      <x:c r="B156" s="45" t="str">
        <x:v>WAVE_10</x:v>
      </x:c>
      <x:c r="C156" s="51" t="n">
        <x:v>94.33</x:v>
      </x:c>
      <x:c r="D156" s="54" t="n">
        <x:v>13</x:v>
      </x:c>
      <x:c r="E156" s="45" t="str">
        <x:v>RIGHT_07</x:v>
      </x:c>
      <x:c r="F156" s="45" t="str">
        <x:v>GoblinMelee</x:v>
      </x:c>
      <x:c r="G156" s="54" t="n">
        <x:v>13</x:v>
      </x:c>
    </x:row>
    <x:row r="157">
      <x:c r="A157" s="45" t="str">
        <x:v>Stage01</x:v>
      </x:c>
      <x:c r="B157" s="45" t="str">
        <x:v>WAVE_10</x:v>
      </x:c>
      <x:c r="C157" s="51" t="n">
        <x:v>94.61</x:v>
      </x:c>
      <x:c r="D157" s="54" t="n">
        <x:v>14</x:v>
      </x:c>
      <x:c r="E157" s="45" t="str">
        <x:v>LEFT_01</x:v>
      </x:c>
      <x:c r="F157" s="45" t="str">
        <x:v>GoblinRanged</x:v>
      </x:c>
      <x:c r="G157" s="54" t="n">
        <x:v>13</x:v>
      </x:c>
    </x:row>
    <x:row r="158">
      <x:c r="A158" s="45" t="str">
        <x:v>Stage01</x:v>
      </x:c>
      <x:c r="B158" s="45" t="str">
        <x:v>WAVE_10</x:v>
      </x:c>
      <x:c r="C158" s="51" t="n">
        <x:v>94.88</x:v>
      </x:c>
      <x:c r="D158" s="54" t="n">
        <x:v>15</x:v>
      </x:c>
      <x:c r="E158" s="45" t="str">
        <x:v>BOTTOM_01</x:v>
      </x:c>
      <x:c r="F158" s="45" t="str">
        <x:v>ShieldSkeleton</x:v>
      </x:c>
      <x:c r="G158" s="54" t="n">
        <x:v>12</x:v>
      </x:c>
    </x:row>
    <x:row r="159">
      <x:c r="A159" s="45" t="str">
        <x:v>Stage01</x:v>
      </x:c>
      <x:c r="B159" s="45" t="str">
        <x:v>WAVE_10</x:v>
      </x:c>
      <x:c r="C159" s="51" t="n">
        <x:v>95.16</x:v>
      </x:c>
      <x:c r="D159" s="54" t="n">
        <x:v>16</x:v>
      </x:c>
      <x:c r="E159" s="45" t="str">
        <x:v>TOP_02</x:v>
      </x:c>
      <x:c r="F159" s="45" t="str">
        <x:v>GoblinMelee</x:v>
      </x:c>
      <x:c r="G159" s="54" t="n">
        <x:v>12</x:v>
      </x:c>
    </x:row>
    <x:row r="160">
      <x:c r="A160" s="45" t="str">
        <x:v>Stage01</x:v>
      </x:c>
      <x:c r="B160" s="45" t="str">
        <x:v>WAVE_10</x:v>
      </x:c>
      <x:c r="C160" s="51" t="n">
        <x:v>95.44</x:v>
      </x:c>
      <x:c r="D160" s="54" t="n">
        <x:v>17</x:v>
      </x:c>
      <x:c r="E160" s="45" t="str">
        <x:v>RIGHT_03</x:v>
      </x:c>
      <x:c r="F160" s="45" t="str">
        <x:v>GoblinRanged</x:v>
      </x:c>
      <x:c r="G160" s="54" t="n">
        <x:v>13</x:v>
      </x:c>
    </x:row>
    <x:row r="161">
      <x:c r="A161" s="45" t="str">
        <x:v>Stage01</x:v>
      </x:c>
      <x:c r="B161" s="45" t="str">
        <x:v>WAVE_10</x:v>
      </x:c>
      <x:c r="C161" s="51" t="n">
        <x:v>95.72</x:v>
      </x:c>
      <x:c r="D161" s="54" t="n">
        <x:v>18</x:v>
      </x:c>
      <x:c r="E161" s="45" t="str">
        <x:v>LEFT_04</x:v>
      </x:c>
      <x:c r="F161" s="45" t="str">
        <x:v>GoblinMelee</x:v>
      </x:c>
      <x:c r="G161" s="54" t="n">
        <x:v>12</x:v>
      </x:c>
    </x:row>
    <x:row r="162">
      <x:c r="A162" s="45" t="str">
        <x:v>Stage01</x:v>
      </x:c>
      <x:c r="B162" s="45" t="str">
        <x:v>WAVE_10</x:v>
      </x:c>
      <x:c r="C162" s="51" t="n">
        <x:v>95.99</x:v>
      </x:c>
      <x:c r="D162" s="54" t="n">
        <x:v>19</x:v>
      </x:c>
      <x:c r="E162" s="45" t="str">
        <x:v>BOTTOM_04</x:v>
      </x:c>
      <x:c r="F162" s="45" t="str">
        <x:v>GoblinRanged</x:v>
      </x:c>
      <x:c r="G162" s="54" t="n">
        <x:v>14</x:v>
      </x:c>
    </x:row>
    <x:row r="163">
      <x:c r="A163" s="45" t="str">
        <x:v>Stage01</x:v>
      </x:c>
      <x:c r="B163" s="45" t="str">
        <x:v>WAVE_10</x:v>
      </x:c>
      <x:c r="C163" s="51" t="n">
        <x:v>96.27</x:v>
      </x:c>
      <x:c r="D163" s="54" t="n">
        <x:v>20</x:v>
      </x:c>
      <x:c r="E163" s="45" t="str">
        <x:v>TOP_05</x:v>
      </x:c>
      <x:c r="F163" s="45" t="str">
        <x:v>GoblinMelee</x:v>
      </x:c>
      <x:c r="G163" s="54" t="n">
        <x:v>12</x:v>
      </x:c>
    </x:row>
    <x:row r="164">
      <x:c r="A164" s="45" t="str">
        <x:v>Stage01</x:v>
      </x:c>
      <x:c r="B164" s="45" t="str">
        <x:v>WAVE_10</x:v>
      </x:c>
      <x:c r="C164" s="51" t="n">
        <x:v>96.55</x:v>
      </x:c>
      <x:c r="D164" s="54" t="n">
        <x:v>21</x:v>
      </x:c>
      <x:c r="E164" s="45" t="str">
        <x:v>RIGHT_06</x:v>
      </x:c>
      <x:c r="F164" s="45" t="str">
        <x:v>GoblinRanged</x:v>
      </x:c>
      <x:c r="G164" s="54" t="n">
        <x:v>13</x:v>
      </x:c>
    </x:row>
    <x:row r="165">
      <x:c r="A165" s="45" t="str">
        <x:v>Stage01</x:v>
      </x:c>
      <x:c r="B165" s="45" t="str">
        <x:v>WAVE_10</x:v>
      </x:c>
      <x:c r="C165" s="51" t="n">
        <x:v>96.83</x:v>
      </x:c>
      <x:c r="D165" s="54" t="n">
        <x:v>22</x:v>
      </x:c>
      <x:c r="E165" s="45" t="str">
        <x:v>LEFT_07</x:v>
      </x:c>
      <x:c r="F165" s="45" t="str">
        <x:v>GoblinMelee</x:v>
      </x:c>
      <x:c r="G165" s="54" t="n">
        <x:v>12</x:v>
      </x:c>
    </x:row>
    <x:row r="166">
      <x:c r="A166" s="45" t="str">
        <x:v>Stage01</x:v>
      </x:c>
      <x:c r="B166" s="45" t="str">
        <x:v>WAVE_10</x:v>
      </x:c>
      <x:c r="C166" s="51" t="n">
        <x:v>97.1</x:v>
      </x:c>
      <x:c r="D166" s="54" t="n">
        <x:v>23</x:v>
      </x:c>
      <x:c r="E166" s="45" t="str">
        <x:v>RIGHT_08</x:v>
      </x:c>
      <x:c r="F166" s="45" t="str">
        <x:v>GoblinRanged</x:v>
      </x:c>
      <x:c r="G166" s="54" t="n">
        <x:v>13</x:v>
      </x:c>
    </x:row>
    <x:row r="167">
      <x:c r="A167" s="45" t="str">
        <x:v>Stage01</x:v>
      </x:c>
      <x:c r="B167" s="45" t="str">
        <x:v>WAVE_10</x:v>
      </x:c>
      <x:c r="C167" s="51" t="n">
        <x:v>97.38</x:v>
      </x:c>
      <x:c r="D167" s="54" t="n">
        <x:v>24</x:v>
      </x:c>
      <x:c r="E167" s="45" t="str">
        <x:v>TOP_01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WAVE_10</x:v>
      </x:c>
      <x:c r="C168" s="51" t="n">
        <x:v>97.66</x:v>
      </x:c>
      <x:c r="D168" s="54" t="n">
        <x:v>25</x:v>
      </x:c>
      <x:c r="E168" s="45" t="str">
        <x:v>RIGHT_02</x:v>
      </x:c>
      <x:c r="F168" s="45" t="str">
        <x:v>GoblinMelee</x:v>
      </x:c>
      <x:c r="G168" s="54" t="n">
        <x:v>13</x:v>
      </x:c>
    </x:row>
    <x:row r="169">
      <x:c r="A169" s="45" t="str">
        <x:v>Stage01</x:v>
      </x:c>
      <x:c r="B169" s="45" t="str">
        <x:v>WAVE_10</x:v>
      </x:c>
      <x:c r="C169" s="51" t="n">
        <x:v>97.94</x:v>
      </x:c>
      <x:c r="D169" s="54" t="n">
        <x:v>26</x:v>
      </x:c>
      <x:c r="E169" s="45" t="str">
        <x:v>LEFT_03</x:v>
      </x:c>
      <x:c r="F169" s="45" t="str">
        <x:v>GoblinMelee</x:v>
      </x:c>
      <x:c r="G169" s="54" t="n">
        <x:v>12</x:v>
      </x:c>
    </x:row>
    <x:row r="170">
      <x:c r="A170" s="45" t="str">
        <x:v>Stage01</x:v>
      </x:c>
      <x:c r="B170" s="45" t="str">
        <x:v>WAVE_10</x:v>
      </x:c>
      <x:c r="C170" s="51" t="n">
        <x:v>98.21</x:v>
      </x:c>
      <x:c r="D170" s="54" t="n">
        <x:v>27</x:v>
      </x:c>
      <x:c r="E170" s="45" t="str">
        <x:v>BOTTOM_03</x:v>
      </x:c>
      <x:c r="F170" s="45" t="str">
        <x:v>GoblinMelee</x:v>
      </x:c>
      <x:c r="G170" s="54" t="n">
        <x:v>12</x:v>
      </x:c>
    </x:row>
    <x:row r="171">
      <x:c r="A171" s="45" t="str">
        <x:v>Stage01</x:v>
      </x:c>
      <x:c r="B171" s="45" t="str">
        <x:v>WAVE_10</x:v>
      </x:c>
      <x:c r="C171" s="51" t="n">
        <x:v>98.49</x:v>
      </x:c>
      <x:c r="D171" s="54" t="n">
        <x:v>28</x:v>
      </x:c>
      <x:c r="E171" s="45" t="str">
        <x:v>TOP_04</x:v>
      </x:c>
      <x:c r="F171" s="45" t="str">
        <x:v>GoblinMelee</x:v>
      </x:c>
      <x:c r="G171" s="54" t="n">
        <x:v>12</x:v>
      </x:c>
    </x:row>
    <x:row r="172">
      <x:c r="A172" s="45" t="str">
        <x:v>Stage01</x:v>
      </x:c>
      <x:c r="B172" s="45" t="str">
        <x:v>WAVE_10</x:v>
      </x:c>
      <x:c r="C172" s="51" t="n">
        <x:v>98.77</x:v>
      </x:c>
      <x:c r="D172" s="54" t="n">
        <x:v>29</x:v>
      </x:c>
      <x:c r="E172" s="45" t="str">
        <x:v>RIGHT_05</x:v>
      </x:c>
      <x:c r="F172" s="45" t="str">
        <x:v>GoblinMelee</x:v>
      </x:c>
      <x:c r="G172" s="54" t="n">
        <x:v>12</x:v>
      </x:c>
    </x:row>
    <x:row r="173">
      <x:c r="A173" s="45" t="str">
        <x:v>Stage01</x:v>
      </x:c>
      <x:c r="B173" s="45" t="str">
        <x:v>WAVE_10</x:v>
      </x:c>
      <x:c r="C173" s="51" t="n">
        <x:v>99.05</x:v>
      </x:c>
      <x:c r="D173" s="54" t="n">
        <x:v>30</x:v>
      </x:c>
      <x:c r="E173" s="45" t="str">
        <x:v>LEFT_06</x:v>
      </x:c>
      <x:c r="F173" s="45" t="str">
        <x:v>GoblinMelee</x:v>
      </x:c>
      <x:c r="G173" s="54" t="n">
        <x:v>12</x:v>
      </x:c>
    </x:row>
    <x:row r="174">
      <x:c r="A174" s="45" t="str">
        <x:v>Stage01</x:v>
      </x:c>
      <x:c r="B174" s="45" t="str">
        <x:v>WAVE_10</x:v>
      </x:c>
      <x:c r="C174" s="51" t="n">
        <x:v>99.32</x:v>
      </x:c>
      <x:c r="D174" s="54" t="n">
        <x:v>31</x:v>
      </x:c>
      <x:c r="E174" s="45" t="str">
        <x:v>BOTTOM_06</x:v>
      </x:c>
      <x:c r="F174" s="45" t="str">
        <x:v>GoblinMelee</x:v>
      </x:c>
      <x:c r="G174" s="54" t="n">
        <x:v>13</x:v>
      </x:c>
    </x:row>
    <x:row r="175">
      <x:c r="A175" s="45" t="str">
        <x:v>Stage01</x:v>
      </x:c>
      <x:c r="B175" s="45" t="str">
        <x:v>WAVE_10</x:v>
      </x:c>
      <x:c r="C175" s="51" t="n">
        <x:v>99.6</x:v>
      </x:c>
      <x:c r="D175" s="54" t="n">
        <x:v>32</x:v>
      </x:c>
      <x:c r="E175" s="45" t="str">
        <x:v>LEFT_08</x:v>
      </x:c>
      <x:c r="F175" s="45" t="str">
        <x:v>GoblinMelee</x:v>
      </x:c>
      <x:c r="G175" s="54" t="n">
        <x:v>12</x:v>
      </x:c>
    </x:row>
    <x:row r="176">
      <x:c r="A176" s="45" t="str">
        <x:v>Stage01</x:v>
      </x:c>
      <x:c r="B176" s="45" t="str">
        <x:v>WAVE_11</x:v>
      </x:c>
      <x:c r="C176" s="51" t="n">
        <x:v>101</x:v>
      </x:c>
      <x:c r="D176" s="54" t="n">
        <x:v>1</x:v>
      </x:c>
      <x:c r="E176" s="45" t="str">
        <x:v>TOP_06</x:v>
      </x:c>
      <x:c r="F176" s="45" t="str">
        <x:v>GoblinMelee</x:v>
      </x:c>
      <x:c r="G176" s="54" t="n">
        <x:v>14</x:v>
      </x:c>
    </x:row>
    <x:row r="177">
      <x:c r="A177" s="45" t="str">
        <x:v>Stage01</x:v>
      </x:c>
      <x:c r="B177" s="45" t="str">
        <x:v>WAVE_11</x:v>
      </x:c>
      <x:c r="C177" s="51" t="n">
        <x:v>101.25</x:v>
      </x:c>
      <x:c r="D177" s="54" t="n">
        <x:v>2</x:v>
      </x:c>
      <x:c r="E177" s="45" t="str">
        <x:v>RIGHT_07</x:v>
      </x:c>
      <x:c r="F177" s="45" t="str">
        <x:v>GoblinRanged</x:v>
      </x:c>
      <x:c r="G177" s="54" t="n">
        <x:v>14</x:v>
      </x:c>
    </x:row>
    <x:row r="178">
      <x:c r="A178" s="45" t="str">
        <x:v>Stage01</x:v>
      </x:c>
      <x:c r="B178" s="45" t="str">
        <x:v>WAVE_11</x:v>
      </x:c>
      <x:c r="C178" s="51" t="n">
        <x:v>101.49</x:v>
      </x:c>
      <x:c r="D178" s="54" t="n">
        <x:v>3</x:v>
      </x:c>
      <x:c r="E178" s="45" t="str">
        <x:v>LEFT_01</x:v>
      </x:c>
      <x:c r="F178" s="45" t="str">
        <x:v>ShieldSkeleton</x:v>
      </x:c>
      <x:c r="G178" s="54" t="n">
        <x:v>13</x:v>
      </x:c>
    </x:row>
    <x:row r="179">
      <x:c r="A179" s="45" t="str">
        <x:v>Stage01</x:v>
      </x:c>
      <x:c r="B179" s="45" t="str">
        <x:v>WAVE_11</x:v>
      </x:c>
      <x:c r="C179" s="51" t="n">
        <x:v>101.74</x:v>
      </x:c>
      <x:c r="D179" s="54" t="n">
        <x:v>4</x:v>
      </x:c>
      <x:c r="E179" s="45" t="str">
        <x:v>BOTTOM_01</x:v>
      </x:c>
      <x:c r="F179" s="45" t="str">
        <x:v>GoblinMelee</x:v>
      </x:c>
      <x:c r="G179" s="54" t="n">
        <x:v>13</x:v>
      </x:c>
    </x:row>
    <x:row r="180">
      <x:c r="A180" s="45" t="str">
        <x:v>Stage01</x:v>
      </x:c>
      <x:c r="B180" s="45" t="str">
        <x:v>WAVE_11</x:v>
      </x:c>
      <x:c r="C180" s="51" t="n">
        <x:v>101.98</x:v>
      </x:c>
      <x:c r="D180" s="54" t="n">
        <x:v>5</x:v>
      </x:c>
      <x:c r="E180" s="45" t="str">
        <x:v>TOP_02</x:v>
      </x:c>
      <x:c r="F180" s="45" t="str">
        <x:v>GoblinRanged</x:v>
      </x:c>
      <x:c r="G180" s="54" t="n">
        <x:v>14</x:v>
      </x:c>
    </x:row>
    <x:row r="181">
      <x:c r="A181" s="45" t="str">
        <x:v>Stage01</x:v>
      </x:c>
      <x:c r="B181" s="45" t="str">
        <x:v>WAVE_11</x:v>
      </x:c>
      <x:c r="C181" s="51" t="n">
        <x:v>102.23</x:v>
      </x:c>
      <x:c r="D181" s="54" t="n">
        <x:v>6</x:v>
      </x:c>
      <x:c r="E181" s="45" t="str">
        <x:v>RIGHT_03</x:v>
      </x:c>
      <x:c r="F181" s="45" t="str">
        <x:v>ShieldSkeleton</x:v>
      </x:c>
      <x:c r="G181" s="54" t="n">
        <x:v>13</x:v>
      </x:c>
    </x:row>
    <x:row r="182">
      <x:c r="A182" s="45" t="str">
        <x:v>Stage01</x:v>
      </x:c>
      <x:c r="B182" s="45" t="str">
        <x:v>WAVE_11</x:v>
      </x:c>
      <x:c r="C182" s="51" t="n">
        <x:v>102.47</x:v>
      </x:c>
      <x:c r="D182" s="54" t="n">
        <x:v>7</x:v>
      </x:c>
      <x:c r="E182" s="45" t="str">
        <x:v>LEFT_04</x:v>
      </x:c>
      <x:c r="F182" s="45" t="str">
        <x:v>GoblinMelee</x:v>
      </x:c>
      <x:c r="G182" s="54" t="n">
        <x:v>14</x:v>
      </x:c>
    </x:row>
    <x:row r="183">
      <x:c r="A183" s="45" t="str">
        <x:v>Stage01</x:v>
      </x:c>
      <x:c r="B183" s="45" t="str">
        <x:v>WAVE_11</x:v>
      </x:c>
      <x:c r="C183" s="51" t="n">
        <x:v>102.72</x:v>
      </x:c>
      <x:c r="D183" s="54" t="n">
        <x:v>8</x:v>
      </x:c>
      <x:c r="E183" s="45" t="str">
        <x:v>BOTTOM_04</x:v>
      </x:c>
      <x:c r="F183" s="45" t="str">
        <x:v>GoblinRanged</x:v>
      </x:c>
      <x:c r="G183" s="54" t="n">
        <x:v>14</x:v>
      </x:c>
    </x:row>
    <x:row r="184">
      <x:c r="A184" s="45" t="str">
        <x:v>Stage01</x:v>
      </x:c>
      <x:c r="B184" s="45" t="str">
        <x:v>WAVE_11</x:v>
      </x:c>
      <x:c r="C184" s="51" t="n">
        <x:v>102.97</x:v>
      </x:c>
      <x:c r="D184" s="54" t="n">
        <x:v>9</x:v>
      </x:c>
      <x:c r="E184" s="45" t="str">
        <x:v>TOP_05</x:v>
      </x:c>
      <x:c r="F184" s="45" t="str">
        <x:v>ShieldSkeleton</x:v>
      </x:c>
      <x:c r="G184" s="54" t="n">
        <x:v>13</x:v>
      </x:c>
    </x:row>
    <x:row r="185">
      <x:c r="A185" s="45" t="str">
        <x:v>Stage01</x:v>
      </x:c>
      <x:c r="B185" s="45" t="str">
        <x:v>WAVE_11</x:v>
      </x:c>
      <x:c r="C185" s="51" t="n">
        <x:v>103.21</x:v>
      </x:c>
      <x:c r="D185" s="54" t="n">
        <x:v>10</x:v>
      </x:c>
      <x:c r="E185" s="45" t="str">
        <x:v>RIGHT_06</x:v>
      </x:c>
      <x:c r="F185" s="45" t="str">
        <x:v>GoblinMelee</x:v>
      </x:c>
      <x:c r="G185" s="54" t="n">
        <x:v>13</x:v>
      </x:c>
    </x:row>
    <x:row r="186">
      <x:c r="A186" s="45" t="str">
        <x:v>Stage01</x:v>
      </x:c>
      <x:c r="B186" s="45" t="str">
        <x:v>WAVE_11</x:v>
      </x:c>
      <x:c r="C186" s="51" t="n">
        <x:v>103.46</x:v>
      </x:c>
      <x:c r="D186" s="54" t="n">
        <x:v>11</x:v>
      </x:c>
      <x:c r="E186" s="45" t="str">
        <x:v>LEFT_07</x:v>
      </x:c>
      <x:c r="F186" s="45" t="str">
        <x:v>GoblinRanged</x:v>
      </x:c>
      <x:c r="G186" s="54" t="n">
        <x:v>14</x:v>
      </x:c>
    </x:row>
    <x:row r="187">
      <x:c r="A187" s="45" t="str">
        <x:v>Stage01</x:v>
      </x:c>
      <x:c r="B187" s="45" t="str">
        <x:v>WAVE_11</x:v>
      </x:c>
      <x:c r="C187" s="51" t="n">
        <x:v>103.7</x:v>
      </x:c>
      <x:c r="D187" s="54" t="n">
        <x:v>12</x:v>
      </x:c>
      <x:c r="E187" s="45" t="str">
        <x:v>RIGHT_08</x:v>
      </x:c>
      <x:c r="F187" s="45" t="str">
        <x:v>ShieldSkeleton</x:v>
      </x:c>
      <x:c r="G187" s="54" t="n">
        <x:v>13</x:v>
      </x:c>
    </x:row>
    <x:row r="188">
      <x:c r="A188" s="45" t="str">
        <x:v>Stage01</x:v>
      </x:c>
      <x:c r="B188" s="45" t="str">
        <x:v>WAVE_11</x:v>
      </x:c>
      <x:c r="C188" s="51" t="n">
        <x:v>103.95</x:v>
      </x:c>
      <x:c r="D188" s="54" t="n">
        <x:v>13</x:v>
      </x:c>
      <x:c r="E188" s="45" t="str">
        <x:v>TOP_01</x:v>
      </x:c>
      <x:c r="F188" s="45" t="str">
        <x:v>GoblinMelee</x:v>
      </x:c>
      <x:c r="G188" s="54" t="n">
        <x:v>14</x:v>
      </x:c>
    </x:row>
    <x:row r="189">
      <x:c r="A189" s="45" t="str">
        <x:v>Stage01</x:v>
      </x:c>
      <x:c r="B189" s="45" t="str">
        <x:v>WAVE_11</x:v>
      </x:c>
      <x:c r="C189" s="51" t="n">
        <x:v>104.19</x:v>
      </x:c>
      <x:c r="D189" s="54" t="n">
        <x:v>14</x:v>
      </x:c>
      <x:c r="E189" s="45" t="str">
        <x:v>RIGHT_02</x:v>
      </x:c>
      <x:c r="F189" s="45" t="str">
        <x:v>GoblinRanged</x:v>
      </x:c>
      <x:c r="G189" s="54" t="n">
        <x:v>14</x:v>
      </x:c>
    </x:row>
    <x:row r="190">
      <x:c r="A190" s="45" t="str">
        <x:v>Stage01</x:v>
      </x:c>
      <x:c r="B190" s="45" t="str">
        <x:v>WAVE_11</x:v>
      </x:c>
      <x:c r="C190" s="51" t="n">
        <x:v>104.44</x:v>
      </x:c>
      <x:c r="D190" s="54" t="n">
        <x:v>15</x:v>
      </x:c>
      <x:c r="E190" s="45" t="str">
        <x:v>LEFT_03</x:v>
      </x:c>
      <x:c r="F190" s="45" t="str">
        <x:v>ShieldSkeleton</x:v>
      </x:c>
      <x:c r="G190" s="54" t="n">
        <x:v>13</x:v>
      </x:c>
    </x:row>
    <x:row r="191">
      <x:c r="A191" s="45" t="str">
        <x:v>Stage01</x:v>
      </x:c>
      <x:c r="B191" s="45" t="str">
        <x:v>WAVE_11</x:v>
      </x:c>
      <x:c r="C191" s="51" t="n">
        <x:v>104.69</x:v>
      </x:c>
      <x:c r="D191" s="54" t="n">
        <x:v>16</x:v>
      </x:c>
      <x:c r="E191" s="45" t="str">
        <x:v>BOTTOM_03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WAVE_11</x:v>
      </x:c>
      <x:c r="C192" s="51" t="n">
        <x:v>104.93</x:v>
      </x:c>
      <x:c r="D192" s="54" t="n">
        <x:v>17</x:v>
      </x:c>
      <x:c r="E192" s="45" t="str">
        <x:v>TOP_04</x:v>
      </x:c>
      <x:c r="F192" s="45" t="str">
        <x:v>GoblinRanged</x:v>
      </x:c>
      <x:c r="G192" s="54" t="n">
        <x:v>14</x:v>
      </x:c>
    </x:row>
    <x:row r="193">
      <x:c r="A193" s="45" t="str">
        <x:v>Stage01</x:v>
      </x:c>
      <x:c r="B193" s="45" t="str">
        <x:v>WAVE_11</x:v>
      </x:c>
      <x:c r="C193" s="51" t="n">
        <x:v>105.18</x:v>
      </x:c>
      <x:c r="D193" s="54" t="n">
        <x:v>18</x:v>
      </x:c>
      <x:c r="E193" s="45" t="str">
        <x:v>RIGHT_05</x:v>
      </x:c>
      <x:c r="F193" s="45" t="str">
        <x:v>ShieldSkeleton</x:v>
      </x:c>
      <x:c r="G193" s="54" t="n">
        <x:v>13</x:v>
      </x:c>
    </x:row>
    <x:row r="194">
      <x:c r="A194" s="45" t="str">
        <x:v>Stage01</x:v>
      </x:c>
      <x:c r="B194" s="45" t="str">
        <x:v>WAVE_11</x:v>
      </x:c>
      <x:c r="C194" s="51" t="n">
        <x:v>105.42</x:v>
      </x:c>
      <x:c r="D194" s="54" t="n">
        <x:v>19</x:v>
      </x:c>
      <x:c r="E194" s="45" t="str">
        <x:v>LEFT_06</x:v>
      </x:c>
      <x:c r="F194" s="45" t="str">
        <x:v>GoblinMelee</x:v>
      </x:c>
      <x:c r="G194" s="54" t="n">
        <x:v>14</x:v>
      </x:c>
    </x:row>
    <x:row r="195">
      <x:c r="A195" s="45" t="str">
        <x:v>Stage01</x:v>
      </x:c>
      <x:c r="B195" s="45" t="str">
        <x:v>WAVE_11</x:v>
      </x:c>
      <x:c r="C195" s="51" t="n">
        <x:v>105.67</x:v>
      </x:c>
      <x:c r="D195" s="54" t="n">
        <x:v>20</x:v>
      </x:c>
      <x:c r="E195" s="45" t="str">
        <x:v>BOTTOM_06</x:v>
      </x:c>
      <x:c r="F195" s="45" t="str">
        <x:v>GoblinRanged</x:v>
      </x:c>
      <x:c r="G195" s="54" t="n">
        <x:v>14</x:v>
      </x:c>
    </x:row>
    <x:row r="196">
      <x:c r="A196" s="45" t="str">
        <x:v>Stage01</x:v>
      </x:c>
      <x:c r="B196" s="45" t="str">
        <x:v>WAVE_11</x:v>
      </x:c>
      <x:c r="C196" s="51" t="n">
        <x:v>105.91</x:v>
      </x:c>
      <x:c r="D196" s="54" t="n">
        <x:v>21</x:v>
      </x:c>
      <x:c r="E196" s="45" t="str">
        <x:v>LEFT_08</x:v>
      </x:c>
      <x:c r="F196" s="45" t="str">
        <x:v>GoblinMelee</x:v>
      </x:c>
      <x:c r="G196" s="54" t="n">
        <x:v>13</x:v>
      </x:c>
    </x:row>
    <x:row r="197">
      <x:c r="A197" s="45" t="str">
        <x:v>Stage01</x:v>
      </x:c>
      <x:c r="B197" s="45" t="str">
        <x:v>WAVE_11</x:v>
      </x:c>
      <x:c r="C197" s="51" t="n">
        <x:v>106.16</x:v>
      </x:c>
      <x:c r="D197" s="54" t="n">
        <x:v>22</x:v>
      </x:c>
      <x:c r="E197" s="45" t="str">
        <x:v>RIGHT_01</x:v>
      </x:c>
      <x:c r="F197" s="45" t="str">
        <x:v>GoblinRanged</x:v>
      </x:c>
      <x:c r="G197" s="54" t="n">
        <x:v>14</x:v>
      </x:c>
    </x:row>
    <x:row r="198">
      <x:c r="A198" s="45" t="str">
        <x:v>Stage01</x:v>
      </x:c>
      <x:c r="B198" s="45" t="str">
        <x:v>WAVE_11</x:v>
      </x:c>
      <x:c r="C198" s="51" t="n">
        <x:v>106.41</x:v>
      </x:c>
      <x:c r="D198" s="54" t="n">
        <x:v>23</x:v>
      </x:c>
      <x:c r="E198" s="45" t="str">
        <x:v>LEFT_02</x:v>
      </x:c>
      <x:c r="F198" s="45" t="str">
        <x:v>GoblinMelee</x:v>
      </x:c>
      <x:c r="G198" s="54" t="n">
        <x:v>13</x:v>
      </x:c>
    </x:row>
    <x:row r="199">
      <x:c r="A199" s="45" t="str">
        <x:v>Stage01</x:v>
      </x:c>
      <x:c r="B199" s="45" t="str">
        <x:v>WAVE_11</x:v>
      </x:c>
      <x:c r="C199" s="51" t="n">
        <x:v>106.65</x:v>
      </x:c>
      <x:c r="D199" s="54" t="n">
        <x:v>24</x:v>
      </x:c>
      <x:c r="E199" s="45" t="str">
        <x:v>BOTTOM_02</x:v>
      </x:c>
      <x:c r="F199" s="45" t="str">
        <x:v>GoblinRanged</x:v>
      </x:c>
      <x:c r="G199" s="54" t="n">
        <x:v>14</x:v>
      </x:c>
    </x:row>
    <x:row r="200">
      <x:c r="A200" s="45" t="str">
        <x:v>Stage01</x:v>
      </x:c>
      <x:c r="B200" s="45" t="str">
        <x:v>WAVE_11</x:v>
      </x:c>
      <x:c r="C200" s="51" t="n">
        <x:v>106.9</x:v>
      </x:c>
      <x:c r="D200" s="54" t="n">
        <x:v>25</x:v>
      </x:c>
      <x:c r="E200" s="45" t="str">
        <x:v>TOP_03</x:v>
      </x:c>
      <x:c r="F200" s="45" t="str">
        <x:v>GoblinMelee</x:v>
      </x:c>
      <x:c r="G200" s="54" t="n">
        <x:v>14</x:v>
      </x:c>
    </x:row>
    <x:row r="201">
      <x:c r="A201" s="45" t="str">
        <x:v>Stage01</x:v>
      </x:c>
      <x:c r="B201" s="45" t="str">
        <x:v>WAVE_11</x:v>
      </x:c>
      <x:c r="C201" s="51" t="n">
        <x:v>107.14</x:v>
      </x:c>
      <x:c r="D201" s="54" t="n">
        <x:v>26</x:v>
      </x:c>
      <x:c r="E201" s="45" t="str">
        <x:v>RIGHT_04</x:v>
      </x:c>
      <x:c r="F201" s="45" t="str">
        <x:v>GoblinRanged</x:v>
      </x:c>
      <x:c r="G201" s="54" t="n">
        <x:v>14</x:v>
      </x:c>
    </x:row>
    <x:row r="202">
      <x:c r="A202" s="45" t="str">
        <x:v>Stage01</x:v>
      </x:c>
      <x:c r="B202" s="45" t="str">
        <x:v>WAVE_11</x:v>
      </x:c>
      <x:c r="C202" s="51" t="n">
        <x:v>107.39</x:v>
      </x:c>
      <x:c r="D202" s="54" t="n">
        <x:v>27</x:v>
      </x:c>
      <x:c r="E202" s="45" t="str">
        <x:v>LEFT_05</x:v>
      </x:c>
      <x:c r="F202" s="45" t="str">
        <x:v>GoblinMelee</x:v>
      </x:c>
      <x:c r="G202" s="54" t="n">
        <x:v>13</x:v>
      </x:c>
    </x:row>
    <x:row r="203">
      <x:c r="A203" s="45" t="str">
        <x:v>Stage01</x:v>
      </x:c>
      <x:c r="B203" s="45" t="str">
        <x:v>WAVE_11</x:v>
      </x:c>
      <x:c r="C203" s="51" t="n">
        <x:v>107.63</x:v>
      </x:c>
      <x:c r="D203" s="54" t="n">
        <x:v>28</x:v>
      </x:c>
      <x:c r="E203" s="45" t="str">
        <x:v>BOTTOM_05</x:v>
      </x:c>
      <x:c r="F203" s="45" t="str">
        <x:v>GoblinMelee</x:v>
      </x:c>
      <x:c r="G203" s="54" t="n">
        <x:v>13</x:v>
      </x:c>
    </x:row>
    <x:row r="204">
      <x:c r="A204" s="45" t="str">
        <x:v>Stage01</x:v>
      </x:c>
      <x:c r="B204" s="45" t="str">
        <x:v>WAVE_11</x:v>
      </x:c>
      <x:c r="C204" s="51" t="n">
        <x:v>107.88</x:v>
      </x:c>
      <x:c r="D204" s="54" t="n">
        <x:v>29</x:v>
      </x:c>
      <x:c r="E204" s="45" t="str">
        <x:v>TOP_06</x:v>
      </x:c>
      <x:c r="F204" s="45" t="str">
        <x:v>GoblinMelee</x:v>
      </x:c>
      <x:c r="G204" s="54" t="n">
        <x:v>13</x:v>
      </x:c>
    </x:row>
    <x:row r="205">
      <x:c r="A205" s="45" t="str">
        <x:v>Stage01</x:v>
      </x:c>
      <x:c r="B205" s="45" t="str">
        <x:v>WAVE_11</x:v>
      </x:c>
      <x:c r="C205" s="51" t="n">
        <x:v>108.13</x:v>
      </x:c>
      <x:c r="D205" s="54" t="n">
        <x:v>30</x:v>
      </x:c>
      <x:c r="E205" s="45" t="str">
        <x:v>RIGHT_07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WAVE_11</x:v>
      </x:c>
      <x:c r="C206" s="51" t="n">
        <x:v>108.37</x:v>
      </x:c>
      <x:c r="D206" s="54" t="n">
        <x:v>31</x:v>
      </x:c>
      <x:c r="E206" s="45" t="str">
        <x:v>LEFT_01</x:v>
      </x:c>
      <x:c r="F206" s="45" t="str">
        <x:v>GoblinMelee</x:v>
      </x:c>
      <x:c r="G206" s="54" t="n">
        <x:v>14</x:v>
      </x:c>
    </x:row>
    <x:row r="207">
      <x:c r="A207" s="45" t="str">
        <x:v>Stage01</x:v>
      </x:c>
      <x:c r="B207" s="45" t="str">
        <x:v>WAVE_11</x:v>
      </x:c>
      <x:c r="C207" s="51" t="n">
        <x:v>108.62</x:v>
      </x:c>
      <x:c r="D207" s="54" t="n">
        <x:v>32</x:v>
      </x:c>
      <x:c r="E207" s="45" t="str">
        <x:v>BOTTOM_01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WAVE_11</x:v>
      </x:c>
      <x:c r="C208" s="51" t="n">
        <x:v>108.86</x:v>
      </x:c>
      <x:c r="D208" s="54" t="n">
        <x:v>33</x:v>
      </x:c>
      <x:c r="E208" s="45" t="str">
        <x:v>TOP_02</x:v>
      </x:c>
      <x:c r="F208" s="45" t="str">
        <x:v>GoblinMelee</x:v>
      </x:c>
      <x:c r="G208" s="54" t="n">
        <x:v>13</x:v>
      </x:c>
    </x:row>
    <x:row r="209">
      <x:c r="A209" s="45" t="str">
        <x:v>Stage01</x:v>
      </x:c>
      <x:c r="B209" s="45" t="str">
        <x:v>WAVE_11</x:v>
      </x:c>
      <x:c r="C209" s="51" t="n">
        <x:v>109.11</x:v>
      </x:c>
      <x:c r="D209" s="54" t="n">
        <x:v>34</x:v>
      </x:c>
      <x:c r="E209" s="45" t="str">
        <x:v>RIGHT_03</x:v>
      </x:c>
      <x:c r="F209" s="45" t="str">
        <x:v>GoblinMelee</x:v>
      </x:c>
      <x:c r="G209" s="54" t="n">
        <x:v>13</x:v>
      </x:c>
    </x:row>
    <x:row r="210">
      <x:c r="A210" s="45" t="str">
        <x:v>Stage01</x:v>
      </x:c>
      <x:c r="B210" s="45" t="str">
        <x:v>WAVE_11</x:v>
      </x:c>
      <x:c r="C210" s="51" t="n">
        <x:v>109.35</x:v>
      </x:c>
      <x:c r="D210" s="54" t="n">
        <x:v>35</x:v>
      </x:c>
      <x:c r="E210" s="45" t="str">
        <x:v>LEFT_04</x:v>
      </x:c>
      <x:c r="F210" s="45" t="str">
        <x:v>GoblinMelee</x:v>
      </x:c>
      <x:c r="G210" s="54" t="n">
        <x:v>13</x:v>
      </x:c>
    </x:row>
    <x:row r="211">
      <x:c r="A211" s="45" t="str">
        <x:v>Stage01</x:v>
      </x:c>
      <x:c r="B211" s="45" t="str">
        <x:v>WAVE_11</x:v>
      </x:c>
      <x:c r="C211" s="51" t="n">
        <x:v>109.6</x:v>
      </x:c>
      <x:c r="D211" s="54" t="n">
        <x:v>36</x:v>
      </x:c>
      <x:c r="E211" s="45" t="str">
        <x:v>BOTTOM_04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WAVE_12</x:v>
      </x:c>
      <x:c r="C212" s="51" t="n">
        <x:v>111</x:v>
      </x:c>
      <x:c r="D212" s="54" t="n">
        <x:v>1</x:v>
      </x:c>
      <x:c r="E212" s="45" t="str">
        <x:v>RIGHT_08</x:v>
      </x:c>
      <x:c r="F212" s="45" t="str">
        <x:v>GoblinMelee</x:v>
      </x:c>
      <x:c r="G212" s="54" t="n">
        <x:v>16</x:v>
      </x:c>
    </x:row>
    <x:row r="213">
      <x:c r="A213" s="45" t="str">
        <x:v>Stage01</x:v>
      </x:c>
      <x:c r="B213" s="45" t="str">
        <x:v>WAVE_12</x:v>
      </x:c>
      <x:c r="C213" s="51" t="n">
        <x:v>111.22</x:v>
      </x:c>
      <x:c r="D213" s="54" t="n">
        <x:v>2</x:v>
      </x:c>
      <x:c r="E213" s="45" t="str">
        <x:v>TOP_01</x:v>
      </x:c>
      <x:c r="F213" s="45" t="str">
        <x:v>GoblinRanged</x:v>
      </x:c>
      <x:c r="G213" s="54" t="n">
        <x:v>16</x:v>
      </x:c>
    </x:row>
    <x:row r="214">
      <x:c r="A214" s="45" t="str">
        <x:v>Stage01</x:v>
      </x:c>
      <x:c r="B214" s="45" t="str">
        <x:v>WAVE_12</x:v>
      </x:c>
      <x:c r="C214" s="51" t="n">
        <x:v>111.44</x:v>
      </x:c>
      <x:c r="D214" s="54" t="n">
        <x:v>3</x:v>
      </x:c>
      <x:c r="E214" s="45" t="str">
        <x:v>RIGHT_02</x:v>
      </x:c>
      <x:c r="F214" s="45" t="str">
        <x:v>ShieldSkeleton</x:v>
      </x:c>
      <x:c r="G214" s="54" t="n">
        <x:v>15</x:v>
      </x:c>
    </x:row>
    <x:row r="215">
      <x:c r="A215" s="45" t="str">
        <x:v>Stage01</x:v>
      </x:c>
      <x:c r="B215" s="45" t="str">
        <x:v>WAVE_12</x:v>
      </x:c>
      <x:c r="C215" s="51" t="n">
        <x:v>111.66</x:v>
      </x:c>
      <x:c r="D215" s="54" t="n">
        <x:v>4</x:v>
      </x:c>
      <x:c r="E215" s="45" t="str">
        <x:v>LEFT_03</x:v>
      </x:c>
      <x:c r="F215" s="45" t="str">
        <x:v>GoblinMelee</x:v>
      </x:c>
      <x:c r="G215" s="54" t="n">
        <x:v>15</x:v>
      </x:c>
    </x:row>
    <x:row r="216">
      <x:c r="A216" s="45" t="str">
        <x:v>Stage01</x:v>
      </x:c>
      <x:c r="B216" s="45" t="str">
        <x:v>WAVE_12</x:v>
      </x:c>
      <x:c r="C216" s="51" t="n">
        <x:v>111.88</x:v>
      </x:c>
      <x:c r="D216" s="54" t="n">
        <x:v>5</x:v>
      </x:c>
      <x:c r="E216" s="45" t="str">
        <x:v>BOTTOM_03</x:v>
      </x:c>
      <x:c r="F216" s="45" t="str">
        <x:v>GoblinRanged</x:v>
      </x:c>
      <x:c r="G216" s="54" t="n">
        <x:v>16</x:v>
      </x:c>
    </x:row>
    <x:row r="217">
      <x:c r="A217" s="45" t="str">
        <x:v>Stage01</x:v>
      </x:c>
      <x:c r="B217" s="45" t="str">
        <x:v>WAVE_12</x:v>
      </x:c>
      <x:c r="C217" s="51" t="n">
        <x:v>112.1</x:v>
      </x:c>
      <x:c r="D217" s="54" t="n">
        <x:v>6</x:v>
      </x:c>
      <x:c r="E217" s="45" t="str">
        <x:v>TOP_04</x:v>
      </x:c>
      <x:c r="F217" s="45" t="str">
        <x:v>ShieldSkeleton</x:v>
      </x:c>
      <x:c r="G217" s="54" t="n">
        <x:v>15</x:v>
      </x:c>
    </x:row>
    <x:row r="218">
      <x:c r="A218" s="45" t="str">
        <x:v>Stage01</x:v>
      </x:c>
      <x:c r="B218" s="45" t="str">
        <x:v>WAVE_12</x:v>
      </x:c>
      <x:c r="C218" s="51" t="n">
        <x:v>112.32</x:v>
      </x:c>
      <x:c r="D218" s="54" t="n">
        <x:v>7</x:v>
      </x:c>
      <x:c r="E218" s="45" t="str">
        <x:v>RIGHT_05</x:v>
      </x:c>
      <x:c r="F218" s="45" t="str">
        <x:v>GoblinMelee</x:v>
      </x:c>
      <x:c r="G218" s="54" t="n">
        <x:v>16</x:v>
      </x:c>
    </x:row>
    <x:row r="219">
      <x:c r="A219" s="45" t="str">
        <x:v>Stage01</x:v>
      </x:c>
      <x:c r="B219" s="45" t="str">
        <x:v>WAVE_12</x:v>
      </x:c>
      <x:c r="C219" s="51" t="n">
        <x:v>112.54</x:v>
      </x:c>
      <x:c r="D219" s="54" t="n">
        <x:v>8</x:v>
      </x:c>
      <x:c r="E219" s="45" t="str">
        <x:v>LEFT_06</x:v>
      </x:c>
      <x:c r="F219" s="45" t="str">
        <x:v>GoblinRanged</x:v>
      </x:c>
      <x:c r="G219" s="54" t="n">
        <x:v>16</x:v>
      </x:c>
    </x:row>
    <x:row r="220">
      <x:c r="A220" s="45" t="str">
        <x:v>Stage01</x:v>
      </x:c>
      <x:c r="B220" s="45" t="str">
        <x:v>WAVE_12</x:v>
      </x:c>
      <x:c r="C220" s="51" t="n">
        <x:v>112.76</x:v>
      </x:c>
      <x:c r="D220" s="54" t="n">
        <x:v>9</x:v>
      </x:c>
      <x:c r="E220" s="45" t="str">
        <x:v>BOTTOM_06</x:v>
      </x:c>
      <x:c r="F220" s="45" t="str">
        <x:v>ShieldSkeleton</x:v>
      </x:c>
      <x:c r="G220" s="54" t="n">
        <x:v>15</x:v>
      </x:c>
    </x:row>
    <x:row r="221">
      <x:c r="A221" s="45" t="str">
        <x:v>Stage01</x:v>
      </x:c>
      <x:c r="B221" s="45" t="str">
        <x:v>WAVE_12</x:v>
      </x:c>
      <x:c r="C221" s="51" t="n">
        <x:v>112.98</x:v>
      </x:c>
      <x:c r="D221" s="54" t="n">
        <x:v>10</x:v>
      </x:c>
      <x:c r="E221" s="45" t="str">
        <x:v>LEFT_08</x:v>
      </x:c>
      <x:c r="F221" s="45" t="str">
        <x:v>GoblinMelee</x:v>
      </x:c>
      <x:c r="G221" s="54" t="n">
        <x:v>15</x:v>
      </x:c>
    </x:row>
    <x:row r="222">
      <x:c r="A222" s="45" t="str">
        <x:v>Stage01</x:v>
      </x:c>
      <x:c r="B222" s="45" t="str">
        <x:v>WAVE_12</x:v>
      </x:c>
      <x:c r="C222" s="51" t="n">
        <x:v>113.21</x:v>
      </x:c>
      <x:c r="D222" s="54" t="n">
        <x:v>11</x:v>
      </x:c>
      <x:c r="E222" s="45" t="str">
        <x:v>RIGHT_01</x:v>
      </x:c>
      <x:c r="F222" s="45" t="str">
        <x:v>GoblinRanged</x:v>
      </x:c>
      <x:c r="G222" s="54" t="n">
        <x:v>16</x:v>
      </x:c>
    </x:row>
    <x:row r="223">
      <x:c r="A223" s="45" t="str">
        <x:v>Stage01</x:v>
      </x:c>
      <x:c r="B223" s="45" t="str">
        <x:v>WAVE_12</x:v>
      </x:c>
      <x:c r="C223" s="51" t="n">
        <x:v>113.43</x:v>
      </x:c>
      <x:c r="D223" s="54" t="n">
        <x:v>12</x:v>
      </x:c>
      <x:c r="E223" s="45" t="str">
        <x:v>LEFT_02</x:v>
      </x:c>
      <x:c r="F223" s="45" t="str">
        <x:v>ShieldSkeleton</x:v>
      </x:c>
      <x:c r="G223" s="54" t="n">
        <x:v>15</x:v>
      </x:c>
    </x:row>
    <x:row r="224">
      <x:c r="A224" s="45" t="str">
        <x:v>Stage01</x:v>
      </x:c>
      <x:c r="B224" s="45" t="str">
        <x:v>WAVE_12</x:v>
      </x:c>
      <x:c r="C224" s="51" t="n">
        <x:v>113.65</x:v>
      </x:c>
      <x:c r="D224" s="54" t="n">
        <x:v>13</x:v>
      </x:c>
      <x:c r="E224" s="45" t="str">
        <x:v>BOTTOM_02</x:v>
      </x:c>
      <x:c r="F224" s="45" t="str">
        <x:v>GoblinMelee</x:v>
      </x:c>
      <x:c r="G224" s="54" t="n">
        <x:v>16</x:v>
      </x:c>
    </x:row>
    <x:row r="225">
      <x:c r="A225" s="45" t="str">
        <x:v>Stage01</x:v>
      </x:c>
      <x:c r="B225" s="45" t="str">
        <x:v>WAVE_12</x:v>
      </x:c>
      <x:c r="C225" s="51" t="n">
        <x:v>113.87</x:v>
      </x:c>
      <x:c r="D225" s="54" t="n">
        <x:v>14</x:v>
      </x:c>
      <x:c r="E225" s="45" t="str">
        <x:v>TOP_03</x:v>
      </x:c>
      <x:c r="F225" s="45" t="str">
        <x:v>GoblinRanged</x:v>
      </x:c>
      <x:c r="G225" s="54" t="n">
        <x:v>16</x:v>
      </x:c>
    </x:row>
    <x:row r="226">
      <x:c r="A226" s="45" t="str">
        <x:v>Stage01</x:v>
      </x:c>
      <x:c r="B226" s="45" t="str">
        <x:v>WAVE_12</x:v>
      </x:c>
      <x:c r="C226" s="51" t="n">
        <x:v>114.09</x:v>
      </x:c>
      <x:c r="D226" s="54" t="n">
        <x:v>15</x:v>
      </x:c>
      <x:c r="E226" s="45" t="str">
        <x:v>RIGHT_04</x:v>
      </x:c>
      <x:c r="F226" s="45" t="str">
        <x:v>ShieldSkeleton</x:v>
      </x:c>
      <x:c r="G226" s="54" t="n">
        <x:v>15</x:v>
      </x:c>
    </x:row>
    <x:row r="227">
      <x:c r="A227" s="45" t="str">
        <x:v>Stage01</x:v>
      </x:c>
      <x:c r="B227" s="45" t="str">
        <x:v>WAVE_12</x:v>
      </x:c>
      <x:c r="C227" s="51" t="n">
        <x:v>114.31</x:v>
      </x:c>
      <x:c r="D227" s="54" t="n">
        <x:v>16</x:v>
      </x:c>
      <x:c r="E227" s="45" t="str">
        <x:v>LEFT_05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WAVE_12</x:v>
      </x:c>
      <x:c r="C228" s="51" t="n">
        <x:v>114.53</x:v>
      </x:c>
      <x:c r="D228" s="54" t="n">
        <x:v>17</x:v>
      </x:c>
      <x:c r="E228" s="45" t="str">
        <x:v>BOTTOM_05</x:v>
      </x:c>
      <x:c r="F228" s="45" t="str">
        <x:v>GoblinRanged</x:v>
      </x:c>
      <x:c r="G228" s="54" t="n">
        <x:v>16</x:v>
      </x:c>
    </x:row>
    <x:row r="229">
      <x:c r="A229" s="45" t="str">
        <x:v>Stage01</x:v>
      </x:c>
      <x:c r="B229" s="45" t="str">
        <x:v>WAVE_12</x:v>
      </x:c>
      <x:c r="C229" s="51" t="n">
        <x:v>114.75</x:v>
      </x:c>
      <x:c r="D229" s="54" t="n">
        <x:v>18</x:v>
      </x:c>
      <x:c r="E229" s="45" t="str">
        <x:v>TOP_06</x:v>
      </x:c>
      <x:c r="F229" s="45" t="str">
        <x:v>ShieldSkeleton</x:v>
      </x:c>
      <x:c r="G229" s="54" t="n">
        <x:v>15</x:v>
      </x:c>
    </x:row>
    <x:row r="230">
      <x:c r="A230" s="45" t="str">
        <x:v>Stage01</x:v>
      </x:c>
      <x:c r="B230" s="45" t="str">
        <x:v>WAVE_12</x:v>
      </x:c>
      <x:c r="C230" s="51" t="n">
        <x:v>114.97</x:v>
      </x:c>
      <x:c r="D230" s="54" t="n">
        <x:v>19</x:v>
      </x:c>
      <x:c r="E230" s="45" t="str">
        <x:v>RIGHT_07</x:v>
      </x:c>
      <x:c r="F230" s="45" t="str">
        <x:v>GoblinMelee</x:v>
      </x:c>
      <x:c r="G230" s="54" t="n">
        <x:v>16</x:v>
      </x:c>
    </x:row>
    <x:row r="231">
      <x:c r="A231" s="45" t="str">
        <x:v>Stage01</x:v>
      </x:c>
      <x:c r="B231" s="45" t="str">
        <x:v>WAVE_12</x:v>
      </x:c>
      <x:c r="C231" s="51" t="n">
        <x:v>115.19</x:v>
      </x:c>
      <x:c r="D231" s="54" t="n">
        <x:v>20</x:v>
      </x:c>
      <x:c r="E231" s="45" t="str">
        <x:v>LEFT_01</x:v>
      </x:c>
      <x:c r="F231" s="45" t="str">
        <x:v>GoblinRanged</x:v>
      </x:c>
      <x:c r="G231" s="54" t="n">
        <x:v>16</x:v>
      </x:c>
    </x:row>
    <x:row r="232">
      <x:c r="A232" s="45" t="str">
        <x:v>Stage01</x:v>
      </x:c>
      <x:c r="B232" s="45" t="str">
        <x:v>WAVE_12</x:v>
      </x:c>
      <x:c r="C232" s="51" t="n">
        <x:v>115.41</x:v>
      </x:c>
      <x:c r="D232" s="54" t="n">
        <x:v>21</x:v>
      </x:c>
      <x:c r="E232" s="45" t="str">
        <x:v>BOTTOM_01</x:v>
      </x:c>
      <x:c r="F232" s="45" t="str">
        <x:v>GoblinMelee</x:v>
      </x:c>
      <x:c r="G232" s="54" t="n">
        <x:v>15</x:v>
      </x:c>
    </x:row>
    <x:row r="233">
      <x:c r="A233" s="45" t="str">
        <x:v>Stage01</x:v>
      </x:c>
      <x:c r="B233" s="45" t="str">
        <x:v>WAVE_12</x:v>
      </x:c>
      <x:c r="C233" s="51" t="n">
        <x:v>115.63</x:v>
      </x:c>
      <x:c r="D233" s="54" t="n">
        <x:v>22</x:v>
      </x:c>
      <x:c r="E233" s="45" t="str">
        <x:v>TOP_02</x:v>
      </x:c>
      <x:c r="F233" s="45" t="str">
        <x:v>GoblinRanged</x:v>
      </x:c>
      <x:c r="G233" s="54" t="n">
        <x:v>16</x:v>
      </x:c>
    </x:row>
    <x:row r="234">
      <x:c r="A234" s="45" t="str">
        <x:v>Stage01</x:v>
      </x:c>
      <x:c r="B234" s="45" t="str">
        <x:v>WAVE_12</x:v>
      </x:c>
      <x:c r="C234" s="51" t="n">
        <x:v>115.85</x:v>
      </x:c>
      <x:c r="D234" s="54" t="n">
        <x:v>23</x:v>
      </x:c>
      <x:c r="E234" s="45" t="str">
        <x:v>RIGHT_03</x:v>
      </x:c>
      <x:c r="F234" s="45" t="str">
        <x:v>GoblinMelee</x:v>
      </x:c>
      <x:c r="G234" s="54" t="n">
        <x:v>15</x:v>
      </x:c>
    </x:row>
    <x:row r="235">
      <x:c r="A235" s="45" t="str">
        <x:v>Stage01</x:v>
      </x:c>
      <x:c r="B235" s="45" t="str">
        <x:v>WAVE_12</x:v>
      </x:c>
      <x:c r="C235" s="51" t="n">
        <x:v>116.07</x:v>
      </x:c>
      <x:c r="D235" s="54" t="n">
        <x:v>24</x:v>
      </x:c>
      <x:c r="E235" s="45" t="str">
        <x:v>LEFT_04</x:v>
      </x:c>
      <x:c r="F235" s="45" t="str">
        <x:v>GoblinRanged</x:v>
      </x:c>
      <x:c r="G235" s="54" t="n">
        <x:v>16</x:v>
      </x:c>
    </x:row>
    <x:row r="236">
      <x:c r="A236" s="45" t="str">
        <x:v>Stage01</x:v>
      </x:c>
      <x:c r="B236" s="45" t="str">
        <x:v>WAVE_12</x:v>
      </x:c>
      <x:c r="C236" s="51" t="n">
        <x:v>116.29</x:v>
      </x:c>
      <x:c r="D236" s="54" t="n">
        <x:v>25</x:v>
      </x:c>
      <x:c r="E236" s="45" t="str">
        <x:v>BOTTOM_04</x:v>
      </x:c>
      <x:c r="F236" s="45" t="str">
        <x:v>GoblinMelee</x:v>
      </x:c>
      <x:c r="G236" s="54" t="n">
        <x:v>16</x:v>
      </x:c>
    </x:row>
    <x:row r="237">
      <x:c r="A237" s="45" t="str">
        <x:v>Stage01</x:v>
      </x:c>
      <x:c r="B237" s="45" t="str">
        <x:v>WAVE_12</x:v>
      </x:c>
      <x:c r="C237" s="51" t="n">
        <x:v>116.51</x:v>
      </x:c>
      <x:c r="D237" s="54" t="n">
        <x:v>26</x:v>
      </x:c>
      <x:c r="E237" s="45" t="str">
        <x:v>TOP_05</x:v>
      </x:c>
      <x:c r="F237" s="45" t="str">
        <x:v>GoblinRanged</x:v>
      </x:c>
      <x:c r="G237" s="54" t="n">
        <x:v>16</x:v>
      </x:c>
    </x:row>
    <x:row r="238">
      <x:c r="A238" s="45" t="str">
        <x:v>Stage01</x:v>
      </x:c>
      <x:c r="B238" s="45" t="str">
        <x:v>WAVE_12</x:v>
      </x:c>
      <x:c r="C238" s="51" t="n">
        <x:v>116.73</x:v>
      </x:c>
      <x:c r="D238" s="54" t="n">
        <x:v>27</x:v>
      </x:c>
      <x:c r="E238" s="45" t="str">
        <x:v>RIGHT_06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WAVE_12</x:v>
      </x:c>
      <x:c r="C239" s="51" t="n">
        <x:v>116.95</x:v>
      </x:c>
      <x:c r="D239" s="54" t="n">
        <x:v>28</x:v>
      </x:c>
      <x:c r="E239" s="45" t="str">
        <x:v>LEFT_07</x:v>
      </x:c>
      <x:c r="F239" s="45" t="str">
        <x:v>GoblinRanged</x:v>
      </x:c>
      <x:c r="G239" s="54" t="n">
        <x:v>16</x:v>
      </x:c>
    </x:row>
    <x:row r="240">
      <x:c r="A240" s="45" t="str">
        <x:v>Stage01</x:v>
      </x:c>
      <x:c r="B240" s="45" t="str">
        <x:v>WAVE_12</x:v>
      </x:c>
      <x:c r="C240" s="51" t="n">
        <x:v>117.17</x:v>
      </x:c>
      <x:c r="D240" s="54" t="n">
        <x:v>29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WAVE_12</x:v>
      </x:c>
      <x:c r="C241" s="51" t="n">
        <x:v>117.39</x:v>
      </x:c>
      <x:c r="D241" s="54" t="n">
        <x:v>30</x:v>
      </x:c>
      <x:c r="E241" s="45" t="str">
        <x:v>TOP_01</x:v>
      </x:c>
      <x:c r="F241" s="45" t="str">
        <x:v>GoblinMelee</x:v>
      </x:c>
      <x:c r="G241" s="54" t="n">
        <x:v>15</x:v>
      </x:c>
    </x:row>
    <x:row r="242">
      <x:c r="A242" s="45" t="str">
        <x:v>Stage01</x:v>
      </x:c>
      <x:c r="B242" s="45" t="str">
        <x:v>WAVE_12</x:v>
      </x:c>
      <x:c r="C242" s="51" t="n">
        <x:v>117.62</x:v>
      </x:c>
      <x:c r="D242" s="54" t="n">
        <x:v>31</x:v>
      </x:c>
      <x:c r="E242" s="45" t="str">
        <x:v>RIGHT_02</x:v>
      </x:c>
      <x:c r="F242" s="45" t="str">
        <x:v>GoblinMelee</x:v>
      </x:c>
      <x:c r="G242" s="54" t="n">
        <x:v>16</x:v>
      </x:c>
    </x:row>
    <x:row r="243">
      <x:c r="A243" s="45" t="str">
        <x:v>Stage01</x:v>
      </x:c>
      <x:c r="B243" s="45" t="str">
        <x:v>WAVE_12</x:v>
      </x:c>
      <x:c r="C243" s="51" t="n">
        <x:v>117.84</x:v>
      </x:c>
      <x:c r="D243" s="54" t="n">
        <x:v>32</x:v>
      </x:c>
      <x:c r="E243" s="45" t="str">
        <x:v>LEFT_03</x:v>
      </x:c>
      <x:c r="F243" s="45" t="str">
        <x:v>GoblinMelee</x:v>
      </x:c>
      <x:c r="G243" s="54" t="n">
        <x:v>15</x:v>
      </x:c>
    </x:row>
    <x:row r="244">
      <x:c r="A244" s="45" t="str">
        <x:v>Stage01</x:v>
      </x:c>
      <x:c r="B244" s="45" t="str">
        <x:v>WAVE_12</x:v>
      </x:c>
      <x:c r="C244" s="51" t="n">
        <x:v>118.06</x:v>
      </x:c>
      <x:c r="D244" s="54" t="n">
        <x:v>33</x:v>
      </x:c>
      <x:c r="E244" s="45" t="str">
        <x:v>BOTTOM_03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WAVE_12</x:v>
      </x:c>
      <x:c r="C245" s="51" t="n">
        <x:v>118.28</x:v>
      </x:c>
      <x:c r="D245" s="54" t="n">
        <x:v>34</x:v>
      </x:c>
      <x:c r="E245" s="45" t="str">
        <x:v>TOP_04</x:v>
      </x:c>
      <x:c r="F245" s="45" t="str">
        <x:v>GoblinMelee</x:v>
      </x:c>
      <x:c r="G245" s="54" t="n">
        <x:v>15</x:v>
      </x:c>
    </x:row>
    <x:row r="246">
      <x:c r="A246" s="45" t="str">
        <x:v>Stage01</x:v>
      </x:c>
      <x:c r="B246" s="45" t="str">
        <x:v>WAVE_12</x:v>
      </x:c>
      <x:c r="C246" s="51" t="n">
        <x:v>118.5</x:v>
      </x:c>
      <x:c r="D246" s="54" t="n">
        <x:v>35</x:v>
      </x:c>
      <x:c r="E246" s="45" t="str">
        <x:v>RIGHT_05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WAVE_12</x:v>
      </x:c>
      <x:c r="C247" s="51" t="n">
        <x:v>118.72</x:v>
      </x:c>
      <x:c r="D247" s="54" t="n">
        <x:v>36</x:v>
      </x:c>
      <x:c r="E247" s="45" t="str">
        <x:v>LEFT_06</x:v>
      </x:c>
      <x:c r="F247" s="45" t="str">
        <x:v>GoblinMelee</x:v>
      </x:c>
      <x:c r="G247" s="54" t="n">
        <x:v>15</x:v>
      </x:c>
    </x:row>
    <x:row r="248">
      <x:c r="A248" s="45" t="str">
        <x:v>Stage01</x:v>
      </x:c>
      <x:c r="B248" s="45" t="str">
        <x:v>WAVE_12</x:v>
      </x:c>
      <x:c r="C248" s="51" t="n">
        <x:v>118.94</x:v>
      </x:c>
      <x:c r="D248" s="54" t="n">
        <x:v>37</x:v>
      </x:c>
      <x:c r="E248" s="45" t="str">
        <x:v>BOTTOM_06</x:v>
      </x:c>
      <x:c r="F248" s="45" t="str">
        <x:v>GoblinMelee</x:v>
      </x:c>
      <x:c r="G248" s="54" t="n">
        <x:v>16</x:v>
      </x:c>
    </x:row>
    <x:row r="249">
      <x:c r="A249" s="45" t="str">
        <x:v>Stage01</x:v>
      </x:c>
      <x:c r="B249" s="45" t="str">
        <x:v>WAVE_12</x:v>
      </x:c>
      <x:c r="C249" s="51" t="n">
        <x:v>119.16</x:v>
      </x:c>
      <x:c r="D249" s="54" t="n">
        <x:v>38</x:v>
      </x:c>
      <x:c r="E249" s="45" t="str">
        <x:v>LEFT_08</x:v>
      </x:c>
      <x:c r="F249" s="45" t="str">
        <x:v>GoblinMelee</x:v>
      </x:c>
      <x:c r="G249" s="54" t="n">
        <x:v>15</x:v>
      </x:c>
    </x:row>
    <x:row r="250">
      <x:c r="A250" s="45" t="str">
        <x:v>Stage01</x:v>
      </x:c>
      <x:c r="B250" s="45" t="str">
        <x:v>WAVE_12</x:v>
      </x:c>
      <x:c r="C250" s="51" t="n">
        <x:v>119.38</x:v>
      </x:c>
      <x:c r="D250" s="54" t="n">
        <x:v>39</x:v>
      </x:c>
      <x:c r="E250" s="45" t="str">
        <x:v>RIGHT_01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WAVE_12</x:v>
      </x:c>
      <x:c r="C251" s="51" t="n">
        <x:v>119.6</x:v>
      </x:c>
      <x:c r="D251" s="54" t="n">
        <x:v>40</x:v>
      </x:c>
      <x:c r="E251" s="45" t="str">
        <x:v>LEFT_02</x:v>
      </x:c>
      <x:c r="F251" s="45" t="str">
        <x:v>GoblinBoss</x:v>
      </x:c>
      <x:c r="G251" s="54" t="n">
        <x:v>15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40a80f62949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AttackGrowthMultiplier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2" t="n">
        <x:v>1.7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f71da1f93c7b4b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f>SUM($B$2:B2)</x:f>
        <x:v>8</x:v>
      </x:c>
    </x:row>
    <x:row r="3" ht="20" customHeight="1">
      <x:c r="A3" s="54" t="n">
        <x:v>2</x:v>
      </x:c>
      <x:c r="B3" s="54" t="n">
        <x:v>10</x:v>
      </x:c>
      <x:c r="C3" s="56" t="n">
        <x:f>SUM($B$2:B3)</x:f>
        <x:v>18</x:v>
      </x:c>
    </x:row>
    <x:row r="4" ht="20" customHeight="1">
      <x:c r="A4" s="54" t="n">
        <x:v>3</x:v>
      </x:c>
      <x:c r="B4" s="54" t="n">
        <x:v>12</x:v>
      </x:c>
      <x:c r="C4" s="56" t="n">
        <x:f>SUM($B$2:B4)</x:f>
        <x:v>30</x:v>
      </x:c>
    </x:row>
    <x:row r="5" ht="20" customHeight="1">
      <x:c r="A5" s="54" t="n">
        <x:v>4</x:v>
      </x:c>
      <x:c r="B5" s="54" t="n">
        <x:v>14</x:v>
      </x:c>
      <x:c r="C5" s="56" t="n">
        <x:f>SUM($B$2:B5)</x:f>
        <x:v>44</x:v>
      </x:c>
    </x:row>
    <x:row r="6" ht="20" customHeight="1">
      <x:c r="A6" s="54" t="n">
        <x:v>5</x:v>
      </x:c>
      <x:c r="B6" s="54" t="n">
        <x:v>16</x:v>
      </x:c>
      <x:c r="C6" s="56" t="n">
        <x:f>SUM($B$2:B6)</x:f>
        <x:v>60</x:v>
      </x:c>
    </x:row>
    <x:row r="7" ht="20" customHeight="1">
      <x:c r="A7" s="54" t="n">
        <x:v>6</x:v>
      </x:c>
      <x:c r="B7" s="54" t="n">
        <x:v>18</x:v>
      </x:c>
      <x:c r="C7" s="56" t="n">
        <x:f>SUM($B$2:B7)</x:f>
        <x:v>78</x:v>
      </x:c>
    </x:row>
    <x:row r="8" ht="20" customHeight="1">
      <x:c r="A8" s="54" t="n">
        <x:v>7</x:v>
      </x:c>
      <x:c r="B8" s="54" t="n">
        <x:v>20</x:v>
      </x:c>
      <x:c r="C8" s="56" t="n">
        <x:f>SUM($B$2:B8)</x:f>
        <x:v>98</x:v>
      </x:c>
    </x:row>
    <x:row r="9" ht="20" customHeight="1">
      <x:c r="A9" s="54" t="n">
        <x:v>8</x:v>
      </x:c>
      <x:c r="B9" s="54" t="n">
        <x:v>22</x:v>
      </x:c>
      <x:c r="C9" s="56" t="n">
        <x:f>SUM($B$2:B9)</x:f>
        <x:v>120</x:v>
      </x:c>
    </x:row>
    <x:row r="10" ht="20" customHeight="1">
      <x:c r="A10" s="54" t="n">
        <x:v>9</x:v>
      </x:c>
      <x:c r="B10" s="54" t="n">
        <x:v>24</x:v>
      </x:c>
      <x:c r="C10" s="56" t="n">
        <x:f>SUM($B$2:B10)</x:f>
        <x:v>144</x:v>
      </x:c>
    </x:row>
    <x:row r="11" ht="20" customHeight="1">
      <x:c r="A11" s="54" t="n">
        <x:v>10</x:v>
      </x:c>
      <x:c r="B11" s="54" t="n">
        <x:v>26</x:v>
      </x:c>
      <x:c r="C11" s="56" t="n">
        <x:f>SUM($B$2:B11)</x:f>
        <x:v>170</x:v>
      </x:c>
    </x:row>
    <x:row r="12" ht="20" customHeight="1">
      <x:c r="A12" s="54" t="n">
        <x:v>11</x:v>
      </x:c>
      <x:c r="B12" s="54" t="n">
        <x:v>28</x:v>
      </x:c>
      <x:c r="C12" s="56" t="n">
        <x:f>SUM($B$2:B12)</x:f>
        <x:v>198</x:v>
      </x:c>
    </x:row>
    <x:row r="13" ht="20" customHeight="1">
      <x:c r="A13" s="54" t="n">
        <x:v>12</x:v>
      </x:c>
      <x:c r="B13" s="54" t="n">
        <x:v>30</x:v>
      </x:c>
      <x:c r="C13" s="56" t="n">
        <x:f>SUM($B$2:B13)</x:f>
        <x:v>228</x:v>
      </x:c>
    </x:row>
    <x:row r="14" ht="20" customHeight="1">
      <x:c r="A14" s="54" t="n">
        <x:v>13</x:v>
      </x:c>
      <x:c r="B14" s="54" t="n">
        <x:v>32</x:v>
      </x:c>
      <x:c r="C14" s="56" t="n">
        <x:f>SUM($B$2:B14)</x:f>
        <x:v>260</x:v>
      </x:c>
    </x:row>
    <x:row r="15" ht="20" customHeight="1">
      <x:c r="A15" s="54" t="n">
        <x:v>14</x:v>
      </x:c>
      <x:c r="B15" s="54" t="n">
        <x:v>34</x:v>
      </x:c>
      <x:c r="C15" s="56" t="n">
        <x:f>SUM($B$2:B15)</x:f>
        <x:v>294</x:v>
      </x:c>
    </x:row>
    <x:row r="16" ht="20" customHeight="1">
      <x:c r="A16" s="54" t="n">
        <x:v>15</x:v>
      </x:c>
      <x:c r="B16" s="54" t="n">
        <x:v>36</x:v>
      </x:c>
      <x:c r="C16" s="56" t="n">
        <x:f>SUM($B$2:B16)</x:f>
        <x:v>330</x:v>
      </x:c>
    </x:row>
    <x:row r="17" ht="20" customHeight="1">
      <x:c r="A17" s="54" t="n">
        <x:v>16</x:v>
      </x:c>
      <x:c r="B17" s="54" t="n">
        <x:v>38</x:v>
      </x:c>
      <x:c r="C17" s="56" t="n">
        <x:f>SUM($B$2:B17)</x:f>
        <x:v>368</x:v>
      </x:c>
    </x:row>
    <x:row r="18" ht="20" customHeight="1">
      <x:c r="A18" s="54" t="n">
        <x:v>17</x:v>
      </x:c>
      <x:c r="B18" s="54" t="n">
        <x:v>40</x:v>
      </x:c>
      <x:c r="C18" s="56" t="n">
        <x:f>SUM($B$2:B18)</x:f>
        <x:v>408</x:v>
      </x:c>
    </x:row>
    <x:row r="19" ht="20" customHeight="1">
      <x:c r="A19" s="54" t="n">
        <x:v>18</x:v>
      </x:c>
      <x:c r="B19" s="54" t="n">
        <x:v>42</x:v>
      </x:c>
      <x:c r="C19" s="56" t="n">
        <x:f>SUM($B$2:B19)</x:f>
        <x:v>450</x:v>
      </x:c>
    </x:row>
    <x:row r="20" ht="20" customHeight="1">
      <x:c r="A20" s="54" t="n">
        <x:v>19</x:v>
      </x:c>
      <x:c r="B20" s="54" t="n">
        <x:v>44</x:v>
      </x:c>
      <x:c r="C20" s="56" t="n">
        <x:f>SUM($B$2:B20)</x:f>
        <x:v>494</x:v>
      </x:c>
    </x:row>
    <x:row r="21" ht="20" customHeight="1">
      <x:c r="A21" s="54" t="n">
        <x:v>20</x:v>
      </x:c>
      <x:c r="B21" s="54" t="n">
        <x:v>46</x:v>
      </x:c>
      <x:c r="C21" s="56" t="n">
        <x:f>SUM($B$2:B21)</x:f>
        <x:v>540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22861b13c84a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5c8ad7e4b54c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bdc1574472943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24" hidden="0" customWidth="1"/>
    <x:col min="3" max="3" width="16" hidden="0" customWidth="1"/>
    <x:col min="4" max="4" width="18" hidden="0" customWidth="1"/>
    <x:col min="5" max="5" width="12" hidden="0" customWidth="1"/>
    <x:col min="6" max="6" width="1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EffectType</x:v>
      </x:c>
      <x:c r="D1" s="286" t="str">
        <x:v>TargetStat</x:v>
      </x:c>
      <x:c r="E1" s="286" t="str">
        <x:v>Operation</x:v>
      </x:c>
      <x:c r="F1" s="286" t="str">
        <x:v>Value</x:v>
      </x:c>
      <x:c r="G1" s="286" t="str">
        <x:v>MaxStack</x:v>
      </x:c>
      <x:c r="H1" s="286" t="str">
        <x:v>SelectionWeight</x:v>
      </x:c>
      <x:c r="I1" s="286" t="str">
        <x:v>MinPlayerLevel</x:v>
      </x:c>
      <x:c r="J1" s="286" t="str">
        <x:v>RequiredCardId</x:v>
      </x:c>
      <x:c r="K1" s="286" t="str">
        <x:v>Rarity</x:v>
      </x:c>
      <x:c r="L1" s="286" t="str">
        <x:v>IconId</x:v>
      </x:c>
      <x:c r="M1" s="286" t="str">
        <x:v>Enabled</x:v>
      </x:c>
    </x:row>
    <x:row r="2" ht="22" customHeight="1">
      <x:c r="A2" s="45" t="str">
        <x:v>CRIT_CHANCE_UP</x:v>
      </x:c>
      <x:c r="B2" s="45" t="str">
        <x:v>CARD_CRIT_NAME</x:v>
      </x:c>
      <x:c r="C2" s="45" t="str">
        <x:v>StatModifier</x:v>
      </x:c>
      <x:c r="D2" s="45" t="str">
        <x:v>CriticalChance</x:v>
      </x:c>
      <x:c r="E2" s="45" t="str">
        <x:v>Add</x:v>
      </x:c>
      <x:c r="F2" s="51" t="n">
        <x:v>0.05</x:v>
      </x:c>
      <x:c r="G2" s="54" t="n">
        <x:v>5</x:v>
      </x:c>
      <x:c r="H2" s="54" t="n">
        <x:v>100</x:v>
      </x:c>
      <x:c r="I2" s="54" t="n">
        <x:v>1</x:v>
      </x:c>
      <x:c r="J2" s="57" t="str"/>
      <x:c r="K2" s="45" t="str">
        <x:v>Common</x:v>
      </x:c>
      <x:c r="L2" s="45" t="str">
        <x:v>ICON_CRIT</x:v>
      </x:c>
      <x:c r="M2" s="46" t="b">
        <x:v>1</x:v>
      </x:c>
    </x:row>
    <x:row r="3" ht="22" customHeight="1">
      <x:c r="A3" s="45" t="str">
        <x:v>MAX_HP_UP</x:v>
      </x:c>
      <x:c r="B3" s="45" t="str">
        <x:v>CARD_HP_NAME</x:v>
      </x:c>
      <x:c r="C3" s="45" t="str">
        <x:v>StatModifier</x:v>
      </x:c>
      <x:c r="D3" s="45" t="str">
        <x:v>MaxHp</x:v>
      </x:c>
      <x:c r="E3" s="45" t="str">
        <x:v>Add</x:v>
      </x:c>
      <x:c r="F3" s="51" t="n">
        <x:v>5</x:v>
      </x:c>
      <x:c r="G3" s="54" t="n">
        <x:v>5</x:v>
      </x:c>
      <x:c r="H3" s="54" t="n">
        <x:v>100</x:v>
      </x:c>
      <x:c r="I3" s="54" t="n">
        <x:v>1</x:v>
      </x:c>
      <x:c r="J3" s="57" t="str"/>
      <x:c r="K3" s="45" t="str">
        <x:v>Common</x:v>
      </x:c>
      <x:c r="L3" s="45" t="str">
        <x:v>ICON_HP</x:v>
      </x:c>
      <x:c r="M3" s="46" t="b">
        <x:v>1</x:v>
      </x:c>
    </x:row>
    <x:row r="4" ht="22" customHeight="1">
      <x:c r="A4" s="45" t="str">
        <x:v>MOVE_SPEED_UP</x:v>
      </x:c>
      <x:c r="B4" s="45" t="str">
        <x:v>CARD_SPEED_NAME</x:v>
      </x:c>
      <x:c r="C4" s="45" t="str">
        <x:v>StatModifier</x:v>
      </x:c>
      <x:c r="D4" s="45" t="str">
        <x:v>MoveSpeed</x:v>
      </x:c>
      <x:c r="E4" s="45" t="str">
        <x:v>Add</x:v>
      </x:c>
      <x:c r="F4" s="51" t="n">
        <x:v>1</x:v>
      </x:c>
      <x:c r="G4" s="54" t="n">
        <x:v>5</x:v>
      </x:c>
      <x:c r="H4" s="54" t="n">
        <x:v>80</x:v>
      </x:c>
      <x:c r="I4" s="54" t="n">
        <x:v>2</x:v>
      </x:c>
      <x:c r="J4" s="57" t="str"/>
      <x:c r="K4" s="45" t="str">
        <x:v>Rare</x:v>
      </x:c>
      <x:c r="L4" s="45" t="str">
        <x:v>ICON_SPEED</x:v>
      </x:c>
      <x:c r="M4" s="46" t="b">
        <x:v>1</x:v>
      </x:c>
    </x:row>
    <x:row r="5" ht="22" customHeight="1">
      <x:c r="A5" s="45" t="str">
        <x:v>ATTACK_RANGE_UP</x:v>
      </x:c>
      <x:c r="B5" s="45" t="str">
        <x:v>CARD_RANGE_NAME</x:v>
      </x:c>
      <x:c r="C5" s="45" t="str">
        <x:v>StatModifier</x:v>
      </x:c>
      <x:c r="D5" s="45" t="str">
        <x:v>AttackRange</x:v>
      </x:c>
      <x:c r="E5" s="45" t="str">
        <x:v>Add</x:v>
      </x:c>
      <x:c r="F5" s="51" t="n">
        <x:v>0.15</x:v>
      </x:c>
      <x:c r="G5" s="54" t="n">
        <x:v>3</x:v>
      </x:c>
      <x:c r="H5" s="54" t="n">
        <x:v>70</x:v>
      </x:c>
      <x:c r="I5" s="54" t="n">
        <x:v>3</x:v>
      </x:c>
      <x:c r="J5" s="57" t="str"/>
      <x:c r="K5" s="45" t="str">
        <x:v>Rare</x:v>
      </x:c>
      <x:c r="L5" s="45" t="str">
        <x:v>ICON_RANGE</x:v>
      </x:c>
      <x:c r="M5" s="46" t="b">
        <x:v>1</x:v>
      </x:c>
    </x:row>
    <x:row r="6">
      <x:c r="A6" s="45" t="str">
        <x:v>PIERCING_UP</x:v>
      </x:c>
      <x:c r="B6" s="45" t="str">
        <x:v>CARD_PIERCING_NAME</x:v>
      </x:c>
      <x:c r="C6" s="45" t="str">
        <x:v>UpgradeRank</x:v>
      </x:c>
      <x:c r="D6" s="45" t="str">
        <x:v>Piercing</x:v>
      </x:c>
      <x:c r="E6" s="45" t="str">
        <x:v>Add</x:v>
      </x:c>
      <x:c r="F6" s="51" t="n">
        <x:v>1</x:v>
      </x:c>
      <x:c r="G6" s="54" t="n">
        <x:v>5</x:v>
      </x:c>
      <x:c r="H6" s="54" t="n">
        <x:v>90</x:v>
      </x:c>
      <x:c r="I6" s="54" t="n">
        <x:v>2</x:v>
      </x:c>
      <x:c r="J6" s="57" t="str"/>
      <x:c r="K6" s="45" t="str">
        <x:v>Common</x:v>
      </x:c>
      <x:c r="L6" s="45" t="str">
        <x:v>ICON_PIERCING</x:v>
      </x:c>
      <x:c r="M6" s="46" t="b">
        <x:v>1</x:v>
      </x:c>
    </x:row>
    <x:row r="7">
      <x:c r="A7" s="45" t="str">
        <x:v>SEVER_TRAIL</x:v>
      </x:c>
      <x:c r="B7" s="45" t="str">
        <x:v>CARD_SEVER_NAME</x:v>
      </x:c>
      <x:c r="C7" s="45" t="str">
        <x:v>UpgradeRank</x:v>
      </x:c>
      <x:c r="D7" s="45" t="str">
        <x:v>Sever</x:v>
      </x:c>
      <x:c r="E7" s="45" t="str">
        <x:v>Add</x:v>
      </x:c>
      <x:c r="F7" s="51" t="n">
        <x:v>1.5</x:v>
      </x:c>
      <x:c r="G7" s="54" t="n">
        <x:v>1</x:v>
      </x:c>
      <x:c r="H7" s="54" t="n">
        <x:v>45</x:v>
      </x:c>
      <x:c r="I7" s="54" t="n">
        <x:v>3</x:v>
      </x:c>
      <x:c r="J7" s="57" t="str">
        <x:v>PIERCING_UP</x:v>
      </x:c>
      <x:c r="K7" s="45" t="str">
        <x:v>Epic</x:v>
      </x:c>
      <x:c r="L7" s="45" t="str">
        <x:v>ICON_SEVER</x:v>
      </x:c>
      <x:c r="M7" s="46" t="b">
        <x:v>1</x:v>
      </x:c>
    </x:row>
    <x:row r="8">
      <x:c r="A8" s="45" t="str">
        <x:v>HIT_HEAL</x:v>
      </x:c>
      <x:c r="B8" s="45" t="str">
        <x:v>CARD_HIT_HEAL_NAME</x:v>
      </x:c>
      <x:c r="C8" s="45" t="str">
        <x:v>UpgradeRank</x:v>
      </x:c>
      <x:c r="D8" s="45" t="str">
        <x:v>HitHeal</x:v>
      </x:c>
      <x:c r="E8" s="45" t="str">
        <x:v>Add</x:v>
      </x:c>
      <x:c r="F8" s="51" t="n">
        <x:v>5</x:v>
      </x:c>
      <x:c r="G8" s="54" t="n">
        <x:v>1</x:v>
      </x:c>
      <x:c r="H8" s="54" t="n">
        <x:v>55</x:v>
      </x:c>
      <x:c r="I8" s="54" t="n">
        <x:v>4</x:v>
      </x:c>
      <x:c r="J8" s="57" t="str"/>
      <x:c r="K8" s="45" t="str">
        <x:v>Rare</x:v>
      </x:c>
      <x:c r="L8" s="45" t="str">
        <x:v>ICON_HIT_HEAL</x:v>
      </x:c>
      <x:c r="M8" s="46" t="b">
        <x:v>1</x:v>
      </x:c>
    </x:row>
    <x:row r="9">
      <x:c r="A9" s="45" t="str">
        <x:v>STATIC_CHARGE</x:v>
      </x:c>
      <x:c r="B9" s="45" t="str">
        <x:v>CARD_STATIC_NAME</x:v>
      </x:c>
      <x:c r="C9" s="45" t="str">
        <x:v>UpgradeRank</x:v>
      </x:c>
      <x:c r="D9" s="45" t="str">
        <x:v>StaticCharge</x:v>
      </x:c>
      <x:c r="E9" s="45" t="str">
        <x:v>Add</x:v>
      </x:c>
      <x:c r="F9" s="51" t="n">
        <x:v>0.75</x:v>
      </x:c>
      <x:c r="G9" s="54" t="n">
        <x:v>5</x:v>
      </x:c>
      <x:c r="H9" s="54" t="n">
        <x:v>60</x:v>
      </x:c>
      <x:c r="I9" s="54" t="n">
        <x:v>4</x:v>
      </x:c>
      <x:c r="J9" s="57" t="str"/>
      <x:c r="K9" s="45" t="str">
        <x:v>Rare</x:v>
      </x:c>
      <x:c r="L9" s="45" t="str">
        <x:v>ICON_STATIC</x:v>
      </x:c>
      <x:c r="M9" s="46" t="b">
        <x:v>1</x:v>
      </x:c>
    </x:row>
    <x:row r="10">
      <x:c r="A10" s="45" t="str">
        <x:v>MOVING_SLASH</x:v>
      </x:c>
      <x:c r="B10" s="45" t="str">
        <x:v>CARD_MOVING_SLASH_NAME</x:v>
      </x:c>
      <x:c r="C10" s="45" t="str">
        <x:v>UpgradeRank</x:v>
      </x:c>
      <x:c r="D10" s="45" t="str">
        <x:v>MovingSlash</x:v>
      </x:c>
      <x:c r="E10" s="45" t="str">
        <x:v>Add</x:v>
      </x:c>
      <x:c r="F10" s="51" t="n">
        <x:v>1.5</x:v>
      </x:c>
      <x:c r="G10" s="54" t="n">
        <x:v>5</x:v>
      </x:c>
      <x:c r="H10" s="54" t="n">
        <x:v>65</x:v>
      </x:c>
      <x:c r="I10" s="54" t="n">
        <x:v>3</x:v>
      </x:c>
      <x:c r="J10" s="57" t="str"/>
      <x:c r="K10" s="45" t="str">
        <x:v>Rare</x:v>
      </x:c>
      <x:c r="L10" s="45" t="str">
        <x:v>ICON_MOVING_SLASH</x:v>
      </x:c>
      <x:c r="M10" s="4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2c5243423a749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46" hidden="0" customWidth="1"/>
  </x:cols>
  <x:sheetData>
    <x:row r="1" ht="34" customHeight="1">
      <x:c r="A1" s="290" t="str">
        <x:v>12웨이브 / 120초 몬스터 밀도 계획</x:v>
      </x:c>
      <x:c r="B1" s="290" t="str">
        <x:v>12웨이브 / 120초 몬스터 밀도 계획</x:v>
      </x:c>
      <x:c r="C1" s="290" t="str">
        <x:v>12웨이브 / 120초 몬스터 밀도 계획</x:v>
      </x:c>
      <x:c r="D1" s="290" t="str">
        <x:v>12웨이브 / 120초 몬스터 밀도 계획</x:v>
      </x:c>
      <x:c r="E1" s="290" t="str">
        <x:v>12웨이브 / 120초 몬스터 밀도 계획</x:v>
      </x:c>
      <x:c r="F1" s="290" t="str">
        <x:v>12웨이브 / 120초 몬스터 밀도 계획</x:v>
      </x:c>
      <x:c r="G1" s="290" t="str">
        <x:v>12웨이브 / 120초 몬스터 밀도 계획</x:v>
      </x:c>
      <x:c r="H1" s="290" t="str">
        <x:v>12웨이브 / 120초 몬스터 밀도 계획</x:v>
      </x:c>
      <x:c r="I1" s="290" t="str">
        <x:v>12웨이브 / 120초 몬스터 밀도 계획</x:v>
      </x:c>
      <x:c r="J1" s="290" t="str">
        <x:v>12웨이브 / 120초 몬스터 밀도 계획</x:v>
      </x:c>
      <x:c r="K1" s="290" t="str">
        <x:v>12웨이브 / 120초 몬스터 밀도 계획</x:v>
      </x:c>
      <x:c r="L1" s="290" t="str">
        <x:v>12웨이브 / 120초 몬스터 밀도 계획</x:v>
      </x:c>
      <x:c r="M1" s="290" t="str">
        <x:v>12웨이브 / 120초 몬스터 밀도 계획</x:v>
      </x:c>
      <x:c r="N1" s="290" t="str">
        <x:v>12웨이브 / 120초 몬스터 밀도 계획</x:v>
      </x:c>
      <x:c r="O1" s="290" t="str">
        <x:v>12웨이브 / 120초 몬스터 밀도 계획</x:v>
      </x:c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적 수 N(w)=4+2w+floor((w-1)^2/10). 10초마다 최소 밀도를 높이고 스폰 간격을 줄입니다. 플레이어 레벨은 이전 웨이브까지 모든 적 처치를 가정합니다.</x:v>
      </x:c>
      <x:c r="B3" s="339" t="str">
        <x:v>적 수 N(w)=4+2w+floor((w-1)^2/10). 10초마다 최소 밀도를 높이고 스폰 간격을 줄입니다. 플레이어 레벨은 이전 웨이브까지 모든 적 처치를 가정합니다.</x:v>
      </x:c>
      <x:c r="C3" s="339" t="str">
        <x:v>적 수 N(w)=4+2w+floor((w-1)^2/10). 10초마다 최소 밀도를 높이고 스폰 간격을 줄입니다. 플레이어 레벨은 이전 웨이브까지 모든 적 처치를 가정합니다.</x:v>
      </x:c>
      <x:c r="D3" s="339" t="str">
        <x:v>적 수 N(w)=4+2w+floor((w-1)^2/10). 10초마다 최소 밀도를 높이고 스폰 간격을 줄입니다. 플레이어 레벨은 이전 웨이브까지 모든 적 처치를 가정합니다.</x:v>
      </x:c>
      <x:c r="E3" s="339" t="str">
        <x:v>적 수 N(w)=4+2w+floor((w-1)^2/10). 10초마다 최소 밀도를 높이고 스폰 간격을 줄입니다. 플레이어 레벨은 이전 웨이브까지 모든 적 처치를 가정합니다.</x:v>
      </x:c>
      <x:c r="F3" s="339" t="str">
        <x:v>적 수 N(w)=4+2w+floor((w-1)^2/10). 10초마다 최소 밀도를 높이고 스폰 간격을 줄입니다. 플레이어 레벨은 이전 웨이브까지 모든 적 처치를 가정합니다.</x:v>
      </x:c>
      <x:c r="G3" s="339" t="str">
        <x:v>적 수 N(w)=4+2w+floor((w-1)^2/10). 10초마다 최소 밀도를 높이고 스폰 간격을 줄입니다. 플레이어 레벨은 이전 웨이브까지 모든 적 처치를 가정합니다.</x:v>
      </x:c>
      <x:c r="H3" s="339" t="str">
        <x:v>적 수 N(w)=4+2w+floor((w-1)^2/10). 10초마다 최소 밀도를 높이고 스폰 간격을 줄입니다. 플레이어 레벨은 이전 웨이브까지 모든 적 처치를 가정합니다.</x:v>
      </x:c>
      <x:c r="I3" s="339" t="str">
        <x:v>적 수 N(w)=4+2w+floor((w-1)^2/10). 10초마다 최소 밀도를 높이고 스폰 간격을 줄입니다. 플레이어 레벨은 이전 웨이브까지 모든 적 처치를 가정합니다.</x:v>
      </x:c>
      <x:c r="J3" s="339" t="str">
        <x:v>적 수 N(w)=4+2w+floor((w-1)^2/10). 10초마다 최소 밀도를 높이고 스폰 간격을 줄입니다. 플레이어 레벨은 이전 웨이브까지 모든 적 처치를 가정합니다.</x:v>
      </x:c>
      <x:c r="K3" s="339" t="str">
        <x:v>적 수 N(w)=4+2w+floor((w-1)^2/10). 10초마다 최소 밀도를 높이고 스폰 간격을 줄입니다. 플레이어 레벨은 이전 웨이브까지 모든 적 처치를 가정합니다.</x:v>
      </x:c>
      <x:c r="L3" s="339" t="str">
        <x:v>적 수 N(w)=4+2w+floor((w-1)^2/10). 10초마다 최소 밀도를 높이고 스폰 간격을 줄입니다. 플레이어 레벨은 이전 웨이브까지 모든 적 처치를 가정합니다.</x:v>
      </x:c>
      <x:c r="M3" s="339" t="str">
        <x:v>적 수 N(w)=4+2w+floor((w-1)^2/10). 10초마다 최소 밀도를 높이고 스폰 간격을 줄입니다. 플레이어 레벨은 이전 웨이브까지 모든 적 처치를 가정합니다.</x:v>
      </x:c>
      <x:c r="N3" s="339" t="str">
        <x:v>적 수 N(w)=4+2w+floor((w-1)^2/10). 10초마다 최소 밀도를 높이고 스폰 간격을 줄입니다. 플레이어 레벨은 이전 웨이브까지 모든 적 처치를 가정합니다.</x:v>
      </x:c>
      <x:c r="O3" s="339" t="str">
        <x:v>적 수 N(w)=4+2w+floor((w-1)^2/10). 10초마다 최소 밀도를 높이고 스폰 간격을 줄입니다. 플레이어 레벨은 이전 웨이브까지 모든 적 처치를 가정합니다.</x:v>
      </x:c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WaveId</x:v>
      </x:c>
      <x:c r="B5" s="327" t="str">
        <x:v>StartSec</x:v>
      </x:c>
      <x:c r="C5" s="327" t="str">
        <x:v>Count</x:v>
      </x:c>
      <x:c r="D5" s="327" t="str">
        <x:v>Melee</x:v>
      </x:c>
      <x:c r="E5" s="327" t="str">
        <x:v>Ranged</x:v>
      </x:c>
      <x:c r="F5" s="327" t="str">
        <x:v>Shield</x:v>
      </x:c>
      <x:c r="G5" s="327" t="str">
        <x:v>Boss</x:v>
      </x:c>
      <x:c r="H5" s="327" t="str">
        <x:v>WaveXP</x:v>
      </x:c>
      <x:c r="I5" s="327" t="str">
        <x:v>CumulativeXP</x:v>
      </x:c>
      <x:c r="J5" s="327" t="str">
        <x:v>ExpectedPlayerLvStart</x:v>
      </x:c>
      <x:c r="K5" s="327" t="str">
        <x:v>MinEnemyLv</x:v>
      </x:c>
      <x:c r="L5" s="327" t="str">
        <x:v>MaxEnemyLv</x:v>
      </x:c>
      <x:c r="M5" s="327" t="str">
        <x:v>AvgEnemyLv</x:v>
      </x:c>
      <x:c r="N5" s="327" t="str">
        <x:v>AvgLevelGap</x:v>
      </x:c>
      <x:c r="O5" s="328" t="str">
        <x:v>PositionRule</x:v>
      </x:c>
    </x:row>
    <x:row r="6" ht="25" customHeight="1">
      <x:c r="A6" s="45" t="str">
        <x:v>WAVE_01</x:v>
      </x:c>
      <x:c r="B6" s="54" t="n">
        <x:v>1</x:v>
      </x:c>
      <x:c r="C6" s="54" t="n">
        <x:f>COUNTIF('StageSpawn'!$B$2:$B$251,A6)</x:f>
        <x:v>6</x:v>
      </x:c>
      <x:c r="D6" s="54" t="n">
        <x:f>COUNTIFS('StageSpawn'!$B$2:$B$251,A6,'StageSpawn'!$F$2:$F$251,"GoblinMelee")</x:f>
        <x:v>6</x:v>
      </x:c>
      <x:c r="E6" s="54" t="n">
        <x:f>COUNTIFS('StageSpawn'!$B$2:$B$251,A6,'StageSpawn'!$F$2:$F$251,"GoblinRanged")</x:f>
        <x:v>0</x:v>
      </x:c>
      <x:c r="F6" s="54" t="n">
        <x:f>COUNTIFS('StageSpawn'!$B$2:$B$251,A6,'StageSpawn'!$F$2:$F$251,"ShieldSkeleton")</x:f>
        <x:v>0</x:v>
      </x:c>
      <x:c r="G6" s="54" t="n">
        <x:f>COUNTIFS('StageSpawn'!$B$2:$B$251,A6,'StageSpawn'!$F$2:$F$251,"GoblinBoss")</x:f>
        <x:v>0</x:v>
      </x:c>
      <x:c r="H6" s="54" t="n">
        <x:f>D6*'EnemyBalance'!$M$2+E6*'EnemyBalance'!$M$3+F6*'EnemyBalance'!$M$4+G6*'EnemyBalance'!$M$5</x:f>
        <x:v>6</x:v>
      </x:c>
      <x:c r="I6" s="54" t="n">
        <x:f>SUM($H$6:H6)</x:f>
        <x:v>6</x:v>
      </x:c>
      <x:c r="J6" s="54" t="n">
        <x:f>1+COUNTIF('PlayerLevelExp'!$C$2:$C$21,"&lt;="&amp;0)</x:f>
        <x:v>1</x:v>
      </x:c>
      <x:c r="K6" s="54" t="n">
        <x:f>MINIFS('StageSpawn'!$G$2:$G$251,'StageSpawn'!$B$2:$B$251,A6)</x:f>
        <x:v>1</x:v>
      </x:c>
      <x:c r="L6" s="54" t="n">
        <x:f>MAXIFS('StageSpawn'!$G$2:$G$251,'StageSpawn'!$B$2:$B$251,A6)</x:f>
        <x:v>2</x:v>
      </x:c>
      <x:c r="M6" s="53" t="n">
        <x:f>AVERAGEIF('StageSpawn'!$B$2:$B$251,A6,'StageSpawn'!$G$2:$G$251)</x:f>
        <x:v>1.1666666666666667</x:v>
      </x:c>
      <x:c r="N6" s="53" t="n">
        <x:f>M6-J6</x:f>
        <x:v>0.16666666666666674</x:v>
      </x:c>
      <x:c r="O6" s="80" t="str">
        <x:v>4방향 스폰포인트 순환 / 개별 위치는 StageSpawn 참조</x:v>
      </x:c>
    </x:row>
    <x:row r="7" ht="25" customHeight="1">
      <x:c r="A7" s="45" t="str">
        <x:v>WAVE_02</x:v>
      </x:c>
      <x:c r="B7" s="54" t="n">
        <x:v>11</x:v>
      </x:c>
      <x:c r="C7" s="54" t="n">
        <x:f>COUNTIF('StageSpawn'!$B$2:$B$251,A7)</x:f>
        <x:v>8</x:v>
      </x:c>
      <x:c r="D7" s="54" t="n">
        <x:f>COUNTIFS('StageSpawn'!$B$2:$B$251,A7,'StageSpawn'!$F$2:$F$251,"GoblinMelee")</x:f>
        <x:v>7</x:v>
      </x:c>
      <x:c r="E7" s="54" t="n">
        <x:f>COUNTIFS('StageSpawn'!$B$2:$B$251,A7,'StageSpawn'!$F$2:$F$251,"GoblinRanged")</x:f>
        <x:v>0</x:v>
      </x:c>
      <x:c r="F7" s="54" t="n">
        <x:f>COUNTIFS('StageSpawn'!$B$2:$B$251,A7,'StageSpawn'!$F$2:$F$251,"ShieldSkeleton")</x:f>
        <x:v>1</x:v>
      </x:c>
      <x:c r="G7" s="54" t="n">
        <x:f>COUNTIFS('StageSpawn'!$B$2:$B$251,A7,'StageSpawn'!$F$2:$F$251,"GoblinBoss")</x:f>
        <x:v>0</x:v>
      </x:c>
      <x:c r="H7" s="54" t="n">
        <x:f>D7*'EnemyBalance'!$M$2+E7*'EnemyBalance'!$M$3+F7*'EnemyBalance'!$M$4+G7*'EnemyBalance'!$M$5</x:f>
        <x:v>9</x:v>
      </x:c>
      <x:c r="I7" s="54" t="n">
        <x:f>SUM($H$6:H7)</x:f>
        <x:v>15</x:v>
      </x:c>
      <x:c r="J7" s="54" t="n">
        <x:f>1+COUNTIF('PlayerLevelExp'!$C$2:$C$21,"&lt;="&amp;I6)</x:f>
        <x:v>1</x:v>
      </x:c>
      <x:c r="K7" s="54" t="n">
        <x:f>MINIFS('StageSpawn'!$G$2:$G$251,'StageSpawn'!$B$2:$B$251,A7)</x:f>
        <x:v>2</x:v>
      </x:c>
      <x:c r="L7" s="54" t="n">
        <x:f>MAXIFS('StageSpawn'!$G$2:$G$251,'StageSpawn'!$B$2:$B$251,A7)</x:f>
        <x:v>3</x:v>
      </x:c>
      <x:c r="M7" s="53" t="n">
        <x:f>AVERAGEIF('StageSpawn'!$B$2:$B$251,A7,'StageSpawn'!$G$2:$G$251)</x:f>
        <x:v>2.25</x:v>
      </x:c>
      <x:c r="N7" s="53" t="n">
        <x:f>M7-J7</x:f>
        <x:v>1.25</x:v>
      </x:c>
      <x:c r="O7" s="80" t="str">
        <x:v>4방향 스폰포인트 순환 / 개별 위치는 StageSpawn 참조</x:v>
      </x:c>
    </x:row>
    <x:row r="8" ht="25" customHeight="1">
      <x:c r="A8" s="45" t="str">
        <x:v>WAVE_03</x:v>
      </x:c>
      <x:c r="B8" s="54" t="n">
        <x:v>21</x:v>
      </x:c>
      <x:c r="C8" s="54" t="n">
        <x:f>COUNTIF('StageSpawn'!$B$2:$B$251,A8)</x:f>
        <x:v>10</x:v>
      </x:c>
      <x:c r="D8" s="54" t="n">
        <x:f>COUNTIFS('StageSpawn'!$B$2:$B$251,A8,'StageSpawn'!$F$2:$F$251,"GoblinMelee")</x:f>
        <x:v>7</x:v>
      </x:c>
      <x:c r="E8" s="54" t="n">
        <x:f>COUNTIFS('StageSpawn'!$B$2:$B$251,A8,'StageSpawn'!$F$2:$F$251,"GoblinRanged")</x:f>
        <x:v>3</x:v>
      </x:c>
      <x:c r="F8" s="54" t="n">
        <x:f>COUNTIFS('StageSpawn'!$B$2:$B$251,A8,'StageSpawn'!$F$2:$F$251,"ShieldSkeleton")</x:f>
        <x:v>0</x:v>
      </x:c>
      <x:c r="G8" s="54" t="n">
        <x:f>COUNTIFS('StageSpawn'!$B$2:$B$251,A8,'StageSpawn'!$F$2:$F$251,"GoblinBoss")</x:f>
        <x:v>0</x:v>
      </x:c>
      <x:c r="H8" s="54" t="n">
        <x:f>D8*'EnemyBalance'!$M$2+E8*'EnemyBalance'!$M$3+F8*'EnemyBalance'!$M$4+G8*'EnemyBalance'!$M$5</x:f>
        <x:v>10</x:v>
      </x:c>
      <x:c r="I8" s="54" t="n">
        <x:f>SUM($H$6:H8)</x:f>
        <x:v>25</x:v>
      </x:c>
      <x:c r="J8" s="54" t="n">
        <x:f>1+COUNTIF('PlayerLevelExp'!$C$2:$C$21,"&lt;="&amp;I7)</x:f>
        <x:v>2</x:v>
      </x:c>
      <x:c r="K8" s="54" t="n">
        <x:f>MINIFS('StageSpawn'!$G$2:$G$251,'StageSpawn'!$B$2:$B$251,A8)</x:f>
        <x:v>3</x:v>
      </x:c>
      <x:c r="L8" s="54" t="n">
        <x:f>MAXIFS('StageSpawn'!$G$2:$G$251,'StageSpawn'!$B$2:$B$251,A8)</x:f>
        <x:v>4</x:v>
      </x:c>
      <x:c r="M8" s="53" t="n">
        <x:f>AVERAGEIF('StageSpawn'!$B$2:$B$251,A8,'StageSpawn'!$G$2:$G$251)</x:f>
        <x:v>3.5</x:v>
      </x:c>
      <x:c r="N8" s="53" t="n">
        <x:f>M8-J8</x:f>
        <x:v>1.5</x:v>
      </x:c>
      <x:c r="O8" s="80" t="str">
        <x:v>4방향 스폰포인트 순환 / 개별 위치는 StageSpawn 참조</x:v>
      </x:c>
    </x:row>
    <x:row r="9" ht="25" customHeight="1">
      <x:c r="A9" s="45" t="str">
        <x:v>WAVE_04</x:v>
      </x:c>
      <x:c r="B9" s="54" t="n">
        <x:v>31</x:v>
      </x:c>
      <x:c r="C9" s="54" t="n">
        <x:f>COUNTIF('StageSpawn'!$B$2:$B$251,A9)</x:f>
        <x:v>12</x:v>
      </x:c>
      <x:c r="D9" s="54" t="n">
        <x:f>COUNTIFS('StageSpawn'!$B$2:$B$251,A9,'StageSpawn'!$F$2:$F$251,"GoblinMelee")</x:f>
        <x:v>8</x:v>
      </x:c>
      <x:c r="E9" s="54" t="n">
        <x:f>COUNTIFS('StageSpawn'!$B$2:$B$251,A9,'StageSpawn'!$F$2:$F$251,"GoblinRanged")</x:f>
        <x:v>3</x:v>
      </x:c>
      <x:c r="F9" s="54" t="n">
        <x:f>COUNTIFS('StageSpawn'!$B$2:$B$251,A9,'StageSpawn'!$F$2:$F$251,"ShieldSkeleton")</x:f>
        <x:v>1</x:v>
      </x:c>
      <x:c r="G9" s="54" t="n">
        <x:f>COUNTIFS('StageSpawn'!$B$2:$B$251,A9,'StageSpawn'!$F$2:$F$251,"GoblinBoss")</x:f>
        <x:v>0</x:v>
      </x:c>
      <x:c r="H9" s="54" t="n">
        <x:f>D9*'EnemyBalance'!$M$2+E9*'EnemyBalance'!$M$3+F9*'EnemyBalance'!$M$4+G9*'EnemyBalance'!$M$5</x:f>
        <x:v>13</x:v>
      </x:c>
      <x:c r="I9" s="54" t="n">
        <x:f>SUM($H$6:H9)</x:f>
        <x:v>38</x:v>
      </x:c>
      <x:c r="J9" s="54" t="n">
        <x:f>1+COUNTIF('PlayerLevelExp'!$C$2:$C$21,"&lt;="&amp;I8)</x:f>
        <x:v>3</x:v>
      </x:c>
      <x:c r="K9" s="54" t="n">
        <x:f>MINIFS('StageSpawn'!$G$2:$G$251,'StageSpawn'!$B$2:$B$251,A9)</x:f>
        <x:v>4</x:v>
      </x:c>
      <x:c r="L9" s="54" t="n">
        <x:f>MAXIFS('StageSpawn'!$G$2:$G$251,'StageSpawn'!$B$2:$B$251,A9)</x:f>
        <x:v>6</x:v>
      </x:c>
      <x:c r="M9" s="53" t="n">
        <x:f>AVERAGEIF('StageSpawn'!$B$2:$B$251,A9,'StageSpawn'!$G$2:$G$251)</x:f>
        <x:v>4.416666666666667</x:v>
      </x:c>
      <x:c r="N9" s="53" t="n">
        <x:f>M9-J9</x:f>
        <x:v>1.416666666666667</x:v>
      </x:c>
      <x:c r="O9" s="80" t="str">
        <x:v>4방향 스폰포인트 순환 / 개별 위치는 StageSpawn 참조</x:v>
      </x:c>
    </x:row>
    <x:row r="10" ht="25" customHeight="1">
      <x:c r="A10" s="45" t="str">
        <x:v>WAVE_05</x:v>
      </x:c>
      <x:c r="B10" s="54" t="n">
        <x:v>41</x:v>
      </x:c>
      <x:c r="C10" s="54" t="n">
        <x:f>COUNTIF('StageSpawn'!$B$2:$B$251,A10)</x:f>
        <x:v>15</x:v>
      </x:c>
      <x:c r="D10" s="54" t="n">
        <x:f>COUNTIFS('StageSpawn'!$B$2:$B$251,A10,'StageSpawn'!$F$2:$F$251,"GoblinMelee")</x:f>
        <x:v>9</x:v>
      </x:c>
      <x:c r="E10" s="54" t="n">
        <x:f>COUNTIFS('StageSpawn'!$B$2:$B$251,A10,'StageSpawn'!$F$2:$F$251,"GoblinRanged")</x:f>
        <x:v>4</x:v>
      </x:c>
      <x:c r="F10" s="54" t="n">
        <x:f>COUNTIFS('StageSpawn'!$B$2:$B$251,A10,'StageSpawn'!$F$2:$F$251,"ShieldSkeleton")</x:f>
        <x:v>2</x:v>
      </x:c>
      <x:c r="G10" s="54" t="n">
        <x:f>COUNTIFS('StageSpawn'!$B$2:$B$251,A10,'StageSpawn'!$F$2:$F$251,"GoblinBoss")</x:f>
        <x:v>0</x:v>
      </x:c>
      <x:c r="H10" s="54" t="n">
        <x:f>D10*'EnemyBalance'!$M$2+E10*'EnemyBalance'!$M$3+F10*'EnemyBalance'!$M$4+G10*'EnemyBalance'!$M$5</x:f>
        <x:v>17</x:v>
      </x:c>
      <x:c r="I10" s="54" t="n">
        <x:f>SUM($H$6:H10)</x:f>
        <x:v>55</x:v>
      </x:c>
      <x:c r="J10" s="54" t="n">
        <x:f>1+COUNTIF('PlayerLevelExp'!$C$2:$C$21,"&lt;="&amp;I9)</x:f>
        <x:v>4</x:v>
      </x:c>
      <x:c r="K10" s="54" t="n">
        <x:f>MINIFS('StageSpawn'!$G$2:$G$251,'StageSpawn'!$B$2:$B$251,A10)</x:f>
        <x:v>6</x:v>
      </x:c>
      <x:c r="L10" s="54" t="n">
        <x:f>MAXIFS('StageSpawn'!$G$2:$G$251,'StageSpawn'!$B$2:$B$251,A10)</x:f>
        <x:v>7</x:v>
      </x:c>
      <x:c r="M10" s="53" t="n">
        <x:f>AVERAGEIF('StageSpawn'!$B$2:$B$251,A10,'StageSpawn'!$G$2:$G$251)</x:f>
        <x:v>6.466666666666667</x:v>
      </x:c>
      <x:c r="N10" s="53" t="n">
        <x:f>M10-J10</x:f>
        <x:v>2.466666666666667</x:v>
      </x:c>
      <x:c r="O10" s="80" t="str">
        <x:v>4방향 스폰포인트 순환 / 개별 위치는 StageSpawn 참조</x:v>
      </x:c>
    </x:row>
    <x:row r="11" ht="25" customHeight="1">
      <x:c r="A11" s="45" t="str">
        <x:v>WAVE_06</x:v>
      </x:c>
      <x:c r="B11" s="54" t="n">
        <x:v>51</x:v>
      </x:c>
      <x:c r="C11" s="54" t="n">
        <x:f>COUNTIF('StageSpawn'!$B$2:$B$251,A11)</x:f>
        <x:v>18</x:v>
      </x:c>
      <x:c r="D11" s="54" t="n">
        <x:f>COUNTIFS('StageSpawn'!$B$2:$B$251,A11,'StageSpawn'!$F$2:$F$251,"GoblinMelee")</x:f>
        <x:v>11</x:v>
      </x:c>
      <x:c r="E11" s="54" t="n">
        <x:f>COUNTIFS('StageSpawn'!$B$2:$B$251,A11,'StageSpawn'!$F$2:$F$251,"GoblinRanged")</x:f>
        <x:v>5</x:v>
      </x:c>
      <x:c r="F11" s="54" t="n">
        <x:f>COUNTIFS('StageSpawn'!$B$2:$B$251,A11,'StageSpawn'!$F$2:$F$251,"ShieldSkeleton")</x:f>
        <x:v>2</x:v>
      </x:c>
      <x:c r="G11" s="54" t="n">
        <x:f>COUNTIFS('StageSpawn'!$B$2:$B$251,A11,'StageSpawn'!$F$2:$F$251,"GoblinBoss")</x:f>
        <x:v>0</x:v>
      </x:c>
      <x:c r="H11" s="54" t="n">
        <x:f>D11*'EnemyBalance'!$M$2+E11*'EnemyBalance'!$M$3+F11*'EnemyBalance'!$M$4+G11*'EnemyBalance'!$M$5</x:f>
        <x:v>20</x:v>
      </x:c>
      <x:c r="I11" s="54" t="n">
        <x:f>SUM($H$6:H11)</x:f>
        <x:v>75</x:v>
      </x:c>
      <x:c r="J11" s="54" t="n">
        <x:f>1+COUNTIF('PlayerLevelExp'!$C$2:$C$21,"&lt;="&amp;I10)</x:f>
        <x:v>5</x:v>
      </x:c>
      <x:c r="K11" s="54" t="n">
        <x:f>MINIFS('StageSpawn'!$G$2:$G$251,'StageSpawn'!$B$2:$B$251,A11)</x:f>
        <x:v>7</x:v>
      </x:c>
      <x:c r="L11" s="54" t="n">
        <x:f>MAXIFS('StageSpawn'!$G$2:$G$251,'StageSpawn'!$B$2:$B$251,A11)</x:f>
        <x:v>8</x:v>
      </x:c>
      <x:c r="M11" s="53" t="n">
        <x:f>AVERAGEIF('StageSpawn'!$B$2:$B$251,A11,'StageSpawn'!$G$2:$G$251)</x:f>
        <x:v>7.444444444444445</x:v>
      </x:c>
      <x:c r="N11" s="53" t="n">
        <x:f>M11-J11</x:f>
        <x:v>2.4444444444444446</x:v>
      </x:c>
      <x:c r="O11" s="80" t="str">
        <x:v>4방향 스폰포인트 순환 / 개별 위치는 StageSpawn 참조</x:v>
      </x:c>
    </x:row>
    <x:row r="12" ht="25" customHeight="1">
      <x:c r="A12" s="45" t="str">
        <x:v>WAVE_07</x:v>
      </x:c>
      <x:c r="B12" s="54" t="n">
        <x:v>61</x:v>
      </x:c>
      <x:c r="C12" s="54" t="n">
        <x:f>COUNTIF('StageSpawn'!$B$2:$B$251,A12)</x:f>
        <x:v>21</x:v>
      </x:c>
      <x:c r="D12" s="54" t="n">
        <x:f>COUNTIFS('StageSpawn'!$B$2:$B$251,A12,'StageSpawn'!$F$2:$F$251,"GoblinMelee")</x:f>
        <x:v>13</x:v>
      </x:c>
      <x:c r="E12" s="54" t="n">
        <x:f>COUNTIFS('StageSpawn'!$B$2:$B$251,A12,'StageSpawn'!$F$2:$F$251,"GoblinRanged")</x:f>
        <x:v>6</x:v>
      </x:c>
      <x:c r="F12" s="54" t="n">
        <x:f>COUNTIFS('StageSpawn'!$B$2:$B$251,A12,'StageSpawn'!$F$2:$F$251,"ShieldSkeleton")</x:f>
        <x:v>2</x:v>
      </x:c>
      <x:c r="G12" s="54" t="n">
        <x:f>COUNTIFS('StageSpawn'!$B$2:$B$251,A12,'StageSpawn'!$F$2:$F$251,"GoblinBoss")</x:f>
        <x:v>0</x:v>
      </x:c>
      <x:c r="H12" s="54" t="n">
        <x:f>D12*'EnemyBalance'!$M$2+E12*'EnemyBalance'!$M$3+F12*'EnemyBalance'!$M$4+G12*'EnemyBalance'!$M$5</x:f>
        <x:v>23</x:v>
      </x:c>
      <x:c r="I12" s="54" t="n">
        <x:f>SUM($H$6:H12)</x:f>
        <x:v>98</x:v>
      </x:c>
      <x:c r="J12" s="54" t="n">
        <x:f>1+COUNTIF('PlayerLevelExp'!$C$2:$C$21,"&lt;="&amp;I11)</x:f>
        <x:v>6</x:v>
      </x:c>
      <x:c r="K12" s="54" t="n">
        <x:f>MINIFS('StageSpawn'!$G$2:$G$251,'StageSpawn'!$B$2:$B$251,A12)</x:f>
        <x:v>8</x:v>
      </x:c>
      <x:c r="L12" s="54" t="n">
        <x:f>MAXIFS('StageSpawn'!$G$2:$G$251,'StageSpawn'!$B$2:$B$251,A12)</x:f>
        <x:v>9</x:v>
      </x:c>
      <x:c r="M12" s="53" t="n">
        <x:f>AVERAGEIF('StageSpawn'!$B$2:$B$251,A12,'StageSpawn'!$G$2:$G$251)</x:f>
        <x:v>8.476190476190476</x:v>
      </x:c>
      <x:c r="N12" s="53" t="n">
        <x:f>M12-J12</x:f>
        <x:v>2.4761904761904763</x:v>
      </x:c>
      <x:c r="O12" s="80" t="str">
        <x:v>4방향 스폰포인트 순환 / 개별 위치는 StageSpawn 참조</x:v>
      </x:c>
    </x:row>
    <x:row r="13" ht="25" customHeight="1">
      <x:c r="A13" s="45" t="str">
        <x:v>WAVE_08</x:v>
      </x:c>
      <x:c r="B13" s="54" t="n">
        <x:v>71</x:v>
      </x:c>
      <x:c r="C13" s="54" t="n">
        <x:f>COUNTIF('StageSpawn'!$B$2:$B$251,A13)</x:f>
        <x:v>24</x:v>
      </x:c>
      <x:c r="D13" s="54" t="n">
        <x:f>COUNTIFS('StageSpawn'!$B$2:$B$251,A13,'StageSpawn'!$F$2:$F$251,"GoblinMelee")</x:f>
        <x:v>14</x:v>
      </x:c>
      <x:c r="E13" s="54" t="n">
        <x:f>COUNTIFS('StageSpawn'!$B$2:$B$251,A13,'StageSpawn'!$F$2:$F$251,"GoblinRanged")</x:f>
        <x:v>7</x:v>
      </x:c>
      <x:c r="F13" s="54" t="n">
        <x:f>COUNTIFS('StageSpawn'!$B$2:$B$251,A13,'StageSpawn'!$F$2:$F$251,"ShieldSkeleton")</x:f>
        <x:v>3</x:v>
      </x:c>
      <x:c r="G13" s="54" t="n">
        <x:f>COUNTIFS('StageSpawn'!$B$2:$B$251,A13,'StageSpawn'!$F$2:$F$251,"GoblinBoss")</x:f>
        <x:v>0</x:v>
      </x:c>
      <x:c r="H13" s="54" t="n">
        <x:f>D13*'EnemyBalance'!$M$2+E13*'EnemyBalance'!$M$3+F13*'EnemyBalance'!$M$4+G13*'EnemyBalance'!$M$5</x:f>
        <x:v>27</x:v>
      </x:c>
      <x:c r="I13" s="54" t="n">
        <x:f>SUM($H$6:H13)</x:f>
        <x:v>125</x:v>
      </x:c>
      <x:c r="J13" s="54" t="n">
        <x:f>1+COUNTIF('PlayerLevelExp'!$C$2:$C$21,"&lt;="&amp;I12)</x:f>
        <x:v>8</x:v>
      </x:c>
      <x:c r="K13" s="54" t="n">
        <x:f>MINIFS('StageSpawn'!$G$2:$G$251,'StageSpawn'!$B$2:$B$251,A13)</x:f>
        <x:v>10</x:v>
      </x:c>
      <x:c r="L13" s="54" t="n">
        <x:f>MAXIFS('StageSpawn'!$G$2:$G$251,'StageSpawn'!$B$2:$B$251,A13)</x:f>
        <x:v>12</x:v>
      </x:c>
      <x:c r="M13" s="53" t="n">
        <x:f>AVERAGEIF('StageSpawn'!$B$2:$B$251,A13,'StageSpawn'!$G$2:$G$251)</x:f>
        <x:v>10.458333333333334</x:v>
      </x:c>
      <x:c r="N13" s="53" t="n">
        <x:f>M13-J13</x:f>
        <x:v>2.458333333333334</x:v>
      </x:c>
      <x:c r="O13" s="80" t="str">
        <x:v>4방향 스폰포인트 순환 / 개별 위치는 StageSpawn 참조</x:v>
      </x:c>
    </x:row>
    <x:row r="14" ht="25" customHeight="1">
      <x:c r="A14" s="45" t="str">
        <x:v>WAVE_09</x:v>
      </x:c>
      <x:c r="B14" s="54" t="n">
        <x:v>81</x:v>
      </x:c>
      <x:c r="C14" s="54" t="n">
        <x:f>COUNTIF('StageSpawn'!$B$2:$B$251,A14)</x:f>
        <x:v>28</x:v>
      </x:c>
      <x:c r="D14" s="54" t="n">
        <x:f>COUNTIFS('StageSpawn'!$B$2:$B$251,A14,'StageSpawn'!$F$2:$F$251,"GoblinMelee")</x:f>
        <x:v>16</x:v>
      </x:c>
      <x:c r="E14" s="54" t="n">
        <x:f>COUNTIFS('StageSpawn'!$B$2:$B$251,A14,'StageSpawn'!$F$2:$F$251,"GoblinRanged")</x:f>
        <x:v>8</x:v>
      </x:c>
      <x:c r="F14" s="54" t="n">
        <x:f>COUNTIFS('StageSpawn'!$B$2:$B$251,A14,'StageSpawn'!$F$2:$F$251,"ShieldSkeleton")</x:f>
        <x:v>4</x:v>
      </x:c>
      <x:c r="G14" s="54" t="n">
        <x:f>COUNTIFS('StageSpawn'!$B$2:$B$251,A14,'StageSpawn'!$F$2:$F$251,"GoblinBoss")</x:f>
        <x:v>0</x:v>
      </x:c>
      <x:c r="H14" s="54" t="n">
        <x:f>D14*'EnemyBalance'!$M$2+E14*'EnemyBalance'!$M$3+F14*'EnemyBalance'!$M$4+G14*'EnemyBalance'!$M$5</x:f>
        <x:v>32</x:v>
      </x:c>
      <x:c r="I14" s="54" t="n">
        <x:f>SUM($H$6:H14)</x:f>
        <x:v>157</x:v>
      </x:c>
      <x:c r="J14" s="54" t="n">
        <x:f>1+COUNTIF('PlayerLevelExp'!$C$2:$C$21,"&lt;="&amp;I13)</x:f>
        <x:v>9</x:v>
      </x:c>
      <x:c r="K14" s="54" t="n">
        <x:f>MINIFS('StageSpawn'!$G$2:$G$251,'StageSpawn'!$B$2:$B$251,A14)</x:f>
        <x:v>11</x:v>
      </x:c>
      <x:c r="L14" s="54" t="n">
        <x:f>MAXIFS('StageSpawn'!$G$2:$G$251,'StageSpawn'!$B$2:$B$251,A14)</x:f>
        <x:v>12</x:v>
      </x:c>
      <x:c r="M14" s="53" t="n">
        <x:f>AVERAGEIF('StageSpawn'!$B$2:$B$251,A14,'StageSpawn'!$G$2:$G$251)</x:f>
        <x:v>11.464285714285714</x:v>
      </x:c>
      <x:c r="N14" s="53" t="n">
        <x:f>M14-J14</x:f>
        <x:v>2.4642857142857135</x:v>
      </x:c>
      <x:c r="O14" s="80" t="str">
        <x:v>4방향 스폰포인트 순환 / 개별 위치는 StageSpawn 참조</x:v>
      </x:c>
    </x:row>
    <x:row r="15" ht="25" customHeight="1">
      <x:c r="A15" s="45" t="str">
        <x:v>WAVE_10</x:v>
      </x:c>
      <x:c r="B15" s="54" t="n">
        <x:v>91</x:v>
      </x:c>
      <x:c r="C15" s="54" t="n">
        <x:f>COUNTIF('StageSpawn'!$B$2:$B$251,A15)</x:f>
        <x:v>32</x:v>
      </x:c>
      <x:c r="D15" s="54" t="n">
        <x:f>COUNTIFS('StageSpawn'!$B$2:$B$251,A15,'StageSpawn'!$F$2:$F$251,"GoblinMelee")</x:f>
        <x:v>18</x:v>
      </x:c>
      <x:c r="E15" s="54" t="n">
        <x:f>COUNTIFS('StageSpawn'!$B$2:$B$251,A15,'StageSpawn'!$F$2:$F$251,"GoblinRanged")</x:f>
        <x:v>9</x:v>
      </x:c>
      <x:c r="F15" s="54" t="n">
        <x:f>COUNTIFS('StageSpawn'!$B$2:$B$251,A15,'StageSpawn'!$F$2:$F$251,"ShieldSkeleton")</x:f>
        <x:v>5</x:v>
      </x:c>
      <x:c r="G15" s="54" t="n">
        <x:f>COUNTIFS('StageSpawn'!$B$2:$B$251,A15,'StageSpawn'!$F$2:$F$251,"GoblinBoss")</x:f>
        <x:v>0</x:v>
      </x:c>
      <x:c r="H15" s="54" t="n">
        <x:f>D15*'EnemyBalance'!$M$2+E15*'EnemyBalance'!$M$3+F15*'EnemyBalance'!$M$4+G15*'EnemyBalance'!$M$5</x:f>
        <x:v>37</x:v>
      </x:c>
      <x:c r="I15" s="54" t="n">
        <x:f>SUM($H$6:H15)</x:f>
        <x:v>194</x:v>
      </x:c>
      <x:c r="J15" s="54" t="n">
        <x:f>1+COUNTIF('PlayerLevelExp'!$C$2:$C$21,"&lt;="&amp;I14)</x:f>
        <x:v>10</x:v>
      </x:c>
      <x:c r="K15" s="54" t="n">
        <x:f>MINIFS('StageSpawn'!$G$2:$G$251,'StageSpawn'!$B$2:$B$251,A15)</x:f>
        <x:v>12</x:v>
      </x:c>
      <x:c r="L15" s="54" t="n">
        <x:f>MAXIFS('StageSpawn'!$G$2:$G$251,'StageSpawn'!$B$2:$B$251,A15)</x:f>
        <x:v>14</x:v>
      </x:c>
      <x:c r="M15" s="53" t="n">
        <x:f>AVERAGEIF('StageSpawn'!$B$2:$B$251,A15,'StageSpawn'!$G$2:$G$251)</x:f>
        <x:v>12.46875</x:v>
      </x:c>
      <x:c r="N15" s="53" t="n">
        <x:f>M15-J15</x:f>
        <x:v>2.46875</x:v>
      </x:c>
      <x:c r="O15" s="80" t="str">
        <x:v>4방향 스폰포인트 순환 / 개별 위치는 StageSpawn 참조</x:v>
      </x:c>
    </x:row>
    <x:row r="16" ht="25" customHeight="1">
      <x:c r="A16" s="45" t="str">
        <x:v>WAVE_11</x:v>
      </x:c>
      <x:c r="B16" s="54" t="n">
        <x:v>101</x:v>
      </x:c>
      <x:c r="C16" s="54" t="n">
        <x:f>COUNTIF('StageSpawn'!$B$2:$B$251,A16)</x:f>
        <x:v>36</x:v>
      </x:c>
      <x:c r="D16" s="54" t="n">
        <x:f>COUNTIFS('StageSpawn'!$B$2:$B$251,A16,'StageSpawn'!$F$2:$F$251,"GoblinMelee")</x:f>
        <x:v>20</x:v>
      </x:c>
      <x:c r="E16" s="54" t="n">
        <x:f>COUNTIFS('StageSpawn'!$B$2:$B$251,A16,'StageSpawn'!$F$2:$F$251,"GoblinRanged")</x:f>
        <x:v>10</x:v>
      </x:c>
      <x:c r="F16" s="54" t="n">
        <x:f>COUNTIFS('StageSpawn'!$B$2:$B$251,A16,'StageSpawn'!$F$2:$F$251,"ShieldSkeleton")</x:f>
        <x:v>6</x:v>
      </x:c>
      <x:c r="G16" s="54" t="n">
        <x:f>COUNTIFS('StageSpawn'!$B$2:$B$251,A16,'StageSpawn'!$F$2:$F$251,"GoblinBoss")</x:f>
        <x:v>0</x:v>
      </x:c>
      <x:c r="H16" s="54" t="n">
        <x:f>D16*'EnemyBalance'!$M$2+E16*'EnemyBalance'!$M$3+F16*'EnemyBalance'!$M$4+G16*'EnemyBalance'!$M$5</x:f>
        <x:v>42</x:v>
      </x:c>
      <x:c r="I16" s="54" t="n">
        <x:f>SUM($H$6:H16)</x:f>
        <x:v>236</x:v>
      </x:c>
      <x:c r="J16" s="54" t="n">
        <x:f>1+COUNTIF('PlayerLevelExp'!$C$2:$C$21,"&lt;="&amp;I15)</x:f>
        <x:v>11</x:v>
      </x:c>
      <x:c r="K16" s="54" t="n">
        <x:f>MINIFS('StageSpawn'!$G$2:$G$251,'StageSpawn'!$B$2:$B$251,A16)</x:f>
        <x:v>13</x:v>
      </x:c>
      <x:c r="L16" s="54" t="n">
        <x:f>MAXIFS('StageSpawn'!$G$2:$G$251,'StageSpawn'!$B$2:$B$251,A16)</x:f>
        <x:v>14</x:v>
      </x:c>
      <x:c r="M16" s="53" t="n">
        <x:f>AVERAGEIF('StageSpawn'!$B$2:$B$251,A16,'StageSpawn'!$G$2:$G$251)</x:f>
        <x:v>13.444444444444445</x:v>
      </x:c>
      <x:c r="N16" s="53" t="n">
        <x:f>M16-J16</x:f>
        <x:v>2.4444444444444446</x:v>
      </x:c>
      <x:c r="O16" s="80" t="str">
        <x:v>4방향 스폰포인트 순환 / 개별 위치는 StageSpawn 참조</x:v>
      </x:c>
    </x:row>
    <x:row r="17" ht="25" customHeight="1">
      <x:c r="A17" s="45" t="str">
        <x:v>WAVE_12</x:v>
      </x:c>
      <x:c r="B17" s="54" t="n">
        <x:v>111</x:v>
      </x:c>
      <x:c r="C17" s="54" t="n">
        <x:f>COUNTIF('StageSpawn'!$B$2:$B$251,A17)</x:f>
        <x:v>40</x:v>
      </x:c>
      <x:c r="D17" s="54" t="n">
        <x:f>COUNTIFS('StageSpawn'!$B$2:$B$251,A17,'StageSpawn'!$F$2:$F$251,"GoblinMelee")</x:f>
        <x:v>22</x:v>
      </x:c>
      <x:c r="E17" s="54" t="n">
        <x:f>COUNTIFS('StageSpawn'!$B$2:$B$251,A17,'StageSpawn'!$F$2:$F$251,"GoblinRanged")</x:f>
        <x:v>11</x:v>
      </x:c>
      <x:c r="F17" s="54" t="n">
        <x:f>COUNTIFS('StageSpawn'!$B$2:$B$251,A17,'StageSpawn'!$F$2:$F$251,"ShieldSkeleton")</x:f>
        <x:v>6</x:v>
      </x:c>
      <x:c r="G17" s="54" t="n">
        <x:f>COUNTIFS('StageSpawn'!$B$2:$B$251,A17,'StageSpawn'!$F$2:$F$251,"GoblinBoss")</x:f>
        <x:v>1</x:v>
      </x:c>
      <x:c r="H17" s="54" t="n">
        <x:f>D17*'EnemyBalance'!$M$2+E17*'EnemyBalance'!$M$3+F17*'EnemyBalance'!$M$4+G17*'EnemyBalance'!$M$5</x:f>
        <x:v>53</x:v>
      </x:c>
      <x:c r="I17" s="54" t="n">
        <x:f>SUM($H$6:H17)</x:f>
        <x:v>289</x:v>
      </x:c>
      <x:c r="J17" s="54" t="n">
        <x:f>1+COUNTIF('PlayerLevelExp'!$C$2:$C$21,"&lt;="&amp;I16)</x:f>
        <x:v>13</x:v>
      </x:c>
      <x:c r="K17" s="54" t="n">
        <x:f>MINIFS('StageSpawn'!$G$2:$G$251,'StageSpawn'!$B$2:$B$251,A17)</x:f>
        <x:v>15</x:v>
      </x:c>
      <x:c r="L17" s="54" t="n">
        <x:f>MAXIFS('StageSpawn'!$G$2:$G$251,'StageSpawn'!$B$2:$B$251,A17)</x:f>
        <x:v>16</x:v>
      </x:c>
      <x:c r="M17" s="53" t="n">
        <x:f>AVERAGEIF('StageSpawn'!$B$2:$B$251,A17,'StageSpawn'!$G$2:$G$251)</x:f>
        <x:v>15.45</x:v>
      </x:c>
      <x:c r="N17" s="53" t="n">
        <x:f>M17-J17</x:f>
        <x:v>2.4499999999999993</x:v>
      </x:c>
      <x:c r="O17" s="80" t="str">
        <x:v>4방향 스폰포인트 순환 / 개별 위치는 StageSpawn 참조</x:v>
      </x:c>
    </x:row>
  </x:sheetData>
  <x:mergeCells>
    <x:mergeCell ref="A1:O1"/>
    <x:mergeCell ref="A3:O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2389f3324744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22" hidden="0" customWidth="1"/>
    <x:col min="8" max="8" width="21" hidden="0" customWidth="1"/>
    <x:col min="9" max="9" width="19" hidden="0" customWidth="1"/>
    <x:col min="10" max="10" width="20" hidden="0" customWidth="1"/>
    <x:col min="11" max="11" width="17" hidden="0" customWidth="1"/>
    <x:col min="12" max="12" width="23" hidden="0" customWidth="1"/>
  </x:cols>
  <x:sheetData>
    <x:row r="1" ht="34" customHeight="1">
      <x:c r="A1" s="290" t="str">
        <x:v>신규 카드 수식 및 레벨별 효과</x:v>
      </x:c>
      <x:c r="B1" s="290" t="str">
        <x:v>신규 카드 수식 및 레벨별 효과</x:v>
      </x:c>
      <x:c r="C1" s="290" t="str">
        <x:v>신규 카드 수식 및 레벨별 효과</x:v>
      </x:c>
      <x:c r="D1" s="290" t="str">
        <x:v>신규 카드 수식 및 레벨별 효과</x:v>
      </x:c>
      <x:c r="E1" s="290" t="str">
        <x:v>신규 카드 수식 및 레벨별 효과</x:v>
      </x:c>
      <x:c r="F1" s="290" t="str">
        <x:v>신규 카드 수식 및 레벨별 효과</x:v>
      </x:c>
      <x:c r="G1" s="290" t="str">
        <x:v>신규 카드 수식 및 레벨별 효과</x:v>
      </x:c>
      <x:c r="H1" s="290" t="str">
        <x:v>신규 카드 수식 및 레벨별 효과</x:v>
      </x:c>
      <x:c r="I1" s="290" t="str">
        <x:v>신규 카드 수식 및 레벨별 효과</x:v>
      </x:c>
      <x:c r="J1" s="290" t="str">
        <x:v>신규 카드 수식 및 레벨별 효과</x:v>
      </x:c>
      <x:c r="K1" s="290" t="str">
        <x:v>신규 카드 수식 및 레벨별 효과</x:v>
      </x:c>
      <x:c r="L1" s="290" t="str">
        <x:v>신규 카드 수식 및 레벨별 효과</x:v>
      </x:c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입력</x:v>
      </x:c>
      <x:c r="B3" s="328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>
      <x:c r="A4" s="45" t="str">
        <x:v>정전기 피해 배율</x:v>
      </x:c>
      <x:c r="B4" s="51" t="n">
        <x:f>'LevelUpCard'!F9</x:f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 t="str">
        <x:v>절단 추가 피해 배율</x:v>
      </x:c>
      <x:c r="B5" s="51" t="n">
        <x:f>'LevelUpCard'!F7</x:f>
        <x:v>1.5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>
      <x:c r="A6" s="45" t="str">
        <x:v>히트 회복량</x:v>
      </x:c>
      <x:c r="B6" s="51" t="n">
        <x:f>'LevelUpCard'!F8</x:f>
        <x:v>5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>
      <x:c r="A7" s="45" t="str">
        <x:v>히트 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>
      <x:c r="A9" s="326" t="str">
        <x:v>CardLv</x:v>
      </x:c>
      <x:c r="B9" s="327" t="str">
        <x:v>PierceAdditional</x:v>
      </x:c>
      <x:c r="C9" s="327" t="str">
        <x:v>SeverBonus</x:v>
      </x:c>
      <x:c r="D9" s="327" t="str">
        <x:v>Normal+Sever</x:v>
      </x:c>
      <x:c r="E9" s="327" t="str">
        <x:v>StaticAdjacent</x:v>
      </x:c>
      <x:c r="F9" s="327" t="str">
        <x:v>StaticPrimaryTotal</x:v>
      </x:c>
      <x:c r="G9" s="327" t="str">
        <x:v>StaticAdjacentDamage</x:v>
      </x:c>
      <x:c r="H9" s="327" t="str">
        <x:v>ExpectedHealPerHit</x:v>
      </x:c>
      <x:c r="I9" s="327" t="str">
        <x:v>MoveSlashChance</x:v>
      </x:c>
      <x:c r="J9" s="327" t="str">
        <x:v>MoveSlashMaxHits</x:v>
      </x:c>
      <x:c r="K9" s="327" t="str">
        <x:v>MoveSlashSize</x:v>
      </x:c>
      <x:c r="L9" s="328" t="str">
        <x:v>MoveSlashRearDamage</x:v>
      </x:c>
    </x:row>
    <x:row r="10">
      <x:c r="A10" s="45" t="n">
        <x:v>1</x:v>
      </x:c>
      <x:c r="B10" s="45" t="n">
        <x:f>A10</x:f>
        <x:v>1</x:v>
      </x:c>
      <x:c r="C10" s="90" t="n">
        <x:f>$B$5</x:f>
        <x:v>1.5</x:v>
      </x:c>
      <x:c r="D10" s="90" t="n">
        <x:f>1+C10</x:f>
        <x:v>2.5</x:v>
      </x:c>
      <x:c r="E10" s="45" t="n">
        <x:f>2*A10+1</x:f>
        <x:v>3</x:v>
      </x:c>
      <x:c r="F10" s="51" t="n">
        <x:f>1+$B$4</x:f>
        <x:v>1.75</x:v>
      </x:c>
      <x:c r="G10" s="51" t="n">
        <x:f>$B$4</x:f>
        <x:v>0.75</x:v>
      </x:c>
      <x:c r="H10" s="51" t="n">
        <x:f>$B$6*$B$7</x:f>
        <x:v>0.25</x:v>
      </x:c>
      <x:c r="I10" s="55" t="n">
        <x:f>10%+3%*(A10-1)</x:f>
        <x:v>0.1</x:v>
      </x:c>
      <x:c r="J10" s="45" t="n">
        <x:f>A10</x:f>
        <x:v>1</x:v>
      </x:c>
      <x:c r="K10" s="91" t="n">
        <x:f>1+10%*(A10-1)</x:f>
        <x:v>1</x:v>
      </x:c>
      <x:c r="L10" s="90" t="n">
        <x:f>'LevelUpCard'!F10*'PlayerBalance'!F2</x:f>
        <x:v>4.5</x:v>
      </x:c>
    </x:row>
    <x:row r="11">
      <x:c r="A11" s="45" t="n">
        <x:v>2</x:v>
      </x:c>
      <x:c r="B11" s="45" t="n">
        <x:f>A11</x:f>
        <x:v>2</x:v>
      </x:c>
      <x:c r="C11" s="90" t="n">
        <x:f>$B$5</x:f>
        <x:v>1.5</x:v>
      </x:c>
      <x:c r="D11" s="90" t="n">
        <x:f>1+C10</x:f>
        <x:v>2.5</x:v>
      </x:c>
      <x:c r="E11" s="45" t="n">
        <x:f>2*A11+1</x:f>
        <x:v>5</x:v>
      </x:c>
      <x:c r="F11" s="51" t="n">
        <x:f>1+$B$4</x:f>
        <x:v>1.75</x:v>
      </x:c>
      <x:c r="G11" s="51" t="n">
        <x:f>$B$4</x:f>
        <x:v>0.75</x:v>
      </x:c>
      <x:c r="H11" s="51" t="n">
        <x:f>$B$6*$B$7</x:f>
        <x:v>0.25</x:v>
      </x:c>
      <x:c r="I11" s="55" t="n">
        <x:f>10%+3%*(A11-1)</x:f>
        <x:v>0.13</x:v>
      </x:c>
      <x:c r="J11" s="45" t="n">
        <x:f>A11</x:f>
        <x:v>2</x:v>
      </x:c>
      <x:c r="K11" s="91" t="n">
        <x:f>1+10%*(A11-1)</x:f>
        <x:v>1.1</x:v>
      </x:c>
      <x:c r="L11" s="90" t="n">
        <x:f>'LevelUpCard'!F10*'PlayerBalance'!F2</x:f>
        <x:v>4.5</x:v>
      </x:c>
    </x:row>
    <x:row r="12">
      <x:c r="A12" s="45" t="n">
        <x:v>3</x:v>
      </x:c>
      <x:c r="B12" s="45" t="n">
        <x:f>A12</x:f>
        <x:v>3</x:v>
      </x:c>
      <x:c r="C12" s="90" t="n">
        <x:f>$B$5</x:f>
        <x:v>1.5</x:v>
      </x:c>
      <x:c r="D12" s="90" t="n">
        <x:f>1+C10</x:f>
        <x:v>2.5</x:v>
      </x:c>
      <x:c r="E12" s="45" t="n">
        <x:f>2*A12+1</x:f>
        <x:v>7</x:v>
      </x:c>
      <x:c r="F12" s="51" t="n">
        <x:f>1+$B$4</x:f>
        <x:v>1.75</x:v>
      </x:c>
      <x:c r="G12" s="51" t="n">
        <x:f>$B$4</x:f>
        <x:v>0.75</x:v>
      </x:c>
      <x:c r="H12" s="51" t="n">
        <x:f>$B$6*$B$7</x:f>
        <x:v>0.25</x:v>
      </x:c>
      <x:c r="I12" s="55" t="n">
        <x:f>10%+3%*(A12-1)</x:f>
        <x:v>0.16</x:v>
      </x:c>
      <x:c r="J12" s="45" t="n">
        <x:f>A12</x:f>
        <x:v>3</x:v>
      </x:c>
      <x:c r="K12" s="91" t="n">
        <x:f>1+10%*(A12-1)</x:f>
        <x:v>1.2</x:v>
      </x:c>
      <x:c r="L12" s="90" t="n">
        <x:f>'LevelUpCard'!F10*'PlayerBalance'!F2</x:f>
        <x:v>4.5</x:v>
      </x:c>
    </x:row>
    <x:row r="13">
      <x:c r="A13" s="45" t="n">
        <x:v>4</x:v>
      </x:c>
      <x:c r="B13" s="45" t="n">
        <x:f>A13</x:f>
        <x:v>4</x:v>
      </x:c>
      <x:c r="C13" s="90" t="n">
        <x:f>$B$5</x:f>
        <x:v>1.5</x:v>
      </x:c>
      <x:c r="D13" s="90" t="n">
        <x:f>1+C10</x:f>
        <x:v>2.5</x:v>
      </x:c>
      <x:c r="E13" s="45" t="n">
        <x:f>2*A13+1</x:f>
        <x:v>9</x:v>
      </x:c>
      <x:c r="F13" s="51" t="n">
        <x:f>1+$B$4</x:f>
        <x:v>1.75</x:v>
      </x:c>
      <x:c r="G13" s="51" t="n">
        <x:f>$B$4</x:f>
        <x:v>0.75</x:v>
      </x:c>
      <x:c r="H13" s="51" t="n">
        <x:f>$B$6*$B$7</x:f>
        <x:v>0.25</x:v>
      </x:c>
      <x:c r="I13" s="55" t="n">
        <x:f>10%+3%*(A13-1)</x:f>
        <x:v>0.19</x:v>
      </x:c>
      <x:c r="J13" s="45" t="n">
        <x:f>A13</x:f>
        <x:v>4</x:v>
      </x:c>
      <x:c r="K13" s="91" t="n">
        <x:f>1+10%*(A13-1)</x:f>
        <x:v>1.3</x:v>
      </x:c>
      <x:c r="L13" s="90" t="n">
        <x:f>'LevelUpCard'!F10*'PlayerBalance'!F2</x:f>
        <x:v>4.5</x:v>
      </x:c>
    </x:row>
    <x:row r="14">
      <x:c r="A14" s="45" t="n">
        <x:v>5</x:v>
      </x:c>
      <x:c r="B14" s="45" t="n">
        <x:f>A14</x:f>
        <x:v>5</x:v>
      </x:c>
      <x:c r="C14" s="90" t="n">
        <x:f>$B$5</x:f>
        <x:v>1.5</x:v>
      </x:c>
      <x:c r="D14" s="90" t="n">
        <x:f>1+C10</x:f>
        <x:v>2.5</x:v>
      </x:c>
      <x:c r="E14" s="45" t="n">
        <x:f>2*A14+1</x:f>
        <x:v>11</x:v>
      </x:c>
      <x:c r="F14" s="51" t="n">
        <x:f>1+$B$4</x:f>
        <x:v>1.75</x:v>
      </x:c>
      <x:c r="G14" s="51" t="n">
        <x:f>$B$4</x:f>
        <x:v>0.75</x:v>
      </x:c>
      <x:c r="H14" s="51" t="n">
        <x:f>$B$6*$B$7</x:f>
        <x:v>0.25</x:v>
      </x:c>
      <x:c r="I14" s="55" t="n">
        <x:f>10%+3%*(A14-1)</x:f>
        <x:v>0.22</x:v>
      </x:c>
      <x:c r="J14" s="45" t="n">
        <x:f>A14</x:f>
        <x:v>5</x:v>
      </x:c>
      <x:c r="K14" s="91" t="n">
        <x:f>1+10%*(A14-1)</x:f>
        <x:v>1.4</x:v>
      </x:c>
      <x:c r="L14" s="90" t="n">
        <x:f>'LevelUpCard'!F10*'PlayerBalance'!F2</x:f>
        <x:v>4.5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38" customHeight="1">
      <x:c r="A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B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C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D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E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F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G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H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I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J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K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  <x:c r="L16" s="343" t="str">
        <x:v>정전기: 주 대상은 기본 공격 + 0.75A_side, 주변은 0.75A_side. 절단: 기본 공격과 별도로 1.5A_side 추가. 최대 이동속도 Lv.5에서는 v=이동거리/0.1초로 계산. 치명타는 기본 공격에만 적용하고 모든 신규 스킬에는 후면 배율을 적용.</x:v>
      </x:c>
    </x:row>
  </x:sheetData>
  <x:mergeCells>
    <x:mergeCell ref="A1:L1"/>
    <x:mergeCell ref="A16:L16"/>
  </x:mergeCells>
  <x:pageMargins left="0.7" right="0.7" top="0.75" bottom="0.75" header="0.3" footer="0.3"/>
  <x:tableParts count="1">
    <x:tablePart xmlns:r="http://schemas.openxmlformats.org/officeDocument/2006/relationships" r:id="Rf4b222c7a45344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290" t="str">
        <x:v>SimpleGame 2분 밸런스 요약</x:v>
      </x:c>
      <x:c r="B1" s="290" t="str">
        <x:v>SimpleGame 2분 밸런스 요약</x:v>
      </x:c>
      <x:c r="C1" s="290" t="str">
        <x:v>SimpleGame 2분 밸런스 요약</x:v>
      </x:c>
      <x:c r="D1" s="290" t="str">
        <x:v>SimpleGame 2분 밸런스 요약</x:v>
      </x:c>
      <x:c r="E1" s="290" t="str">
        <x:v>SimpleGame 2분 밸런스 요약</x:v>
      </x:c>
      <x:c r="F1" s="290" t="str">
        <x:v>SimpleGame 2분 밸런스 요약</x:v>
      </x:c>
      <x:c r="G1" s="290" t="str">
        <x:v>SimpleGame 2분 밸런스 요약</x:v>
      </x:c>
      <x:c r="H1" s="290" t="str">
        <x:v>SimpleGame 2분 밸런스 요약</x:v>
      </x:c>
      <x:c r="I1" s="290" t="str">
        <x:v>SimpleGame 2분 밸런스 요약</x:v>
      </x:c>
      <x:c r="J1" s="290" t="str">
        <x:v>SimpleGame 2분 밸런스 요약</x:v>
      </x:c>
      <x:c r="K1" s="290" t="str">
        <x:v>SimpleGame 2분 밸런스 요약</x:v>
      </x:c>
      <x:c r="L1" s="290" t="str">
        <x:v>SimpleGame 2분 밸런스 요약</x:v>
      </x:c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KPI</x:v>
      </x:c>
      <x:c r="B3" s="328" t="str">
        <x:v>값</x:v>
      </x:c>
      <x:c r="C3" s="45"/>
      <x:c r="D3" s="326" t="str">
        <x:v>핵심 수학 모델</x:v>
      </x:c>
      <x:c r="E3" s="327" t="str">
        <x:v>핵심 수학 모델</x:v>
      </x:c>
      <x:c r="F3" s="327" t="str">
        <x:v>핵심 수학 모델</x:v>
      </x:c>
      <x:c r="G3" s="327" t="str">
        <x:v>핵심 수학 모델</x:v>
      </x:c>
      <x:c r="H3" s="327" t="str">
        <x:v>핵심 수학 모델</x:v>
      </x:c>
      <x:c r="I3" s="327" t="str">
        <x:v>핵심 수학 모델</x:v>
      </x:c>
      <x:c r="J3" s="327" t="str">
        <x:v>핵심 수학 모델</x:v>
      </x:c>
      <x:c r="K3" s="327" t="str">
        <x:v>핵심 수학 모델</x:v>
      </x:c>
      <x:c r="L3" s="328" t="str">
        <x:v>핵심 수학 모델</x:v>
      </x:c>
    </x:row>
    <x:row r="4" ht="28" customHeight="1">
      <x:c r="A4" s="393" t="str">
        <x:v>플레이 시간(초)</x:v>
      </x:c>
      <x:c r="B4" s="394" t="n">
        <x:v>120</x:v>
      </x:c>
      <x:c r="C4" s="45"/>
      <x:c r="D4" s="395" t="str">
        <x:v>플레이어 공격</x:v>
      </x:c>
      <x:c r="E4" s="396" t="str">
        <x:v>A(P) = BaseAttack × 1.7^(P−1)</x:v>
      </x:c>
      <x:c r="F4" s="396" t="str">
        <x:v>A(P) = BaseAttack × 1.7^(P−1)</x:v>
      </x:c>
      <x:c r="G4" s="396" t="str">
        <x:v>A(P) = BaseAttack × 1.7^(P−1)</x:v>
      </x:c>
      <x:c r="H4" s="396" t="str">
        <x:v>A(P) = BaseAttack × 1.7^(P−1)</x:v>
      </x:c>
      <x:c r="I4" s="396" t="str">
        <x:v>A(P) = BaseAttack × 1.7^(P−1)</x:v>
      </x:c>
      <x:c r="J4" s="396" t="str">
        <x:v>A(P) = BaseAttack × 1.7^(P−1)</x:v>
      </x:c>
      <x:c r="K4" s="396" t="str">
        <x:v>A(P) = BaseAttack × 1.7^(P−1)</x:v>
      </x:c>
      <x:c r="L4" s="396" t="str">
        <x:v>A(P) = BaseAttack × 1.7^(P−1)</x:v>
      </x:c>
    </x:row>
    <x:row r="5" ht="28" customHeight="1">
      <x:c r="A5" s="397" t="str">
        <x:v>총 스폰 수</x:v>
      </x:c>
      <x:c r="B5" s="398" t="n">
        <x:f>COUNTA('StageSpawn'!$A$2:$A$251)</x:f>
        <x:v>250</x:v>
      </x:c>
      <x:c r="C5" s="45"/>
      <x:c r="D5" s="395" t="str">
        <x:v>적 체력</x:v>
      </x:c>
      <x:c r="E5" s="396" t="str">
        <x:v>H(E) = BaseHP × 1.7^(max(1,E−Offset)−1)</x:v>
      </x:c>
      <x:c r="F5" s="396" t="str">
        <x:v>H(E) = BaseHP × 1.7^(max(1,E−Offset)−1)</x:v>
      </x:c>
      <x:c r="G5" s="396" t="str">
        <x:v>H(E) = BaseHP × 1.7^(max(1,E−Offset)−1)</x:v>
      </x:c>
      <x:c r="H5" s="396" t="str">
        <x:v>H(E) = BaseHP × 1.7^(max(1,E−Offset)−1)</x:v>
      </x:c>
      <x:c r="I5" s="396" t="str">
        <x:v>H(E) = BaseHP × 1.7^(max(1,E−Offset)−1)</x:v>
      </x:c>
      <x:c r="J5" s="396" t="str">
        <x:v>H(E) = BaseHP × 1.7^(max(1,E−Offset)−1)</x:v>
      </x:c>
      <x:c r="K5" s="396" t="str">
        <x:v>H(E) = BaseHP × 1.7^(max(1,E−Offset)−1)</x:v>
      </x:c>
      <x:c r="L5" s="396" t="str">
        <x:v>H(E) = BaseHP × 1.7^(max(1,E−Offset)−1)</x:v>
      </x:c>
    </x:row>
    <x:row r="6" ht="28" customHeight="1">
      <x:c r="A6" s="397" t="str">
        <x:v>총 획득 가능 XP</x:v>
      </x:c>
      <x:c r="B6" s="398" t="n">
        <x:f>SUM('WavePlan'!$H$6:$H$17)</x:f>
        <x:v>289</x:v>
      </x:c>
      <x:c r="C6" s="45"/>
      <x:c r="D6" s="395" t="str">
        <x:v>적 공격</x:v>
      </x:c>
      <x:c r="E6" s="396" t="str">
        <x:v>D(E) = ceil(BaseDamage × (1 + 0.05(E−1)))</x:v>
      </x:c>
      <x:c r="F6" s="396" t="str">
        <x:v>D(E) = ceil(BaseDamage × (1 + 0.05(E−1)))</x:v>
      </x:c>
      <x:c r="G6" s="396" t="str">
        <x:v>D(E) = ceil(BaseDamage × (1 + 0.05(E−1)))</x:v>
      </x:c>
      <x:c r="H6" s="396" t="str">
        <x:v>D(E) = ceil(BaseDamage × (1 + 0.05(E−1)))</x:v>
      </x:c>
      <x:c r="I6" s="396" t="str">
        <x:v>D(E) = ceil(BaseDamage × (1 + 0.05(E−1)))</x:v>
      </x:c>
      <x:c r="J6" s="396" t="str">
        <x:v>D(E) = ceil(BaseDamage × (1 + 0.05(E−1)))</x:v>
      </x:c>
      <x:c r="K6" s="396" t="str">
        <x:v>D(E) = ceil(BaseDamage × (1 + 0.05(E−1)))</x:v>
      </x:c>
      <x:c r="L6" s="396" t="str">
        <x:v>D(E) = ceil(BaseDamage × (1 + 0.05(E−1)))</x:v>
      </x:c>
    </x:row>
    <x:row r="7" ht="28" customHeight="1">
      <x:c r="A7" s="397" t="str">
        <x:v>예상 최종 플레이어 레벨</x:v>
      </x:c>
      <x:c r="B7" s="398" t="n">
        <x:f>1+COUNTIF('PlayerLevelExp'!$C$2:$C$21,"&lt;="&amp;B6)</x:f>
        <x:v>14</x:v>
      </x:c>
      <x:c r="C7" s="45"/>
      <x:c r="D7" s="395" t="str">
        <x:v>필요 경험치</x:v>
      </x:c>
      <x:c r="E7" s="396" t="str">
        <x:v>R(L) = 6 + 2L, 누적 C(L) = Σ R(k)</x:v>
      </x:c>
      <x:c r="F7" s="396" t="str">
        <x:v>R(L) = 6 + 2L, 누적 C(L) = Σ R(k)</x:v>
      </x:c>
      <x:c r="G7" s="396" t="str">
        <x:v>R(L) = 6 + 2L, 누적 C(L) = Σ R(k)</x:v>
      </x:c>
      <x:c r="H7" s="396" t="str">
        <x:v>R(L) = 6 + 2L, 누적 C(L) = Σ R(k)</x:v>
      </x:c>
      <x:c r="I7" s="396" t="str">
        <x:v>R(L) = 6 + 2L, 누적 C(L) = Σ R(k)</x:v>
      </x:c>
      <x:c r="J7" s="396" t="str">
        <x:v>R(L) = 6 + 2L, 누적 C(L) = Σ R(k)</x:v>
      </x:c>
      <x:c r="K7" s="396" t="str">
        <x:v>R(L) = 6 + 2L, 누적 C(L) = Σ R(k)</x:v>
      </x:c>
      <x:c r="L7" s="396" t="str">
        <x:v>R(L) = 6 + 2L, 누적 C(L) = Σ R(k)</x:v>
      </x:c>
    </x:row>
    <x:row r="8" ht="28" customHeight="1">
      <x:c r="A8" s="397" t="str">
        <x:v>레벨업 카드 횟수</x:v>
      </x:c>
      <x:c r="B8" s="398" t="n">
        <x:f>B7-1</x:f>
        <x:v>13</x:v>
      </x:c>
      <x:c r="C8" s="45"/>
      <x:c r="D8" s="395" t="str">
        <x:v>정전기</x:v>
      </x:c>
      <x:c r="E8" s="396" t="str">
        <x:v>주 대상 = 기본 + 0.75A_side, 주변 = 0.75A_side, 수 = 2L+1</x:v>
      </x:c>
      <x:c r="F8" s="396" t="str">
        <x:v>주 대상 = 기본 + 0.75A_side, 주변 = 0.75A_side, 수 = 2L+1</x:v>
      </x:c>
      <x:c r="G8" s="396" t="str">
        <x:v>주 대상 = 기본 + 0.75A_side, 주변 = 0.75A_side, 수 = 2L+1</x:v>
      </x:c>
      <x:c r="H8" s="396" t="str">
        <x:v>주 대상 = 기본 + 0.75A_side, 주변 = 0.75A_side, 수 = 2L+1</x:v>
      </x:c>
      <x:c r="I8" s="396" t="str">
        <x:v>주 대상 = 기본 + 0.75A_side, 주변 = 0.75A_side, 수 = 2L+1</x:v>
      </x:c>
      <x:c r="J8" s="396" t="str">
        <x:v>주 대상 = 기본 + 0.75A_side, 주변 = 0.75A_side, 수 = 2L+1</x:v>
      </x:c>
      <x:c r="K8" s="396" t="str">
        <x:v>주 대상 = 기본 + 0.75A_side, 주변 = 0.75A_side, 수 = 2L+1</x:v>
      </x:c>
      <x:c r="L8" s="396" t="str">
        <x:v>주 대상 = 기본 + 0.75A_side, 주변 = 0.75A_side, 수 = 2L+1</x:v>
      </x:c>
    </x:row>
    <x:row r="9" ht="28" customHeight="1">
      <x:c r="A9" s="397" t="str">
        <x:v>최대 평균 레벨 격차</x:v>
      </x:c>
      <x:c r="B9" s="399" t="n">
        <x:f>MAX('WavePlan'!$N$6:$N$17)</x:f>
        <x:v>2.4761904761904763</x:v>
      </x:c>
      <x:c r="C9" s="45"/>
      <x:c r="D9" s="395" t="str">
        <x:v>절단</x:v>
      </x:c>
      <x:c r="E9" s="396" t="str">
        <x:v>관통 경로 대상마다 기본 피해 + 1.5A_side</x:v>
      </x:c>
      <x:c r="F9" s="396" t="str">
        <x:v>관통 경로 대상마다 기본 피해 + 1.5A_side</x:v>
      </x:c>
      <x:c r="G9" s="396" t="str">
        <x:v>관통 경로 대상마다 기본 피해 + 1.5A_side</x:v>
      </x:c>
      <x:c r="H9" s="396" t="str">
        <x:v>관통 경로 대상마다 기본 피해 + 1.5A_side</x:v>
      </x:c>
      <x:c r="I9" s="396" t="str">
        <x:v>관통 경로 대상마다 기본 피해 + 1.5A_side</x:v>
      </x:c>
      <x:c r="J9" s="396" t="str">
        <x:v>관통 경로 대상마다 기본 피해 + 1.5A_side</x:v>
      </x:c>
      <x:c r="K9" s="396" t="str">
        <x:v>관통 경로 대상마다 기본 피해 + 1.5A_side</x:v>
      </x:c>
      <x:c r="L9" s="396" t="str">
        <x:v>관통 경로 대상마다 기본 피해 + 1.5A_side</x:v>
      </x:c>
    </x:row>
    <x:row r="10" ht="28" customHeight="1">
      <x:c r="A10" s="397" t="str">
        <x:v>보스 수</x:v>
      </x:c>
      <x:c r="B10" s="398" t="n">
        <x:f>COUNTIF('StageSpawn'!$F$2:$F$251,"GoblinBoss")</x:f>
        <x:v>1</x:v>
      </x:c>
      <x:c r="C10" s="45"/>
      <x:c r="D10" s="395" t="str">
        <x:v>이동 참격</x:v>
      </x:c>
      <x:c r="E10" s="396" t="str">
        <x:v>확률 = 10% + 3%(L−1), 크기 = 1 + 10%(L−1), 총 타격 = L</x:v>
      </x:c>
      <x:c r="F10" s="396" t="str">
        <x:v>확률 = 10% + 3%(L−1), 크기 = 1 + 10%(L−1), 총 타격 = L</x:v>
      </x:c>
      <x:c r="G10" s="396" t="str">
        <x:v>확률 = 10% + 3%(L−1), 크기 = 1 + 10%(L−1), 총 타격 = L</x:v>
      </x:c>
      <x:c r="H10" s="396" t="str">
        <x:v>확률 = 10% + 3%(L−1), 크기 = 1 + 10%(L−1), 총 타격 = L</x:v>
      </x:c>
      <x:c r="I10" s="396" t="str">
        <x:v>확률 = 10% + 3%(L−1), 크기 = 1 + 10%(L−1), 총 타격 = L</x:v>
      </x:c>
      <x:c r="J10" s="396" t="str">
        <x:v>확률 = 10% + 3%(L−1), 크기 = 1 + 10%(L−1), 총 타격 = L</x:v>
      </x:c>
      <x:c r="K10" s="396" t="str">
        <x:v>확률 = 10% + 3%(L−1), 크기 = 1 + 10%(L−1), 총 타격 = L</x:v>
      </x:c>
      <x:c r="L10" s="396" t="str">
        <x:v>확률 = 10% + 3%(L−1), 크기 = 1 + 10%(L−1), 총 타격 = L</x:v>
      </x:c>
    </x:row>
    <x:row r="11" ht="28" customHeight="1">
      <x:c r="A11" s="45"/>
      <x:c r="B11" s="45"/>
      <x:c r="C11" s="45"/>
      <x:c r="D11" s="395" t="str">
        <x:v>후면 규칙</x:v>
      </x:c>
      <x:c r="E11" s="396" t="str">
        <x:v>A_side = A(P) × 3 (후면), 신규 스킬에도 동일 적용</x:v>
      </x:c>
      <x:c r="F11" s="396" t="str">
        <x:v>A_side = A(P) × 3 (후면), 신규 스킬에도 동일 적용</x:v>
      </x:c>
      <x:c r="G11" s="396" t="str">
        <x:v>A_side = A(P) × 3 (후면), 신규 스킬에도 동일 적용</x:v>
      </x:c>
      <x:c r="H11" s="396" t="str">
        <x:v>A_side = A(P) × 3 (후면), 신규 스킬에도 동일 적용</x:v>
      </x:c>
      <x:c r="I11" s="396" t="str">
        <x:v>A_side = A(P) × 3 (후면), 신규 스킬에도 동일 적용</x:v>
      </x:c>
      <x:c r="J11" s="396" t="str">
        <x:v>A_side = A(P) × 3 (후면), 신규 스킬에도 동일 적용</x:v>
      </x:c>
      <x:c r="K11" s="396" t="str">
        <x:v>A_side = A(P) × 3 (후면), 신규 스킬에도 동일 적용</x:v>
      </x:c>
      <x:c r="L11" s="396" t="str">
        <x:v>A_side = A(P) × 3 (후면), 신규 스킬에도 동일 적용</x:v>
      </x:c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</x:row>
    <x:row r="13">
      <x:c r="A13" s="326" t="str">
        <x:v>Wave</x:v>
      </x:c>
      <x:c r="B13" s="327" t="str">
        <x:v>EnemyCount</x:v>
      </x:c>
      <x:c r="C13" s="328" t="str">
        <x:v>AvgEnemyLevel</x:v>
      </x:c>
      <x:c r="D13" s="45"/>
      <x:c r="E13" s="45"/>
      <x:c r="F13" s="45"/>
      <x:c r="G13" s="45"/>
      <x:c r="H13" s="45"/>
      <x:c r="I13" s="45"/>
      <x:c r="J13" s="45"/>
      <x:c r="K13" s="45"/>
      <x:c r="L13" s="45"/>
    </x:row>
    <x:row r="14">
      <x:c r="A14" s="45" t="str">
        <x:f>'WavePlan'!A6</x:f>
        <x:v>WAVE_01</x:v>
      </x:c>
      <x:c r="B14" s="45" t="n">
        <x:f>'WavePlan'!C6</x:f>
        <x:v>6</x:v>
      </x:c>
      <x:c r="C14" s="53" t="n">
        <x:f>'WavePlan'!M6</x:f>
        <x:v>1.1666666666666667</x:v>
      </x:c>
      <x:c r="D14" s="45"/>
      <x:c r="E14" s="45"/>
      <x:c r="F14" s="45"/>
      <x:c r="G14" s="45"/>
      <x:c r="H14" s="45"/>
      <x:c r="I14" s="45"/>
      <x:c r="J14" s="45"/>
      <x:c r="K14" s="45"/>
      <x:c r="L14" s="45"/>
    </x:row>
    <x:row r="15">
      <x:c r="A15" s="45" t="str">
        <x:f>'WavePlan'!A7</x:f>
        <x:v>WAVE_02</x:v>
      </x:c>
      <x:c r="B15" s="45" t="n">
        <x:f>'WavePlan'!C7</x:f>
        <x:v>8</x:v>
      </x:c>
      <x:c r="C15" s="53" t="n">
        <x:f>'WavePlan'!M7</x:f>
        <x:v>2.25</x:v>
      </x:c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>
      <x:c r="A16" s="45" t="str">
        <x:f>'WavePlan'!A8</x:f>
        <x:v>WAVE_03</x:v>
      </x:c>
      <x:c r="B16" s="45" t="n">
        <x:f>'WavePlan'!C8</x:f>
        <x:v>10</x:v>
      </x:c>
      <x:c r="C16" s="53" t="n">
        <x:f>'WavePlan'!M8</x:f>
        <x:v>3.5</x:v>
      </x:c>
      <x:c r="D16" s="45"/>
      <x:c r="E16" s="45"/>
      <x:c r="F16" s="45"/>
      <x:c r="G16" s="45"/>
      <x:c r="H16" s="45"/>
      <x:c r="I16" s="45"/>
      <x:c r="J16" s="45"/>
      <x:c r="K16" s="45"/>
      <x:c r="L16" s="45"/>
    </x:row>
    <x:row r="17">
      <x:c r="A17" s="45" t="str">
        <x:f>'WavePlan'!A9</x:f>
        <x:v>WAVE_04</x:v>
      </x:c>
      <x:c r="B17" s="45" t="n">
        <x:f>'WavePlan'!C9</x:f>
        <x:v>12</x:v>
      </x:c>
      <x:c r="C17" s="53" t="n">
        <x:f>'WavePlan'!M9</x:f>
        <x:v>4.416666666666667</x:v>
      </x:c>
      <x:c r="D17" s="45"/>
      <x:c r="E17" s="45"/>
      <x:c r="F17" s="45"/>
      <x:c r="G17" s="45"/>
      <x:c r="H17" s="45"/>
      <x:c r="I17" s="45"/>
      <x:c r="J17" s="45"/>
      <x:c r="K17" s="45"/>
      <x:c r="L17" s="45"/>
    </x:row>
    <x:row r="18">
      <x:c r="A18" s="45" t="str">
        <x:f>'WavePlan'!A10</x:f>
        <x:v>WAVE_05</x:v>
      </x:c>
      <x:c r="B18" s="45" t="n">
        <x:f>'WavePlan'!C10</x:f>
        <x:v>15</x:v>
      </x:c>
      <x:c r="C18" s="53" t="n">
        <x:f>'WavePlan'!M10</x:f>
        <x:v>6.466666666666667</x:v>
      </x:c>
      <x:c r="D18" s="45"/>
      <x:c r="E18" s="45"/>
      <x:c r="F18" s="45"/>
      <x:c r="G18" s="45"/>
      <x:c r="H18" s="45"/>
      <x:c r="I18" s="45"/>
      <x:c r="J18" s="45"/>
      <x:c r="K18" s="45"/>
      <x:c r="L18" s="45"/>
    </x:row>
    <x:row r="19">
      <x:c r="A19" s="45" t="str">
        <x:f>'WavePlan'!A11</x:f>
        <x:v>WAVE_06</x:v>
      </x:c>
      <x:c r="B19" s="45" t="n">
        <x:f>'WavePlan'!C11</x:f>
        <x:v>18</x:v>
      </x:c>
      <x:c r="C19" s="53" t="n">
        <x:f>'WavePlan'!M11</x:f>
        <x:v>7.444444444444445</x:v>
      </x:c>
      <x:c r="D19" s="45"/>
      <x:c r="E19" s="45"/>
      <x:c r="F19" s="45"/>
      <x:c r="G19" s="45"/>
      <x:c r="H19" s="45"/>
      <x:c r="I19" s="45"/>
      <x:c r="J19" s="45"/>
      <x:c r="K19" s="45"/>
      <x:c r="L19" s="45"/>
    </x:row>
    <x:row r="20">
      <x:c r="A20" s="45" t="str">
        <x:f>'WavePlan'!A12</x:f>
        <x:v>WAVE_07</x:v>
      </x:c>
      <x:c r="B20" s="45" t="n">
        <x:f>'WavePlan'!C12</x:f>
        <x:v>21</x:v>
      </x:c>
      <x:c r="C20" s="53" t="n">
        <x:f>'WavePlan'!M12</x:f>
        <x:v>8.476190476190476</x:v>
      </x:c>
      <x:c r="D20" s="45"/>
      <x:c r="E20" s="45"/>
      <x:c r="F20" s="45"/>
      <x:c r="G20" s="45"/>
      <x:c r="H20" s="45"/>
      <x:c r="I20" s="45"/>
      <x:c r="J20" s="45"/>
      <x:c r="K20" s="45"/>
      <x:c r="L20" s="45"/>
    </x:row>
    <x:row r="21">
      <x:c r="A21" s="45" t="str">
        <x:f>'WavePlan'!A13</x:f>
        <x:v>WAVE_08</x:v>
      </x:c>
      <x:c r="B21" s="45" t="n">
        <x:f>'WavePlan'!C13</x:f>
        <x:v>24</x:v>
      </x:c>
      <x:c r="C21" s="53" t="n">
        <x:f>'WavePlan'!M13</x:f>
        <x:v>10.458333333333334</x:v>
      </x:c>
      <x:c r="D21" s="45"/>
      <x:c r="E21" s="45"/>
      <x:c r="F21" s="45"/>
      <x:c r="G21" s="45"/>
      <x:c r="H21" s="45"/>
      <x:c r="I21" s="45"/>
      <x:c r="J21" s="45"/>
      <x:c r="K21" s="45"/>
      <x:c r="L21" s="45"/>
    </x:row>
    <x:row r="22">
      <x:c r="A22" s="45" t="str">
        <x:f>'WavePlan'!A14</x:f>
        <x:v>WAVE_09</x:v>
      </x:c>
      <x:c r="B22" s="45" t="n">
        <x:f>'WavePlan'!C14</x:f>
        <x:v>28</x:v>
      </x:c>
      <x:c r="C22" s="53" t="n">
        <x:f>'WavePlan'!M14</x:f>
        <x:v>11.464285714285714</x:v>
      </x:c>
      <x:c r="D22" s="45"/>
      <x:c r="E22" s="45"/>
      <x:c r="F22" s="45"/>
      <x:c r="G22" s="45"/>
      <x:c r="H22" s="45"/>
      <x:c r="I22" s="45"/>
      <x:c r="J22" s="45"/>
      <x:c r="K22" s="45"/>
      <x:c r="L22" s="45"/>
    </x:row>
    <x:row r="23">
      <x:c r="A23" s="45" t="str">
        <x:f>'WavePlan'!A15</x:f>
        <x:v>WAVE_10</x:v>
      </x:c>
      <x:c r="B23" s="45" t="n">
        <x:f>'WavePlan'!C15</x:f>
        <x:v>32</x:v>
      </x:c>
      <x:c r="C23" s="53" t="n">
        <x:f>'WavePlan'!M15</x:f>
        <x:v>12.46875</x:v>
      </x:c>
      <x:c r="D23" s="45"/>
      <x:c r="E23" s="45"/>
      <x:c r="F23" s="45"/>
      <x:c r="G23" s="45"/>
      <x:c r="H23" s="45"/>
      <x:c r="I23" s="45"/>
      <x:c r="J23" s="45"/>
      <x:c r="K23" s="45"/>
      <x:c r="L23" s="45"/>
    </x:row>
    <x:row r="24">
      <x:c r="A24" s="45" t="str">
        <x:f>'WavePlan'!A16</x:f>
        <x:v>WAVE_11</x:v>
      </x:c>
      <x:c r="B24" s="45" t="n">
        <x:f>'WavePlan'!C16</x:f>
        <x:v>36</x:v>
      </x:c>
      <x:c r="C24" s="53" t="n">
        <x:f>'WavePlan'!M16</x:f>
        <x:v>13.444444444444445</x:v>
      </x:c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 t="str">
        <x:f>'WavePlan'!A17</x:f>
        <x:v>WAVE_12</x:v>
      </x:c>
      <x:c r="B25" s="45" t="n">
        <x:f>'WavePlan'!C17</x:f>
        <x:v>40</x:v>
      </x:c>
      <x:c r="C25" s="53" t="n">
        <x:f>'WavePlan'!M17</x:f>
        <x:v>15.45</x:v>
      </x:c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>
      <x:c r="A27" s="400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B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C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D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E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F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G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H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I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J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K27" s="401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L27" s="402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</x:row>
    <x:row r="28">
      <x:c r="A28" s="403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B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C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D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E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F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G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H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I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J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K28" s="404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L28" s="405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</x:row>
    <x:row r="29">
      <x:c r="A29" s="406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B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C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D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E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F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G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H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I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J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K29" s="407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  <x:c r="L29" s="408" t="str">
        <x:v>밀도 의도: Vampire Survivors의 시간 구간별 최소 적 밀도와 짧아지는 스폰 간격을 참고하되 클릭 전투에 맞게 축소했습니다. N(w)=4+2w+floor((w-1)^2/10)으로 W1 6마리에서 W12 40마리까지 증가합니다. 일반 적 EXP를 낮춰 전부 처치해도 최종 레벨은 약 14로 제한하며, 후반 적 레벨은 예상 플레이어보다 높게 유지합니다.</x:v>
      </x:c>
    </x:row>
  </x:sheetData>
  <x:mergeCells>
    <x:mergeCell ref="A1:L1"/>
    <x:mergeCell ref="D3:L3"/>
    <x:mergeCell ref="E4:L4"/>
    <x:mergeCell ref="E5:L5"/>
    <x:mergeCell ref="E6:L6"/>
    <x:mergeCell ref="E7:L7"/>
    <x:mergeCell ref="E8:L8"/>
    <x:mergeCell ref="E9:L9"/>
    <x:mergeCell ref="E10:L10"/>
    <x:mergeCell ref="E11:L11"/>
    <x:mergeCell ref="A27:L29"/>
  </x:mergeCells>
  <x:pageMargins left="0.7" right="0.7" top="0.75" bottom="0.75" header="0.3" footer="0.3"/>
  <x:drawing xmlns:r="http://schemas.openxmlformats.org/officeDocument/2006/relationships" r:id="R74bbf1e37fbc4b67"/>
</x:worksheet>
</file>