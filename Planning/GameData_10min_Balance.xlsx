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452e9342c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802e28de9dd467b"/>
    <x:sheet xmlns:r="http://schemas.openxmlformats.org/officeDocument/2006/relationships" name="EnemyBalance" sheetId="3" r:id="Re3857c53c8784eb5"/>
    <x:sheet xmlns:r="http://schemas.openxmlformats.org/officeDocument/2006/relationships" name="StageSpawn" sheetId="2" r:id="R9274dc01bdb945b4"/>
    <x:sheet xmlns:r="http://schemas.openxmlformats.org/officeDocument/2006/relationships" name="PlayerBalance" sheetId="8" r:id="R5b83041dc0324366"/>
    <x:sheet xmlns:r="http://schemas.openxmlformats.org/officeDocument/2006/relationships" name="PlayerLevelExp" sheetId="4" r:id="R9c911a637dd04e10"/>
    <x:sheet xmlns:r="http://schemas.openxmlformats.org/officeDocument/2006/relationships" name="AccountLevelExp" sheetId="5" r:id="R3dfb7f5395a74e41"/>
    <x:sheet xmlns:r="http://schemas.openxmlformats.org/officeDocument/2006/relationships" name="GlobalBalance" sheetId="6" r:id="Ra9f62af83bfb4594"/>
    <x:sheet xmlns:r="http://schemas.openxmlformats.org/officeDocument/2006/relationships" name="LevelUpCard" sheetId="7" r:id="Rbd830dda0d3e4d19"/>
    <x:sheet xmlns:r="http://schemas.openxmlformats.org/officeDocument/2006/relationships" name="WavePlan" sheetId="9" r:id="R6848be7764604e5d"/>
    <x:sheet xmlns:r="http://schemas.openxmlformats.org/officeDocument/2006/relationships" name="CardMath" sheetId="10" r:id="R96e9c34a24264b86"/>
    <x:sheet xmlns:r="http://schemas.openxmlformats.org/officeDocument/2006/relationships" name="BalanceSummary" sheetId="11" r:id="R35512fc2af08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</x:numFmts>
  <x:fonts count="2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</x:fills>
  <x:borders count="32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</x:borders>
  <x:cellStyleXfs count="2">
    <x:xf numFmtId="0" fontId="0" fillId="0" borderId="0"/>
    <x:xf numFmtId="0" fontId="4" fillId="0" borderId="0"/>
  </x:cellStyleXfs>
  <x:cellXfs count="524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ed28438194545" /><Relationship Type="http://schemas.openxmlformats.org/officeDocument/2006/relationships/theme" Target="/xl/theme/theme1.xml" Id="R42c52dff6eb24745" /><Relationship Type="http://schemas.microsoft.com/office/2022/11/relationships/FeaturePropertyBag" Target="/xl/featurePropertyBag/featurePropertyBag.xml" Id="R8d94e8eff2564500" /><Relationship Type="http://schemas.openxmlformats.org/officeDocument/2006/relationships/sharedStrings" Target="/xl/sharedStrings.xml" Id="Rd053a198d6eb4656" /><Relationship Type="http://schemas.openxmlformats.org/officeDocument/2006/relationships/worksheet" Target="/xl/worksheets/sheet1.xml" Id="R4802e28de9dd467b" /><Relationship Type="http://schemas.openxmlformats.org/officeDocument/2006/relationships/worksheet" Target="/xl/worksheets/sheet2.xml" Id="Re3857c53c8784eb5" /><Relationship Type="http://schemas.openxmlformats.org/officeDocument/2006/relationships/worksheet" Target="/xl/worksheets/sheet3.xml" Id="R9274dc01bdb945b4" /><Relationship Type="http://schemas.openxmlformats.org/officeDocument/2006/relationships/worksheet" Target="/xl/worksheets/sheet4.xml" Id="R5b83041dc0324366" /><Relationship Type="http://schemas.openxmlformats.org/officeDocument/2006/relationships/worksheet" Target="/xl/worksheets/sheet5.xml" Id="R9c911a637dd04e10" /><Relationship Type="http://schemas.openxmlformats.org/officeDocument/2006/relationships/worksheet" Target="/xl/worksheets/sheet6.xml" Id="R3dfb7f5395a74e41" /><Relationship Type="http://schemas.openxmlformats.org/officeDocument/2006/relationships/worksheet" Target="/xl/worksheets/sheet7.xml" Id="Ra9f62af83bfb4594" /><Relationship Type="http://schemas.openxmlformats.org/officeDocument/2006/relationships/worksheet" Target="/xl/worksheets/sheet8.xml" Id="Rbd830dda0d3e4d19" /><Relationship Type="http://schemas.openxmlformats.org/officeDocument/2006/relationships/worksheet" Target="/xl/worksheets/sheet9.xml" Id="R6848be7764604e5d" /><Relationship Type="http://schemas.openxmlformats.org/officeDocument/2006/relationships/worksheet" Target="/xl/worksheets/sheet10.xml" Id="R96e9c34a24264b86" /><Relationship Type="http://schemas.openxmlformats.org/officeDocument/2006/relationships/worksheet" Target="/xl/worksheets/sheet11.xml" Id="R35512fc2af0844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e0feb0a9534a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e0feb0a9534ac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9" name="EnemyBalanceTable" displayName="EnemyBalanceTable" ref="A1:U5" headerRowCount="1" totalsRowCount="0" totalsRowShown="0">
  <x:tableColumns count="21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Multiplier"/>
    <x:tableColumn id="17" name="LevelDifficultyOffset"/>
    <x:tableColumn id="18" name="RearDamageMultiplier"/>
    <x:tableColumn id="19" name="OneHitPlayerLevelAdvantage"/>
    <x:tableColumn id="20" name="CombatProfileId"/>
    <x:tableColumn id="21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8" name="StageSpawn10Min" displayName="StageSpawn10Min" ref="A1:G2579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1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Multiplier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0" name="LevelUpCard10Min" displayName="LevelUpCard10Min" ref="A1:O11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1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위치 규칙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42" name="CardMath10Min" displayName="CardMath10Min" ref="A9:M14" headerRowCount="1" totalsRowCount="0" totalsRowShown="0">
  <x:tableColumns count="13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0e4867dfb347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4df32f179944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19d2da21b14a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da2e0599bd45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1dc7ea2ba341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361d1ac34642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daa632678440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313e84acff43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ee0d9e21c7a4a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57eaebb99440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4종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10종 / 한국어 이름·설명 / 절단 선행 조건</x:v>
      </x:c>
      <x:c r="D16" s="80" t="str">
        <x:v>예</x:v>
      </x:c>
      <x:c r="E16" s="80" t="str">
        <x:v>예</x:v>
      </x:c>
      <x:c r="F16" s="80" t="str">
        <x:v>10행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54" customHeight="1">
      <x:c r="A21" s="511" t="str">
        <x:v>초반에는 스킬이 거의 없으므로 체력 관문을 5웨이브 1.2배, 8웨이브 1.5배로 약하게 시작합니다. 후반에는 누적된 카드 화력을 고려해 관문 증가폭을 점점 확대하고, 56웨이브부터 9.5배를 적용합니다. 적 수·경험치·공격력 상한 8은 기존 설계를 유지합니다.</x:v>
      </x:c>
      <x:c r="B21" s="512"/>
      <x:c r="C21" s="512"/>
      <x:c r="D21" s="512"/>
      <x:c r="E21" s="512"/>
      <x:c r="F21" s="513"/>
    </x:row>
    <x:row r="22">
      <x:c r="A22" s="332"/>
      <x:c r="B22" s="333"/>
      <x:c r="C22" s="333"/>
      <x:c r="D22" s="333"/>
      <x:c r="E22" s="333"/>
      <x:c r="F22" s="334"/>
    </x:row>
  </x:sheetData>
  <x:mergeCells>
    <x:mergeCell ref="A1:F1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45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45" t="n">
        <x:v>1</x:v>
      </x:c>
      <x:c r="N2" s="45" t="n">
        <x:v>5</x:v>
      </x:c>
      <x:c r="O2" s="52" t="n">
        <x:v>3</x:v>
      </x:c>
      <x:c r="P2" s="51" t="n">
        <x:v>0.85</x:v>
      </x:c>
      <x:c r="Q2" s="45" t="n">
        <x:v>0</x:v>
      </x:c>
      <x:c r="R2" s="45" t="str">
        <x:v>StandardMelee</x:v>
      </x:c>
      <x:c r="S2" s="46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45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45" t="n">
        <x:v>1</x:v>
      </x:c>
      <x:c r="N3" s="45" t="n">
        <x:v>7</x:v>
      </x:c>
      <x:c r="O3" s="52" t="n">
        <x:v>3</x:v>
      </x:c>
      <x:c r="P3" s="51" t="n">
        <x:v>0.85</x:v>
      </x:c>
      <x:c r="Q3" s="45" t="n">
        <x:v>1</x:v>
      </x:c>
      <x:c r="R3" s="45" t="str">
        <x:v>StandardRanged</x:v>
      </x:c>
      <x:c r="S3" s="46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45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45" t="n">
        <x:v>2</x:v>
      </x:c>
      <x:c r="N4" s="45" t="n">
        <x:v>8</x:v>
      </x:c>
      <x:c r="O4" s="52" t="n">
        <x:v>3</x:v>
      </x:c>
      <x:c r="P4" s="51" t="n">
        <x:v>0.85</x:v>
      </x:c>
      <x:c r="Q4" s="45" t="n">
        <x:v>0</x:v>
      </x:c>
      <x:c r="R4" s="45" t="str">
        <x:v>Shield</x:v>
      </x:c>
      <x:c r="S4" s="46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0.5</x:v>
      </x:c>
      <x:c r="D5" s="51" t="n">
        <x:v>2.6</x:v>
      </x:c>
      <x:c r="E5" s="45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45" t="n">
        <x:v>8</x:v>
      </x:c>
      <x:c r="N5" s="45" t="n">
        <x:v>50</x:v>
      </x:c>
      <x:c r="O5" s="52" t="n">
        <x:v>15</x:v>
      </x:c>
      <x:c r="P5" s="51" t="n">
        <x:v>3.4</x:v>
      </x:c>
      <x:c r="Q5" s="45" t="n">
        <x:v>0</x:v>
      </x:c>
      <x:c r="R5" s="45" t="str">
        <x:v>Boss</x:v>
      </x:c>
      <x:c r="S5" s="46" t="b">
        <x:v>1</x:v>
      </x:c>
      <x:c r="T5" s="45"/>
      <x:c r="U5" s="45"/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0e4867dfb347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GoblinBoss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GoblinMelee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GoblinMelee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GoblinMelee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GoblinMelee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GoblinMelee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GoblinMelee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GoblinMelee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GoblinMelee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GoblinMelee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GoblinMelee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GoblinMelee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GoblinMelee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GoblinMelee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GoblinMelee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GoblinMelee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GoblinMelee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GoblinMelee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GoblinMelee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GoblinMelee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GoblinMelee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GoblinMelee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GoblinMelee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GoblinMelee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GoblinMelee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GoblinMelee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GoblinMelee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GoblinMelee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GoblinMelee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GoblinMelee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GoblinMelee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GoblinMelee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GoblinBoss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GoblinMelee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GoblinMelee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GoblinMelee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GoblinMelee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GoblinMelee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GoblinMelee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GoblinMelee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GoblinMelee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GoblinMelee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GoblinMelee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GoblinMelee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GoblinMelee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GoblinMelee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GoblinMelee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GoblinMelee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GoblinMelee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GoblinMelee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GoblinMelee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GoblinMelee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GoblinMelee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GoblinMelee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GoblinMelee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GoblinMelee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GoblinMelee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GoblinMelee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GoblinMelee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GoblinMelee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GoblinMelee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GoblinMelee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GoblinMelee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GoblinMelee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GoblinMelee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GoblinMelee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GoblinMelee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GoblinMelee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GoblinMelee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GoblinMelee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GoblinMelee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GoblinMelee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GoblinMelee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GoblinMelee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GoblinMelee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GoblinMelee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GoblinMelee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GoblinMelee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GoblinMelee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GoblinMelee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GoblinMelee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GoblinMelee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GoblinMelee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GoblinMelee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GoblinMelee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GoblinMelee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GoblinMelee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GoblinMelee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GoblinMelee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GoblinMelee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GoblinMelee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GoblinMelee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GoblinMelee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GoblinMelee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GoblinMelee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GoblinMelee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GoblinMelee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GoblinBoss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GoblinMelee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GoblinMelee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GoblinMelee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GoblinMelee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GoblinMelee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GoblinMelee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GoblinMelee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GoblinMelee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GoblinMelee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GoblinMelee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GoblinMelee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GoblinMelee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GoblinMelee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GoblinMelee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GoblinMelee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GoblinMelee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GoblinMelee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GoblinMelee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GoblinMelee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GoblinMelee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GoblinMelee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GoblinMelee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GoblinMelee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GoblinMelee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GoblinMelee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GoblinMelee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GoblinMelee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GoblinMelee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GoblinMelee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GoblinMelee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GoblinMelee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GoblinMelee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GoblinMelee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GoblinMelee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GoblinMelee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GoblinMelee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GoblinMelee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GoblinMelee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GoblinMelee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GoblinMelee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GoblinMelee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GoblinMelee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GoblinMelee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GoblinMelee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GoblinMelee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GoblinMelee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GoblinMelee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GoblinMelee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GoblinMelee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GoblinMelee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GoblinMelee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GoblinMelee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GoblinMelee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GoblinMelee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GoblinMelee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GoblinMelee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GoblinMelee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GoblinMelee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GoblinMelee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GoblinMelee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GoblinMelee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GoblinMelee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GoblinMelee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GoblinMelee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GoblinMelee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GoblinMelee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GoblinMelee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GoblinMelee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GoblinMelee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GoblinMelee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GoblinMelee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GoblinMelee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GoblinMelee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GoblinMelee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GoblinMelee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GoblinMelee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GoblinMelee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GoblinMelee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GoblinMelee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GoblinMelee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GoblinMelee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GoblinMelee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GoblinMelee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GoblinMelee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GoblinMelee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GoblinBoss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GoblinMelee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GoblinMelee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GoblinMelee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GoblinMelee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GoblinMelee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4df32f179944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5b19d2da21b14a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f>SUM($B$2:B2)</x:f>
        <x:v>8</x:v>
      </x:c>
    </x:row>
    <x:row r="3" ht="20" customHeight="1">
      <x:c r="A3" s="54" t="n">
        <x:v>2</x:v>
      </x:c>
      <x:c r="B3" s="54" t="n">
        <x:v>10</x:v>
      </x:c>
      <x:c r="C3" s="56" t="n">
        <x:f>SUM($B$2:B3)</x:f>
        <x:v>18</x:v>
      </x:c>
    </x:row>
    <x:row r="4" ht="20" customHeight="1">
      <x:c r="A4" s="54" t="n">
        <x:v>3</x:v>
      </x:c>
      <x:c r="B4" s="54" t="n">
        <x:v>12</x:v>
      </x:c>
      <x:c r="C4" s="56" t="n">
        <x:f>SUM($B$2:B4)</x:f>
        <x:v>30</x:v>
      </x:c>
    </x:row>
    <x:row r="5" ht="20" customHeight="1">
      <x:c r="A5" s="54" t="n">
        <x:v>4</x:v>
      </x:c>
      <x:c r="B5" s="54" t="n">
        <x:v>14</x:v>
      </x:c>
      <x:c r="C5" s="56" t="n">
        <x:f>SUM($B$2:B5)</x:f>
        <x:v>44</x:v>
      </x:c>
    </x:row>
    <x:row r="6" ht="20" customHeight="1">
      <x:c r="A6" s="54" t="n">
        <x:v>5</x:v>
      </x:c>
      <x:c r="B6" s="54" t="n">
        <x:v>16</x:v>
      </x:c>
      <x:c r="C6" s="56" t="n">
        <x:f>SUM($B$2:B6)</x:f>
        <x:v>60</x:v>
      </x:c>
    </x:row>
    <x:row r="7" ht="20" customHeight="1">
      <x:c r="A7" s="54" t="n">
        <x:v>6</x:v>
      </x:c>
      <x:c r="B7" s="54" t="n">
        <x:v>18</x:v>
      </x:c>
      <x:c r="C7" s="56" t="n">
        <x:f>SUM($B$2:B7)</x:f>
        <x:v>78</x:v>
      </x:c>
    </x:row>
    <x:row r="8" ht="20" customHeight="1">
      <x:c r="A8" s="54" t="n">
        <x:v>7</x:v>
      </x:c>
      <x:c r="B8" s="54" t="n">
        <x:v>20</x:v>
      </x:c>
      <x:c r="C8" s="56" t="n">
        <x:f>SUM($B$2:B8)</x:f>
        <x:v>98</x:v>
      </x:c>
    </x:row>
    <x:row r="9" ht="20" customHeight="1">
      <x:c r="A9" s="54" t="n">
        <x:v>8</x:v>
      </x:c>
      <x:c r="B9" s="54" t="n">
        <x:v>23</x:v>
      </x:c>
      <x:c r="C9" s="56" t="n">
        <x:f>SUM($B$2:B9)</x:f>
        <x:v>121</x:v>
      </x:c>
    </x:row>
    <x:row r="10" ht="20" customHeight="1">
      <x:c r="A10" s="54" t="n">
        <x:v>9</x:v>
      </x:c>
      <x:c r="B10" s="54" t="n">
        <x:v>25</x:v>
      </x:c>
      <x:c r="C10" s="56" t="n">
        <x:f>SUM($B$2:B10)</x:f>
        <x:v>146</x:v>
      </x:c>
    </x:row>
    <x:row r="11" ht="20" customHeight="1">
      <x:c r="A11" s="54" t="n">
        <x:v>10</x:v>
      </x:c>
      <x:c r="B11" s="54" t="n">
        <x:v>28</x:v>
      </x:c>
      <x:c r="C11" s="56" t="n">
        <x:f>SUM($B$2:B11)</x:f>
        <x:v>174</x:v>
      </x:c>
    </x:row>
    <x:row r="12" ht="20" customHeight="1">
      <x:c r="A12" s="54" t="n">
        <x:v>11</x:v>
      </x:c>
      <x:c r="B12" s="54" t="n">
        <x:v>30</x:v>
      </x:c>
      <x:c r="C12" s="56" t="n">
        <x:f>SUM($B$2:B12)</x:f>
        <x:v>204</x:v>
      </x:c>
    </x:row>
    <x:row r="13" ht="20" customHeight="1">
      <x:c r="A13" s="54" t="n">
        <x:v>12</x:v>
      </x:c>
      <x:c r="B13" s="54" t="n">
        <x:v>33</x:v>
      </x:c>
      <x:c r="C13" s="56" t="n">
        <x:f>SUM($B$2:B13)</x:f>
        <x:v>237</x:v>
      </x:c>
    </x:row>
    <x:row r="14" ht="20" customHeight="1">
      <x:c r="A14" s="54" t="n">
        <x:v>13</x:v>
      </x:c>
      <x:c r="B14" s="54" t="n">
        <x:v>35</x:v>
      </x:c>
      <x:c r="C14" s="56" t="n">
        <x:f>SUM($B$2:B14)</x:f>
        <x:v>272</x:v>
      </x:c>
    </x:row>
    <x:row r="15" ht="20" customHeight="1">
      <x:c r="A15" s="54" t="n">
        <x:v>14</x:v>
      </x:c>
      <x:c r="B15" s="54" t="n">
        <x:v>38</x:v>
      </x:c>
      <x:c r="C15" s="56" t="n">
        <x:f>SUM($B$2:B15)</x:f>
        <x:v>310</x:v>
      </x:c>
    </x:row>
    <x:row r="16" ht="20" customHeight="1">
      <x:c r="A16" s="54" t="n">
        <x:v>15</x:v>
      </x:c>
      <x:c r="B16" s="54" t="n">
        <x:v>40</x:v>
      </x:c>
      <x:c r="C16" s="56" t="n">
        <x:f>SUM($B$2:B16)</x:f>
        <x:v>350</x:v>
      </x:c>
    </x:row>
    <x:row r="17" ht="20" customHeight="1">
      <x:c r="A17" s="54" t="n">
        <x:v>16</x:v>
      </x:c>
      <x:c r="B17" s="54" t="n">
        <x:v>43</x:v>
      </x:c>
      <x:c r="C17" s="56" t="n">
        <x:f>SUM($B$2:B17)</x:f>
        <x:v>393</x:v>
      </x:c>
    </x:row>
    <x:row r="18" ht="20" customHeight="1">
      <x:c r="A18" s="54" t="n">
        <x:v>17</x:v>
      </x:c>
      <x:c r="B18" s="54" t="n">
        <x:v>46</x:v>
      </x:c>
      <x:c r="C18" s="56" t="n">
        <x:f>SUM($B$2:B18)</x:f>
        <x:v>439</x:v>
      </x:c>
    </x:row>
    <x:row r="19" ht="20" customHeight="1">
      <x:c r="A19" s="54" t="n">
        <x:v>18</x:v>
      </x:c>
      <x:c r="B19" s="54" t="n">
        <x:v>49</x:v>
      </x:c>
      <x:c r="C19" s="56" t="n">
        <x:f>SUM($B$2:B19)</x:f>
        <x:v>488</x:v>
      </x:c>
    </x:row>
    <x:row r="20" ht="20" customHeight="1">
      <x:c r="A20" s="54" t="n">
        <x:v>19</x:v>
      </x:c>
      <x:c r="B20" s="54" t="n">
        <x:v>52</x:v>
      </x:c>
      <x:c r="C20" s="56" t="n">
        <x:f>SUM($B$2:B20)</x:f>
        <x:v>540</x:v>
      </x:c>
    </x:row>
    <x:row r="21" ht="20" customHeight="1">
      <x:c r="A21" s="54" t="n">
        <x:v>20</x:v>
      </x:c>
      <x:c r="B21" s="54" t="n">
        <x:v>55</x:v>
      </x:c>
      <x:c r="C21" s="56" t="n">
        <x:f>SUM($B$2:B21)</x:f>
        <x:v>595</x:v>
      </x:c>
    </x:row>
    <x:row r="22">
      <x:c r="A22" t="n">
        <x:v>21</x:v>
      </x:c>
      <x:c r="B22" t="n">
        <x:v>58</x:v>
      </x:c>
      <x:c r="C22" t="n">
        <x:f>SUM($B$2:B22)</x:f>
        <x:v>653</x:v>
      </x:c>
    </x:row>
    <x:row r="23">
      <x:c r="A23" t="n">
        <x:v>22</x:v>
      </x:c>
      <x:c r="B23" t="n">
        <x:v>61</x:v>
      </x:c>
      <x:c r="C23" t="n">
        <x:f>SUM($B$2:B23)</x:f>
        <x:v>714</x:v>
      </x:c>
    </x:row>
    <x:row r="24">
      <x:c r="A24" t="n">
        <x:v>23</x:v>
      </x:c>
      <x:c r="B24" t="n">
        <x:v>64</x:v>
      </x:c>
      <x:c r="C24" t="n">
        <x:f>SUM($B$2:B24)</x:f>
        <x:v>778</x:v>
      </x:c>
    </x:row>
    <x:row r="25">
      <x:c r="A25" t="n">
        <x:v>24</x:v>
      </x:c>
      <x:c r="B25" t="n">
        <x:v>67</x:v>
      </x:c>
      <x:c r="C25" t="n">
        <x:f>SUM($B$2:B25)</x:f>
        <x:v>845</x:v>
      </x:c>
    </x:row>
    <x:row r="26">
      <x:c r="A26" t="n">
        <x:v>25</x:v>
      </x:c>
      <x:c r="B26" t="n">
        <x:v>70</x:v>
      </x:c>
      <x:c r="C26" t="n">
        <x:f>SUM($B$2:B26)</x:f>
        <x:v>915</x:v>
      </x:c>
    </x:row>
    <x:row r="27">
      <x:c r="A27" t="n">
        <x:v>26</x:v>
      </x:c>
      <x:c r="B27" t="n">
        <x:v>73</x:v>
      </x:c>
      <x:c r="C27" t="n">
        <x:f>SUM($B$2:B27)</x:f>
        <x:v>988</x:v>
      </x:c>
    </x:row>
    <x:row r="28">
      <x:c r="A28" t="n">
        <x:v>27</x:v>
      </x:c>
      <x:c r="B28" t="n">
        <x:v>76</x:v>
      </x:c>
      <x:c r="C28" t="n">
        <x:f>SUM($B$2:B28)</x:f>
        <x:v>1064</x:v>
      </x:c>
    </x:row>
    <x:row r="29">
      <x:c r="A29" t="n">
        <x:v>28</x:v>
      </x:c>
      <x:c r="B29" t="n">
        <x:v>80</x:v>
      </x:c>
      <x:c r="C29" t="n">
        <x:f>SUM($B$2:B29)</x:f>
        <x:v>1144</x:v>
      </x:c>
    </x:row>
    <x:row r="30">
      <x:c r="A30" t="n">
        <x:v>29</x:v>
      </x:c>
      <x:c r="B30" t="n">
        <x:v>83</x:v>
      </x:c>
      <x:c r="C30" t="n">
        <x:f>SUM($B$2:B30)</x:f>
        <x:v>1227</x:v>
      </x:c>
    </x:row>
    <x:row r="31">
      <x:c r="A31" t="n">
        <x:v>30</x:v>
      </x:c>
      <x:c r="B31" t="n">
        <x:v>87</x:v>
      </x:c>
      <x:c r="C31" t="n">
        <x:f>SUM($B$2:B31)</x:f>
        <x:v>1314</x:v>
      </x:c>
    </x:row>
    <x:row r="32">
      <x:c r="A32" t="n">
        <x:v>31</x:v>
      </x:c>
      <x:c r="B32" t="n">
        <x:v>90</x:v>
      </x:c>
      <x:c r="C32" t="n">
        <x:f>SUM($B$2:B32)</x:f>
        <x:v>1404</x:v>
      </x:c>
    </x:row>
    <x:row r="33">
      <x:c r="A33" t="n">
        <x:v>32</x:v>
      </x:c>
      <x:c r="B33" t="n">
        <x:v>94</x:v>
      </x:c>
      <x:c r="C33" t="n">
        <x:f>SUM($B$2:B33)</x:f>
        <x:v>1498</x:v>
      </x:c>
    </x:row>
    <x:row r="34">
      <x:c r="A34" t="n">
        <x:v>33</x:v>
      </x:c>
      <x:c r="B34" t="n">
        <x:v>97</x:v>
      </x:c>
      <x:c r="C34" t="n">
        <x:f>SUM($B$2:B34)</x:f>
        <x:v>1595</x:v>
      </x:c>
    </x:row>
    <x:row r="35">
      <x:c r="A35" t="n">
        <x:v>34</x:v>
      </x:c>
      <x:c r="B35" t="n">
        <x:v>101</x:v>
      </x:c>
      <x:c r="C35" t="n">
        <x:f>SUM($B$2:B35)</x:f>
        <x:v>1696</x:v>
      </x:c>
    </x:row>
    <x:row r="36">
      <x:c r="A36" t="n">
        <x:v>35</x:v>
      </x:c>
      <x:c r="B36" t="n">
        <x:v>104</x:v>
      </x:c>
      <x:c r="C36" t="n">
        <x:f>SUM($B$2:B36)</x:f>
        <x:v>1800</x:v>
      </x:c>
    </x:row>
    <x:row r="37">
      <x:c r="A37" t="n">
        <x:v>36</x:v>
      </x:c>
      <x:c r="B37" t="n">
        <x:v>108</x:v>
      </x:c>
      <x:c r="C37" t="n">
        <x:f>SUM($B$2:B37)</x:f>
        <x:v>1908</x:v>
      </x:c>
    </x:row>
    <x:row r="38">
      <x:c r="A38" t="n">
        <x:v>37</x:v>
      </x:c>
      <x:c r="B38" t="n">
        <x:v>112</x:v>
      </x:c>
      <x:c r="C38" t="n">
        <x:f>SUM($B$2:B38)</x:f>
        <x:v>2020</x:v>
      </x:c>
    </x:row>
    <x:row r="39">
      <x:c r="A39" t="n">
        <x:v>38</x:v>
      </x:c>
      <x:c r="B39" t="n">
        <x:v>116</x:v>
      </x:c>
      <x:c r="C39" t="n">
        <x:f>SUM($B$2:B39)</x:f>
        <x:v>2136</x:v>
      </x:c>
    </x:row>
    <x:row r="40">
      <x:c r="A40" t="n">
        <x:v>39</x:v>
      </x:c>
      <x:c r="B40" t="n">
        <x:v>120</x:v>
      </x:c>
      <x:c r="C40" t="n">
        <x:f>SUM($B$2:B40)</x:f>
        <x:v>2256</x:v>
      </x:c>
    </x:row>
    <x:row r="41">
      <x:c r="A41" t="n">
        <x:v>40</x:v>
      </x:c>
      <x:c r="B41" t="n">
        <x:v>124</x:v>
      </x:c>
      <x:c r="C41" t="n">
        <x:f>SUM($B$2:B41)</x:f>
        <x:v>2380</x:v>
      </x:c>
    </x:row>
    <x:row r="42">
      <x:c r="A42" t="n">
        <x:v>41</x:v>
      </x:c>
      <x:c r="B42" t="n">
        <x:v>128</x:v>
      </x:c>
      <x:c r="C42" t="n">
        <x:f>SUM($B$2:B42)</x:f>
        <x:v>2508</x:v>
      </x:c>
    </x:row>
    <x:row r="43">
      <x:c r="A43" t="n">
        <x:v>42</x:v>
      </x:c>
      <x:c r="B43" t="n">
        <x:v>132</x:v>
      </x:c>
      <x:c r="C43" t="n">
        <x:f>SUM($B$2:B43)</x:f>
        <x:v>2640</x:v>
      </x:c>
    </x:row>
    <x:row r="44">
      <x:c r="A44" t="n">
        <x:v>43</x:v>
      </x:c>
      <x:c r="B44" t="n">
        <x:v>136</x:v>
      </x:c>
      <x:c r="C44" t="n">
        <x:f>SUM($B$2:B44)</x:f>
        <x:v>2776</x:v>
      </x:c>
    </x:row>
    <x:row r="45">
      <x:c r="A45" t="n">
        <x:v>44</x:v>
      </x:c>
      <x:c r="B45" t="n">
        <x:v>140</x:v>
      </x:c>
      <x:c r="C45" t="n">
        <x:f>SUM($B$2:B45)</x:f>
        <x:v>2916</x:v>
      </x:c>
    </x:row>
    <x:row r="46">
      <x:c r="A46" t="n">
        <x:v>45</x:v>
      </x:c>
      <x:c r="B46" t="n">
        <x:v>144</x:v>
      </x:c>
      <x:c r="C46" t="n">
        <x:f>SUM($B$2:B46)</x:f>
        <x:v>3060</x:v>
      </x:c>
    </x:row>
    <x:row r="47">
      <x:c r="A47" t="n">
        <x:v>46</x:v>
      </x:c>
      <x:c r="B47" t="n">
        <x:v>148</x:v>
      </x:c>
      <x:c r="C47" t="n">
        <x:f>SUM($B$2:B47)</x:f>
        <x:v>3208</x:v>
      </x:c>
    </x:row>
    <x:row r="48">
      <x:c r="A48" t="n">
        <x:v>47</x:v>
      </x:c>
      <x:c r="B48" t="n">
        <x:v>152</x:v>
      </x:c>
      <x:c r="C48" t="n">
        <x:f>SUM($B$2:B48)</x:f>
        <x:v>3360</x:v>
      </x:c>
    </x:row>
    <x:row r="49">
      <x:c r="A49" t="n">
        <x:v>48</x:v>
      </x:c>
      <x:c r="B49" t="n">
        <x:v>157</x:v>
      </x:c>
      <x:c r="C49" t="n">
        <x:f>SUM($B$2:B49)</x:f>
        <x:v>3517</x:v>
      </x:c>
    </x:row>
    <x:row r="50">
      <x:c r="A50" t="n">
        <x:v>49</x:v>
      </x:c>
      <x:c r="B50" t="n">
        <x:v>161</x:v>
      </x:c>
      <x:c r="C50" t="n">
        <x:f>SUM($B$2:B50)</x:f>
        <x:v>3678</x:v>
      </x:c>
    </x:row>
    <x:row r="51">
      <x:c r="A51" t="n">
        <x:v>50</x:v>
      </x:c>
      <x:c r="B51" t="n">
        <x:v>0</x:v>
      </x:c>
      <x:c r="C51" t="n">
        <x:f>SUM($B$2:B51)</x:f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da2e0599bd45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1dc7ea2ba341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3361d1ac34642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24" hidden="0" customWidth="1"/>
    <x:col min="3" max="3" width="18" hidden="0" customWidth="1"/>
    <x:col min="4" max="4" width="58" hidden="0" customWidth="1"/>
    <x:col min="5" max="5" width="12" hidden="0" customWidth="1"/>
    <x:col min="6" max="6" width="1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공격 0.5초 뒤 첫 공격 대상 위치부터 플레이어 현재 위치까지 참격을 만듭니다. 재사용 대기시간은 0.3초이며 구간의 적에게 기본 공격력의 2배 피해를 줍니다.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적에게 피해를 줄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참격을 생성합니다. 레벨마다 확률 3%, 관통 1명, 크기 10%가 증가합니다.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1.5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edaa632678440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</x:f>
        <x:v>0</x:v>
      </x:c>
      <x:c r="H6" s="54" t="n">
        <x:f>D6*'EnemyBalance'!$M$2+E6*'EnemyBalance'!$M$3+F6*'EnemyBalance'!$M$4+G6*'EnemyBalance'!$M$5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</x:f>
        <x:v>0</x:v>
      </x:c>
      <x:c r="H7" s="54" t="n">
        <x:f>D7*'EnemyBalance'!$M$2+E7*'EnemyBalance'!$M$3+F7*'EnemyBalance'!$M$4+G7*'EnemyBalance'!$M$5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</x:f>
        <x:v>0</x:v>
      </x:c>
      <x:c r="H8" s="54" t="n">
        <x:f>D8*'EnemyBalance'!$M$2+E8*'EnemyBalance'!$M$3+F8*'EnemyBalance'!$M$4+G8*'EnemyBalance'!$M$5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</x:f>
        <x:v>0</x:v>
      </x:c>
      <x:c r="H9" s="54" t="n">
        <x:f>D9*'EnemyBalance'!$M$2+E9*'EnemyBalance'!$M$3+F9*'EnemyBalance'!$M$4+G9*'EnemyBalance'!$M$5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</x:f>
        <x:v>0</x:v>
      </x:c>
      <x:c r="H10" s="54" t="n">
        <x:f>D10*'EnemyBalance'!$M$2+E10*'EnemyBalance'!$M$3+F10*'EnemyBalance'!$M$4+G10*'EnemyBalance'!$M$5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</x:f>
        <x:v>0</x:v>
      </x:c>
      <x:c r="H11" s="54" t="n">
        <x:f>D11*'EnemyBalance'!$M$2+E11*'EnemyBalance'!$M$3+F11*'EnemyBalance'!$M$4+G11*'EnemyBalance'!$M$5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</x:f>
        <x:v>0</x:v>
      </x:c>
      <x:c r="H12" s="54" t="n">
        <x:f>D12*'EnemyBalance'!$M$2+E12*'EnemyBalance'!$M$3+F12*'EnemyBalance'!$M$4+G12*'EnemyBalance'!$M$5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</x:f>
        <x:v>0</x:v>
      </x:c>
      <x:c r="H13" s="54" t="n">
        <x:f>D13*'EnemyBalance'!$M$2+E13*'EnemyBalance'!$M$3+F13*'EnemyBalance'!$M$4+G13*'EnemyBalance'!$M$5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</x:f>
        <x:v>0</x:v>
      </x:c>
      <x:c r="H14" s="54" t="n">
        <x:f>D14*'EnemyBalance'!$M$2+E14*'EnemyBalance'!$M$3+F14*'EnemyBalance'!$M$4+G14*'EnemyBalance'!$M$5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</x:f>
        <x:v>0</x:v>
      </x:c>
      <x:c r="H15" s="54" t="n">
        <x:f>D15*'EnemyBalance'!$M$2+E15*'EnemyBalance'!$M$3+F15*'EnemyBalance'!$M$4+G15*'EnemyBalance'!$M$5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</x:f>
        <x:v>0</x:v>
      </x:c>
      <x:c r="H16" s="54" t="n">
        <x:f>D16*'EnemyBalance'!$M$2+E16*'EnemyBalance'!$M$3+F16*'EnemyBalance'!$M$4+G16*'EnemyBalance'!$M$5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</x:f>
        <x:v>1</x:v>
      </x:c>
      <x:c r="H17" s="54" t="n">
        <x:f>D17*'EnemyBalance'!$M$2+E17*'EnemyBalance'!$M$3+F17*'EnemyBalance'!$M$4+G17*'EnemyBalance'!$M$5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</x:f>
        <x:v>0</x:v>
      </x:c>
      <x:c r="H18" t="n">
        <x:f>D18*'EnemyBalance'!$M$2+E18*'EnemyBalance'!$M$3+F18*'EnemyBalance'!$M$4+G18*'EnemyBalance'!$M$5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</x:f>
        <x:v>0</x:v>
      </x:c>
      <x:c r="H19" t="n">
        <x:f>D19*'EnemyBalance'!$M$2+E19*'EnemyBalance'!$M$3+F19*'EnemyBalance'!$M$4+G19*'EnemyBalance'!$M$5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</x:f>
        <x:v>0</x:v>
      </x:c>
      <x:c r="H20" t="n">
        <x:f>D20*'EnemyBalance'!$M$2+E20*'EnemyBalance'!$M$3+F20*'EnemyBalance'!$M$4+G20*'EnemyBalance'!$M$5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</x:f>
        <x:v>0</x:v>
      </x:c>
      <x:c r="H21" t="n">
        <x:f>D21*'EnemyBalance'!$M$2+E21*'EnemyBalance'!$M$3+F21*'EnemyBalance'!$M$4+G21*'EnemyBalance'!$M$5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</x:f>
        <x:v>0</x:v>
      </x:c>
      <x:c r="H22" t="n">
        <x:f>D22*'EnemyBalance'!$M$2+E22*'EnemyBalance'!$M$3+F22*'EnemyBalance'!$M$4+G22*'EnemyBalance'!$M$5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</x:f>
        <x:v>0</x:v>
      </x:c>
      <x:c r="H23" t="n">
        <x:f>D23*'EnemyBalance'!$M$2+E23*'EnemyBalance'!$M$3+F23*'EnemyBalance'!$M$4+G23*'EnemyBalance'!$M$5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</x:f>
        <x:v>0</x:v>
      </x:c>
      <x:c r="H24" t="n">
        <x:f>D24*'EnemyBalance'!$M$2+E24*'EnemyBalance'!$M$3+F24*'EnemyBalance'!$M$4+G24*'EnemyBalance'!$M$5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</x:f>
        <x:v>0</x:v>
      </x:c>
      <x:c r="H25" t="n">
        <x:f>D25*'EnemyBalance'!$M$2+E25*'EnemyBalance'!$M$3+F25*'EnemyBalance'!$M$4+G25*'EnemyBalance'!$M$5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</x:f>
        <x:v>0</x:v>
      </x:c>
      <x:c r="H26" t="n">
        <x:f>D26*'EnemyBalance'!$M$2+E26*'EnemyBalance'!$M$3+F26*'EnemyBalance'!$M$4+G26*'EnemyBalance'!$M$5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</x:f>
        <x:v>0</x:v>
      </x:c>
      <x:c r="H27" t="n">
        <x:f>D27*'EnemyBalance'!$M$2+E27*'EnemyBalance'!$M$3+F27*'EnemyBalance'!$M$4+G27*'EnemyBalance'!$M$5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</x:f>
        <x:v>0</x:v>
      </x:c>
      <x:c r="H28" t="n">
        <x:f>D28*'EnemyBalance'!$M$2+E28*'EnemyBalance'!$M$3+F28*'EnemyBalance'!$M$4+G28*'EnemyBalance'!$M$5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</x:f>
        <x:v>1</x:v>
      </x:c>
      <x:c r="H29" t="n">
        <x:f>D29*'EnemyBalance'!$M$2+E29*'EnemyBalance'!$M$3+F29*'EnemyBalance'!$M$4+G29*'EnemyBalance'!$M$5</x:f>
        <x:v>47</x:v>
      </x:c>
      <x:c r="I29" t="n">
        <x:f>SUM($H$6:H29)</x:f>
        <x:v>522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</x:f>
        <x:v>0</x:v>
      </x:c>
      <x:c r="H30" t="n">
        <x:f>D30*'EnemyBalance'!$M$2+E30*'EnemyBalance'!$M$3+F30*'EnemyBalance'!$M$4+G30*'EnemyBalance'!$M$5</x:f>
        <x:v>43</x:v>
      </x:c>
      <x:c r="I30" t="n">
        <x:f>SUM($H$6:H30)</x:f>
        <x:v>565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</x:f>
        <x:v>0</x:v>
      </x:c>
      <x:c r="H31" t="n">
        <x:f>D31*'EnemyBalance'!$M$2+E31*'EnemyBalance'!$M$3+F31*'EnemyBalance'!$M$4+G31*'EnemyBalance'!$M$5</x:f>
        <x:v>45</x:v>
      </x:c>
      <x:c r="I31" t="n">
        <x:f>SUM($H$6:H31)</x:f>
        <x:v>610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</x:f>
        <x:v>0</x:v>
      </x:c>
      <x:c r="H32" t="n">
        <x:f>D32*'EnemyBalance'!$M$2+E32*'EnemyBalance'!$M$3+F32*'EnemyBalance'!$M$4+G32*'EnemyBalance'!$M$5</x:f>
        <x:v>47</x:v>
      </x:c>
      <x:c r="I32" t="n">
        <x:f>SUM($H$6:H32)</x:f>
        <x:v>657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</x:f>
        <x:v>0</x:v>
      </x:c>
      <x:c r="H33" t="n">
        <x:f>D33*'EnemyBalance'!$M$2+E33*'EnemyBalance'!$M$3+F33*'EnemyBalance'!$M$4+G33*'EnemyBalance'!$M$5</x:f>
        <x:v>49</x:v>
      </x:c>
      <x:c r="I33" t="n">
        <x:f>SUM($H$6:H33)</x:f>
        <x:v>706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</x:f>
        <x:v>0</x:v>
      </x:c>
      <x:c r="H34" t="n">
        <x:f>D34*'EnemyBalance'!$M$2+E34*'EnemyBalance'!$M$3+F34*'EnemyBalance'!$M$4+G34*'EnemyBalance'!$M$5</x:f>
        <x:v>52</x:v>
      </x:c>
      <x:c r="I34" t="n">
        <x:f>SUM($H$6:H34)</x:f>
        <x:v>758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</x:f>
        <x:v>0</x:v>
      </x:c>
      <x:c r="H35" t="n">
        <x:f>D35*'EnemyBalance'!$M$2+E35*'EnemyBalance'!$M$3+F35*'EnemyBalance'!$M$4+G35*'EnemyBalance'!$M$5</x:f>
        <x:v>53</x:v>
      </x:c>
      <x:c r="I35" t="n">
        <x:f>SUM($H$6:H35)</x:f>
        <x:v>811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</x:f>
        <x:v>0</x:v>
      </x:c>
      <x:c r="H36" t="n">
        <x:f>D36*'EnemyBalance'!$M$2+E36*'EnemyBalance'!$M$3+F36*'EnemyBalance'!$M$4+G36*'EnemyBalance'!$M$5</x:f>
        <x:v>55</x:v>
      </x:c>
      <x:c r="I36" t="n">
        <x:f>SUM($H$6:H36)</x:f>
        <x:v>866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</x:f>
        <x:v>0</x:v>
      </x:c>
      <x:c r="H37" t="n">
        <x:f>D37*'EnemyBalance'!$M$2+E37*'EnemyBalance'!$M$3+F37*'EnemyBalance'!$M$4+G37*'EnemyBalance'!$M$5</x:f>
        <x:v>58</x:v>
      </x:c>
      <x:c r="I37" t="n">
        <x:f>SUM($H$6:H37)</x:f>
        <x:v>924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</x:f>
        <x:v>0</x:v>
      </x:c>
      <x:c r="H38" t="n">
        <x:f>D38*'EnemyBalance'!$M$2+E38*'EnemyBalance'!$M$3+F38*'EnemyBalance'!$M$4+G38*'EnemyBalance'!$M$5</x:f>
        <x:v>61</x:v>
      </x:c>
      <x:c r="I38" t="n">
        <x:f>SUM($H$6:H38)</x:f>
        <x:v>985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</x:f>
        <x:v>0</x:v>
      </x:c>
      <x:c r="H39" t="n">
        <x:f>D39*'EnemyBalance'!$M$2+E39*'EnemyBalance'!$M$3+F39*'EnemyBalance'!$M$4+G39*'EnemyBalance'!$M$5</x:f>
        <x:v>63</x:v>
      </x:c>
      <x:c r="I39" t="n">
        <x:f>SUM($H$6:H39)</x:f>
        <x:v>1048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</x:f>
        <x:v>0</x:v>
      </x:c>
      <x:c r="H40" t="n">
        <x:f>D40*'EnemyBalance'!$M$2+E40*'EnemyBalance'!$M$3+F40*'EnemyBalance'!$M$4+G40*'EnemyBalance'!$M$5</x:f>
        <x:v>65</x:v>
      </x:c>
      <x:c r="I40" t="n">
        <x:f>SUM($H$6:H40)</x:f>
        <x:v>1113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</x:f>
        <x:v>1</x:v>
      </x:c>
      <x:c r="H41" t="n">
        <x:f>D41*'EnemyBalance'!$M$2+E41*'EnemyBalance'!$M$3+F41*'EnemyBalance'!$M$4+G41*'EnemyBalance'!$M$5</x:f>
        <x:v>75</x:v>
      </x:c>
      <x:c r="I41" t="n">
        <x:f>SUM($H$6:H41)</x:f>
        <x:v>1188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</x:f>
        <x:v>0</x:v>
      </x:c>
      <x:c r="H42" t="n">
        <x:f>D42*'EnemyBalance'!$M$2+E42*'EnemyBalance'!$M$3+F42*'EnemyBalance'!$M$4+G42*'EnemyBalance'!$M$5</x:f>
        <x:v>70</x:v>
      </x:c>
      <x:c r="I42" t="n">
        <x:f>SUM($H$6:H42)</x:f>
        <x:v>1258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</x:f>
        <x:v>0</x:v>
      </x:c>
      <x:c r="H43" t="n">
        <x:f>D43*'EnemyBalance'!$M$2+E43*'EnemyBalance'!$M$3+F43*'EnemyBalance'!$M$4+G43*'EnemyBalance'!$M$5</x:f>
        <x:v>73</x:v>
      </x:c>
      <x:c r="I43" t="n">
        <x:f>SUM($H$6:H43)</x:f>
        <x:v>1331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</x:f>
        <x:v>0</x:v>
      </x:c>
      <x:c r="H44" t="n">
        <x:f>D44*'EnemyBalance'!$M$2+E44*'EnemyBalance'!$M$3+F44*'EnemyBalance'!$M$4+G44*'EnemyBalance'!$M$5</x:f>
        <x:v>76</x:v>
      </x:c>
      <x:c r="I44" t="n">
        <x:f>SUM($H$6:H44)</x:f>
        <x:v>1407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</x:f>
        <x:v>0</x:v>
      </x:c>
      <x:c r="H45" t="n">
        <x:f>D45*'EnemyBalance'!$M$2+E45*'EnemyBalance'!$M$3+F45*'EnemyBalance'!$M$4+G45*'EnemyBalance'!$M$5</x:f>
        <x:v>78</x:v>
      </x:c>
      <x:c r="I45" t="n">
        <x:f>SUM($H$6:H45)</x:f>
        <x:v>1485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</x:f>
        <x:v>0</x:v>
      </x:c>
      <x:c r="H46" t="n">
        <x:f>D46*'EnemyBalance'!$M$2+E46*'EnemyBalance'!$M$3+F46*'EnemyBalance'!$M$4+G46*'EnemyBalance'!$M$5</x:f>
        <x:v>80</x:v>
      </x:c>
      <x:c r="I46" t="n">
        <x:f>SUM($H$6:H46)</x:f>
        <x:v>1565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</x:f>
        <x:v>0</x:v>
      </x:c>
      <x:c r="H47" t="n">
        <x:f>D47*'EnemyBalance'!$M$2+E47*'EnemyBalance'!$M$3+F47*'EnemyBalance'!$M$4+G47*'EnemyBalance'!$M$5</x:f>
        <x:v>84</x:v>
      </x:c>
      <x:c r="I47" t="n">
        <x:f>SUM($H$6:H47)</x:f>
        <x:v>1649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</x:f>
        <x:v>0</x:v>
      </x:c>
      <x:c r="H48" t="n">
        <x:f>D48*'EnemyBalance'!$M$2+E48*'EnemyBalance'!$M$3+F48*'EnemyBalance'!$M$4+G48*'EnemyBalance'!$M$5</x:f>
        <x:v>86</x:v>
      </x:c>
      <x:c r="I48" t="n">
        <x:f>SUM($H$6:H48)</x:f>
        <x:v>1735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</x:f>
        <x:v>0</x:v>
      </x:c>
      <x:c r="H49" t="n">
        <x:f>D49*'EnemyBalance'!$M$2+E49*'EnemyBalance'!$M$3+F49*'EnemyBalance'!$M$4+G49*'EnemyBalance'!$M$5</x:f>
        <x:v>90</x:v>
      </x:c>
      <x:c r="I49" t="n">
        <x:f>SUM($H$6:H49)</x:f>
        <x:v>1825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</x:f>
        <x:v>0</x:v>
      </x:c>
      <x:c r="H50" t="n">
        <x:f>D50*'EnemyBalance'!$M$2+E50*'EnemyBalance'!$M$3+F50*'EnemyBalance'!$M$4+G50*'EnemyBalance'!$M$5</x:f>
        <x:v>92</x:v>
      </x:c>
      <x:c r="I50" t="n">
        <x:f>SUM($H$6:H50)</x:f>
        <x:v>1917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</x:f>
        <x:v>0</x:v>
      </x:c>
      <x:c r="H51" t="n">
        <x:f>D51*'EnemyBalance'!$M$2+E51*'EnemyBalance'!$M$3+F51*'EnemyBalance'!$M$4+G51*'EnemyBalance'!$M$5</x:f>
        <x:v>96</x:v>
      </x:c>
      <x:c r="I51" t="n">
        <x:f>SUM($H$6:H51)</x:f>
        <x:v>2013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</x:f>
        <x:v>0</x:v>
      </x:c>
      <x:c r="H52" t="n">
        <x:f>D52*'EnemyBalance'!$M$2+E52*'EnemyBalance'!$M$3+F52*'EnemyBalance'!$M$4+G52*'EnemyBalance'!$M$5</x:f>
        <x:v>98</x:v>
      </x:c>
      <x:c r="I52" t="n">
        <x:f>SUM($H$6:H52)</x:f>
        <x:v>2111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</x:f>
        <x:v>52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</x:f>
        <x:v>1</x:v>
      </x:c>
      <x:c r="H53" t="n">
        <x:f>D53*'EnemyBalance'!$M$2+E53*'EnemyBalance'!$M$3+F53*'EnemyBalance'!$M$4+G53*'EnemyBalance'!$M$5</x:f>
        <x:v>109</x:v>
      </x:c>
      <x:c r="I53" t="n">
        <x:f>SUM($H$6:H53)</x:f>
        <x:v>2220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</x:f>
        <x:v>0</x:v>
      </x:c>
      <x:c r="H54" t="n">
        <x:f>D54*'EnemyBalance'!$M$2+E54*'EnemyBalance'!$M$3+F54*'EnemyBalance'!$M$4+G54*'EnemyBalance'!$M$5</x:f>
        <x:v>105</x:v>
      </x:c>
      <x:c r="I54" t="n">
        <x:f>SUM($H$6:H54)</x:f>
        <x:v>2325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</x:f>
        <x:v>0</x:v>
      </x:c>
      <x:c r="H55" t="n">
        <x:f>D55*'EnemyBalance'!$M$2+E55*'EnemyBalance'!$M$3+F55*'EnemyBalance'!$M$4+G55*'EnemyBalance'!$M$5</x:f>
        <x:v>108</x:v>
      </x:c>
      <x:c r="I55" t="n">
        <x:f>SUM($H$6:H55)</x:f>
        <x:v>2433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</x:f>
        <x:v>0</x:v>
      </x:c>
      <x:c r="H56" t="n">
        <x:f>D56*'EnemyBalance'!$M$2+E56*'EnemyBalance'!$M$3+F56*'EnemyBalance'!$M$4+G56*'EnemyBalance'!$M$5</x:f>
        <x:v>111</x:v>
      </x:c>
      <x:c r="I56" t="n">
        <x:f>SUM($H$6:H56)</x:f>
        <x:v>2544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</x:f>
        <x:v>0</x:v>
      </x:c>
      <x:c r="H57" t="n">
        <x:f>D57*'EnemyBalance'!$M$2+E57*'EnemyBalance'!$M$3+F57*'EnemyBalance'!$M$4+G57*'EnemyBalance'!$M$5</x:f>
        <x:v>115</x:v>
      </x:c>
      <x:c r="I57" t="n">
        <x:f>SUM($H$6:H57)</x:f>
        <x:v>2659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</x:f>
        <x:v>0</x:v>
      </x:c>
      <x:c r="H58" t="n">
        <x:f>D58*'EnemyBalance'!$M$2+E58*'EnemyBalance'!$M$3+F58*'EnemyBalance'!$M$4+G58*'EnemyBalance'!$M$5</x:f>
        <x:v>118</x:v>
      </x:c>
      <x:c r="I58" t="n">
        <x:f>SUM($H$6:H58)</x:f>
        <x:v>2777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</x:f>
        <x:v>0</x:v>
      </x:c>
      <x:c r="H59" t="n">
        <x:f>D59*'EnemyBalance'!$M$2+E59*'EnemyBalance'!$M$3+F59*'EnemyBalance'!$M$4+G59*'EnemyBalance'!$M$5</x:f>
        <x:v>122</x:v>
      </x:c>
      <x:c r="I59" t="n">
        <x:f>SUM($H$6:H59)</x:f>
        <x:v>2899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</x:f>
        <x:v>0</x:v>
      </x:c>
      <x:c r="H60" t="n">
        <x:f>D60*'EnemyBalance'!$M$2+E60*'EnemyBalance'!$M$3+F60*'EnemyBalance'!$M$4+G60*'EnemyBalance'!$M$5</x:f>
        <x:v>124</x:v>
      </x:c>
      <x:c r="I60" t="n">
        <x:f>SUM($H$6:H60)</x:f>
        <x:v>3023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</x:f>
        <x:v>0</x:v>
      </x:c>
      <x:c r="H61" t="n">
        <x:f>D61*'EnemyBalance'!$M$2+E61*'EnemyBalance'!$M$3+F61*'EnemyBalance'!$M$4+G61*'EnemyBalance'!$M$5</x:f>
        <x:v>128</x:v>
      </x:c>
      <x:c r="I61" t="n">
        <x:f>SUM($H$6:H61)</x:f>
        <x:v>3151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</x:f>
        <x:v>0</x:v>
      </x:c>
      <x:c r="H62" t="n">
        <x:f>D62*'EnemyBalance'!$M$2+E62*'EnemyBalance'!$M$3+F62*'EnemyBalance'!$M$4+G62*'EnemyBalance'!$M$5</x:f>
        <x:v>132</x:v>
      </x:c>
      <x:c r="I62" t="n">
        <x:f>SUM($H$6:H62)</x:f>
        <x:v>3283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</x:f>
        <x:v>0</x:v>
      </x:c>
      <x:c r="H63" t="n">
        <x:f>D63*'EnemyBalance'!$M$2+E63*'EnemyBalance'!$M$3+F63*'EnemyBalance'!$M$4+G63*'EnemyBalance'!$M$5</x:f>
        <x:v>135</x:v>
      </x:c>
      <x:c r="I63" t="n">
        <x:f>SUM($H$6:H63)</x:f>
        <x:v>3418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</x:f>
        <x:v>0</x:v>
      </x:c>
      <x:c r="H64" t="n">
        <x:f>D64*'EnemyBalance'!$M$2+E64*'EnemyBalance'!$M$3+F64*'EnemyBalance'!$M$4+G64*'EnemyBalance'!$M$5</x:f>
        <x:v>139</x:v>
      </x:c>
      <x:c r="I64" t="n">
        <x:f>SUM($H$6:H64)</x:f>
        <x:v>3557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</x:f>
        <x:v>1</x:v>
      </x:c>
      <x:c r="H65" t="n">
        <x:f>D65*'EnemyBalance'!$M$2+E65*'EnemyBalance'!$M$3+F65*'EnemyBalance'!$M$4+G65*'EnemyBalance'!$M$5</x:f>
        <x:v>149</x:v>
      </x:c>
      <x:c r="I65" t="n">
        <x:f>SUM($H$6:H65)</x:f>
        <x:v>3706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b313e84acff43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</x:f>
        <x:v>1</x:v>
      </x:c>
      <x:c r="K10" s="520" t="n">
        <x:f>100%+10%*(A10-1)</x:f>
        <x:v>1</x:v>
      </x:c>
      <x:c r="L10" s="517" t="n">
        <x:f>1.5*3</x:f>
        <x:v>4.5</x:v>
      </x:c>
      <x:c r="M10" s="521" t="n">
        <x:f>MIN(3,A10)*$B$8</x:f>
        <x:v>0.1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</x:f>
        <x:v>2</x:v>
      </x:c>
      <x:c r="K11" s="449" t="n">
        <x:f>100%+10%*(A11-1)</x:f>
        <x:v>1.1</x:v>
      </x:c>
      <x:c r="L11" s="446" t="n">
        <x:f>1.5*3</x:f>
        <x:v>4.5</x:v>
      </x:c>
      <x:c r="M11" s="451" t="n">
        <x:f>MIN(3,A11)*$B$8</x:f>
        <x:v>0.2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</x:f>
        <x:v>3</x:v>
      </x:c>
      <x:c r="K12" s="520" t="n">
        <x:f>100%+10%*(A12-1)</x:f>
        <x:v>1.2</x:v>
      </x:c>
      <x:c r="L12" s="517" t="n">
        <x:f>1.5*3</x:f>
        <x:v>4.5</x:v>
      </x:c>
      <x:c r="M12" s="521" t="n">
        <x:f>MIN(3,A12)*$B$8</x:f>
        <x:v>0.30000000000000004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</x:f>
        <x:v>4</x:v>
      </x:c>
      <x:c r="K13" s="449" t="n">
        <x:f>100%+10%*(A13-1)</x:f>
        <x:v>1.3</x:v>
      </x:c>
      <x:c r="L13" s="446" t="n">
        <x:f>1.5*3</x:f>
        <x:v>4.5</x:v>
      </x:c>
      <x:c r="M13" s="451" t="n">
        <x:f>MIN(3,A13)*$B$8</x:f>
        <x:v>0.30000000000000004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</x:f>
        <x:v>5</x:v>
      </x:c>
      <x:c r="K14" s="520" t="n">
        <x:f>100%+10%*(A14-1)</x:f>
        <x:v>1.4</x:v>
      </x:c>
      <x:c r="L14" s="517" t="n">
        <x:f>1.5*3</x:f>
        <x:v>4.5</x:v>
      </x:c>
      <x:c r="M14" s="521" t="n">
        <x:f>MIN(3,A14)*$B$8</x:f>
        <x:v>0.30000000000000004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길이 0.4초인 판정창에서 추가 관통 누적 수 C는 C≤L을 만족합니다. 반복 클릭은 창을 초기화하지 않으며 0.4초 뒤에만 예산 L이 복구됩니다.
절단: 공격 1회당 최대 1개, 재사용 0.3초입니다. 0.5초 뒤 첫 공격점 p₀부터 현재 위치까지 선분 S를 만들고 겹친 적에게 2A_side 피해를 줍니다.
흡혈: 확률은 5%로 고정하고 카드 레벨 L≤3에서 회복량은 2L, 타격당 기대 회복량은 0.1L HP입니다.
방패 우회: 방패병 정면 공격 반동이 발생할 때만 확률을 굴립니다. 1/2/3레벨 확률은 10%/20%/30%입니다.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M1"/>
    <x:mergeCell ref="A16:M16"/>
  </x:mergeCells>
  <x:pageMargins left="0.7" right="0.7" top="0.75" bottom="0.75" header="0.3" footer="0.3"/>
  <x:tableParts count="1">
    <x:tablePart xmlns:r="http://schemas.openxmlformats.org/officeDocument/2006/relationships" r:id="Raee0d9e21c7a4a9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/>
      <x:c r="H3" s="327"/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/>
      <x:c r="H4" s="396"/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/>
      <x:c r="H5" s="396"/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3706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/>
      <x:c r="H6" s="396"/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/>
      <x:c r="H7" s="396"/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38</x:f>
        <x:v>38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</x:f>
        <x:v>5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공격당 1개·지연 0.5초·재사용 0.3초·선분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64" customHeight="1">
      <x:c r="A27" s="504" t="str">
        <x:v>체력 관문 의도: 1~4웨이브는 1.0배, 5웨이브는 1.2배, 8웨이브는 1.5배로 약하게 시작합니다. 이후 스킬 카드가 누적될수록 관문 증가폭을 크게 하여 56웨이브부터 9.5배를 적용하며, 관문 사이에서는 레벨 곡선만으로 완만하게 성장합니다.
전투 판정 의도: 레벨은 처형에 사용하지 않고 체력·공격력 계산에만 사용합니다. 체력 관문은 HP에만 적용되며 적 공격력 상한 8에는 영향을 주지 않습니다.</x:v>
      </x:c>
      <x:c r="B27" s="505"/>
      <x:c r="C27" s="505"/>
      <x:c r="D27" s="505"/>
      <x:c r="E27" s="505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E27"/>
  </x:mergeCells>
  <x:pageMargins left="0.7" right="0.7" top="0.75" bottom="0.75" header="0.3" footer="0.3"/>
  <x:drawing xmlns:r="http://schemas.openxmlformats.org/officeDocument/2006/relationships" r:id="R0257eaebb9944073"/>
</x:worksheet>
</file>